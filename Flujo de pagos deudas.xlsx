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ddossas-my.sharepoint.com/personal/andres_roddos_com/Documents/BP 26/Tecnologia/Compas/"/>
    </mc:Choice>
  </mc:AlternateContent>
  <xr:revisionPtr revIDLastSave="0" documentId="8_{FE15FC29-9524-4519-85D7-D059692EAF0E}" xr6:coauthVersionLast="47" xr6:coauthVersionMax="47" xr10:uidLastSave="{00000000-0000-0000-0000-000000000000}"/>
  <bookViews>
    <workbookView xWindow="-108" yWindow="-108" windowWidth="23256" windowHeight="12456" tabRatio="880" firstSheet="1" activeTab="8" xr2:uid="{67A51384-3DC4-4AE6-ACB0-FC132F9B9A00}"/>
  </bookViews>
  <sheets>
    <sheet name="Inicio" sheetId="18" r:id="rId1"/>
    <sheet name="Control" sheetId="10" r:id="rId2"/>
    <sheet name="Pagos semana" sheetId="19" r:id="rId3"/>
    <sheet name="Presupuesto" sheetId="17" r:id="rId4"/>
    <sheet name="Segundo semestre" sheetId="13" r:id="rId5"/>
    <sheet name="Proyeccion ingresos" sheetId="12" r:id="rId6"/>
    <sheet name="Base real egresos" sheetId="8" r:id="rId7"/>
    <sheet name="Base real ingresos" sheetId="11" r:id="rId8"/>
    <sheet name="Flujo pago deudas" sheetId="1" r:id="rId9"/>
    <sheet name="Facturas Auteco" sheetId="14" r:id="rId10"/>
  </sheets>
  <definedNames>
    <definedName name="_xlnm._FilterDatabase" localSheetId="8" hidden="1">'Flujo pago deudas'!$A$1:$Q$28</definedName>
    <definedName name="_xlnm._FilterDatabase" localSheetId="4" hidden="1">'Segundo semestre'!$A$1:$G$26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1" i="19" l="1"/>
  <c r="E21" i="19"/>
  <c r="F21" i="19" s="1"/>
  <c r="G21" i="19" s="1"/>
  <c r="H9" i="19"/>
  <c r="E9" i="19"/>
  <c r="F9" i="19" s="1"/>
  <c r="G9" i="19" s="1"/>
  <c r="E20" i="19"/>
  <c r="F20" i="19" s="1"/>
  <c r="G20" i="19" s="1"/>
  <c r="AB7" i="17" l="1"/>
  <c r="B5" i="19"/>
  <c r="B27" i="19" s="1"/>
  <c r="B25" i="19"/>
  <c r="E22" i="19"/>
  <c r="F22" i="19" s="1"/>
  <c r="G22" i="19" s="1"/>
  <c r="E19" i="19"/>
  <c r="F19" i="19" s="1"/>
  <c r="G19" i="19" s="1"/>
  <c r="E18" i="19"/>
  <c r="F18" i="19" s="1"/>
  <c r="G18" i="19" s="1"/>
  <c r="E17" i="19"/>
  <c r="F17" i="19" s="1"/>
  <c r="G17" i="19" s="1"/>
  <c r="E16" i="19"/>
  <c r="F16" i="19" s="1"/>
  <c r="G16" i="19" s="1"/>
  <c r="B4" i="19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AU8" i="12"/>
  <c r="AT8" i="12"/>
  <c r="AS8" i="12"/>
  <c r="AR8" i="12"/>
  <c r="AQ8" i="12"/>
  <c r="AP8" i="12"/>
  <c r="AO8" i="12"/>
  <c r="AN8" i="12"/>
  <c r="AM8" i="12"/>
  <c r="AL8" i="12"/>
  <c r="AK8" i="12"/>
  <c r="AJ8" i="12"/>
  <c r="AI8" i="12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T8" i="12"/>
  <c r="S8" i="12"/>
  <c r="R8" i="12"/>
  <c r="Q8" i="12"/>
  <c r="P8" i="12"/>
  <c r="O8" i="12"/>
  <c r="N8" i="12"/>
  <c r="M8" i="12"/>
  <c r="L8" i="12"/>
  <c r="K8" i="12"/>
  <c r="J8" i="12"/>
  <c r="I8" i="12"/>
  <c r="H8" i="12"/>
  <c r="G8" i="12"/>
  <c r="F8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B8" i="18"/>
  <c r="AT18" i="12"/>
  <c r="AT19" i="12" s="1"/>
  <c r="AS18" i="12"/>
  <c r="AS19" i="12" s="1"/>
  <c r="AR18" i="12"/>
  <c r="AR19" i="12" s="1"/>
  <c r="AQ18" i="12"/>
  <c r="AQ19" i="12" s="1"/>
  <c r="AP18" i="12"/>
  <c r="AP19" i="12" s="1"/>
  <c r="AO18" i="12"/>
  <c r="AO19" i="12" s="1"/>
  <c r="AN18" i="12"/>
  <c r="AN19" i="12" s="1"/>
  <c r="AM18" i="12"/>
  <c r="AM19" i="12" s="1"/>
  <c r="AL18" i="12"/>
  <c r="AL19" i="12" s="1"/>
  <c r="AK18" i="12"/>
  <c r="AK19" i="12" s="1"/>
  <c r="AJ18" i="12"/>
  <c r="AJ19" i="12" s="1"/>
  <c r="AI18" i="12"/>
  <c r="AI19" i="12" s="1"/>
  <c r="AH18" i="12"/>
  <c r="AH19" i="12" s="1"/>
  <c r="AG18" i="12"/>
  <c r="AG19" i="12" s="1"/>
  <c r="AF18" i="12"/>
  <c r="AF19" i="12" s="1"/>
  <c r="AE18" i="12"/>
  <c r="AE19" i="12" s="1"/>
  <c r="AD18" i="12"/>
  <c r="AD19" i="12" s="1"/>
  <c r="AC18" i="12"/>
  <c r="AC19" i="12" s="1"/>
  <c r="AB18" i="12"/>
  <c r="AB19" i="12" s="1"/>
  <c r="AA18" i="12"/>
  <c r="AA19" i="12" s="1"/>
  <c r="Z18" i="12"/>
  <c r="Z19" i="12" s="1"/>
  <c r="Y18" i="12"/>
  <c r="Y19" i="12" s="1"/>
  <c r="X18" i="12"/>
  <c r="X19" i="12" s="1"/>
  <c r="W18" i="12"/>
  <c r="W19" i="12" s="1"/>
  <c r="V18" i="12"/>
  <c r="V19" i="12" s="1"/>
  <c r="U18" i="12"/>
  <c r="U19" i="12" s="1"/>
  <c r="T18" i="12"/>
  <c r="T19" i="12" s="1"/>
  <c r="S18" i="12"/>
  <c r="S19" i="12" s="1"/>
  <c r="R18" i="12"/>
  <c r="R19" i="12" s="1"/>
  <c r="Q18" i="12"/>
  <c r="Q19" i="12" s="1"/>
  <c r="P18" i="12"/>
  <c r="P19" i="12" s="1"/>
  <c r="O18" i="12"/>
  <c r="O19" i="12" s="1"/>
  <c r="N18" i="12"/>
  <c r="N19" i="12" s="1"/>
  <c r="M18" i="12"/>
  <c r="M19" i="12" s="1"/>
  <c r="L18" i="12"/>
  <c r="L19" i="12" s="1"/>
  <c r="K18" i="12"/>
  <c r="K19" i="12" s="1"/>
  <c r="J18" i="12"/>
  <c r="J19" i="12" s="1"/>
  <c r="I18" i="12"/>
  <c r="I19" i="12" s="1"/>
  <c r="H18" i="12"/>
  <c r="H19" i="12" s="1"/>
  <c r="G18" i="12"/>
  <c r="G19" i="12" s="1"/>
  <c r="F18" i="12"/>
  <c r="H3" i="12"/>
  <c r="I3" i="12" s="1"/>
  <c r="J3" i="12" s="1"/>
  <c r="K3" i="12" s="1"/>
  <c r="L3" i="12" s="1"/>
  <c r="M3" i="12" s="1"/>
  <c r="N3" i="12" s="1"/>
  <c r="O3" i="12" s="1"/>
  <c r="P3" i="12" s="1"/>
  <c r="Q3" i="12" s="1"/>
  <c r="R3" i="12" s="1"/>
  <c r="S3" i="12" s="1"/>
  <c r="T3" i="12" s="1"/>
  <c r="U3" i="12" s="1"/>
  <c r="V3" i="12" s="1"/>
  <c r="W3" i="12" s="1"/>
  <c r="X3" i="12" s="1"/>
  <c r="Y3" i="12" s="1"/>
  <c r="Z3" i="12" s="1"/>
  <c r="AA3" i="12" s="1"/>
  <c r="AB3" i="12" s="1"/>
  <c r="AC3" i="12" s="1"/>
  <c r="AD3" i="12" s="1"/>
  <c r="AE3" i="12" s="1"/>
  <c r="AF3" i="12" s="1"/>
  <c r="AG3" i="12" s="1"/>
  <c r="AH3" i="12" s="1"/>
  <c r="AI3" i="12" s="1"/>
  <c r="AJ3" i="12" s="1"/>
  <c r="AK3" i="12" s="1"/>
  <c r="AL3" i="12" s="1"/>
  <c r="AM3" i="12" s="1"/>
  <c r="AN3" i="12" s="1"/>
  <c r="AO3" i="12" s="1"/>
  <c r="AP3" i="12" s="1"/>
  <c r="AQ3" i="12" s="1"/>
  <c r="AR3" i="12" s="1"/>
  <c r="AS3" i="12" s="1"/>
  <c r="AT3" i="12" s="1"/>
  <c r="G3" i="12"/>
  <c r="F3" i="12"/>
  <c r="B49" i="13"/>
  <c r="B43" i="13"/>
  <c r="B41" i="13"/>
  <c r="B34" i="13"/>
  <c r="B33" i="13"/>
  <c r="B27" i="13"/>
  <c r="B26" i="13"/>
  <c r="B20" i="13"/>
  <c r="B19" i="13"/>
  <c r="B18" i="13"/>
  <c r="B17" i="13"/>
  <c r="B13" i="13"/>
  <c r="B10" i="13"/>
  <c r="B7" i="13"/>
  <c r="B5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" i="13"/>
  <c r="H55" i="10"/>
  <c r="M19" i="10"/>
  <c r="M18" i="10"/>
  <c r="M17" i="10"/>
  <c r="M16" i="10"/>
  <c r="M15" i="10"/>
  <c r="C21" i="18"/>
  <c r="C20" i="18"/>
  <c r="B3" i="18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H52" i="10"/>
  <c r="C46" i="10"/>
  <c r="C10" i="10"/>
  <c r="C8" i="10"/>
  <c r="AP10" i="17"/>
  <c r="AL10" i="17"/>
  <c r="AH10" i="17"/>
  <c r="AD10" i="17"/>
  <c r="Z10" i="17"/>
  <c r="V10" i="17"/>
  <c r="R10" i="17"/>
  <c r="U10" i="17" s="1"/>
  <c r="N10" i="17"/>
  <c r="Q10" i="17" s="1"/>
  <c r="J10" i="17"/>
  <c r="M10" i="17" s="1"/>
  <c r="F10" i="17"/>
  <c r="A65" i="17"/>
  <c r="A56" i="17"/>
  <c r="A55" i="17"/>
  <c r="U9" i="17"/>
  <c r="T9" i="17"/>
  <c r="Q9" i="17"/>
  <c r="P9" i="17"/>
  <c r="M9" i="17"/>
  <c r="L9" i="17"/>
  <c r="I9" i="17"/>
  <c r="H9" i="17"/>
  <c r="AS8" i="17"/>
  <c r="AO8" i="17"/>
  <c r="AK8" i="17"/>
  <c r="AG8" i="17"/>
  <c r="AC8" i="17"/>
  <c r="Y8" i="17"/>
  <c r="U8" i="17"/>
  <c r="T8" i="17"/>
  <c r="Q8" i="17"/>
  <c r="P8" i="17"/>
  <c r="M8" i="17"/>
  <c r="L8" i="17"/>
  <c r="I8" i="17"/>
  <c r="H8" i="17"/>
  <c r="AC7" i="17"/>
  <c r="Y7" i="17"/>
  <c r="U7" i="17"/>
  <c r="T7" i="17"/>
  <c r="Q7" i="17"/>
  <c r="P7" i="17"/>
  <c r="M7" i="17"/>
  <c r="L7" i="17"/>
  <c r="I7" i="17"/>
  <c r="H7" i="17"/>
  <c r="A88" i="17"/>
  <c r="AS44" i="17"/>
  <c r="AO44" i="17"/>
  <c r="AK44" i="17"/>
  <c r="AG44" i="17"/>
  <c r="AC44" i="17"/>
  <c r="Y44" i="17"/>
  <c r="U44" i="17"/>
  <c r="T44" i="17"/>
  <c r="Q44" i="17"/>
  <c r="P44" i="17"/>
  <c r="M44" i="17"/>
  <c r="L44" i="17"/>
  <c r="I44" i="17"/>
  <c r="H44" i="17"/>
  <c r="C29" i="10"/>
  <c r="A72" i="17"/>
  <c r="AS28" i="17"/>
  <c r="AO28" i="17"/>
  <c r="AK28" i="17"/>
  <c r="AG28" i="17"/>
  <c r="AC28" i="17"/>
  <c r="U28" i="17"/>
  <c r="T28" i="17"/>
  <c r="Q28" i="17"/>
  <c r="P28" i="17"/>
  <c r="M28" i="17"/>
  <c r="L28" i="17"/>
  <c r="I28" i="17"/>
  <c r="H28" i="17"/>
  <c r="A62" i="17"/>
  <c r="C22" i="10"/>
  <c r="AS21" i="17"/>
  <c r="AO21" i="17"/>
  <c r="AK21" i="17"/>
  <c r="AG21" i="17"/>
  <c r="AC21" i="17"/>
  <c r="Y21" i="17"/>
  <c r="U21" i="17"/>
  <c r="T21" i="17"/>
  <c r="Q21" i="17"/>
  <c r="P21" i="17"/>
  <c r="M21" i="17"/>
  <c r="L21" i="17"/>
  <c r="I21" i="17"/>
  <c r="H21" i="17"/>
  <c r="C44" i="10"/>
  <c r="A87" i="17"/>
  <c r="AS43" i="17"/>
  <c r="AO43" i="17"/>
  <c r="AK43" i="17"/>
  <c r="AG43" i="17"/>
  <c r="AC43" i="17"/>
  <c r="Y43" i="17"/>
  <c r="U43" i="17"/>
  <c r="T43" i="17"/>
  <c r="Q43" i="17"/>
  <c r="P43" i="17"/>
  <c r="M43" i="17"/>
  <c r="L43" i="17"/>
  <c r="I43" i="17"/>
  <c r="H43" i="17"/>
  <c r="A63" i="17"/>
  <c r="C21" i="10"/>
  <c r="AS20" i="17"/>
  <c r="AO20" i="17"/>
  <c r="AK20" i="17"/>
  <c r="AG20" i="17"/>
  <c r="AC20" i="17"/>
  <c r="Y20" i="17"/>
  <c r="U20" i="17"/>
  <c r="T20" i="17"/>
  <c r="Q20" i="17"/>
  <c r="P20" i="17"/>
  <c r="M20" i="17"/>
  <c r="L20" i="17"/>
  <c r="I20" i="17"/>
  <c r="H20" i="17"/>
  <c r="C20" i="10"/>
  <c r="A64" i="17"/>
  <c r="AK19" i="17"/>
  <c r="U19" i="17"/>
  <c r="T19" i="17"/>
  <c r="Q19" i="17"/>
  <c r="P19" i="17"/>
  <c r="M19" i="17"/>
  <c r="L19" i="17"/>
  <c r="I19" i="17"/>
  <c r="H19" i="17"/>
  <c r="B3" i="17"/>
  <c r="AP46" i="17"/>
  <c r="AL46" i="17"/>
  <c r="AH46" i="17"/>
  <c r="AD46" i="17"/>
  <c r="Z46" i="17"/>
  <c r="V46" i="17"/>
  <c r="R46" i="17"/>
  <c r="U46" i="17" s="1"/>
  <c r="N46" i="17"/>
  <c r="Q46" i="17" s="1"/>
  <c r="J46" i="17"/>
  <c r="M46" i="17" s="1"/>
  <c r="AS45" i="17"/>
  <c r="AO45" i="17"/>
  <c r="AK45" i="17"/>
  <c r="AG45" i="17"/>
  <c r="AC45" i="17"/>
  <c r="Y45" i="17"/>
  <c r="U45" i="17"/>
  <c r="T45" i="17"/>
  <c r="Q45" i="17"/>
  <c r="P45" i="17"/>
  <c r="M45" i="17"/>
  <c r="L45" i="17"/>
  <c r="AS42" i="17"/>
  <c r="AO42" i="17"/>
  <c r="AK42" i="17"/>
  <c r="AG42" i="17"/>
  <c r="AC42" i="17"/>
  <c r="Y42" i="17"/>
  <c r="U42" i="17"/>
  <c r="T42" i="17"/>
  <c r="Q42" i="17"/>
  <c r="P42" i="17"/>
  <c r="M42" i="17"/>
  <c r="L42" i="17"/>
  <c r="AS41" i="17"/>
  <c r="AO41" i="17"/>
  <c r="AK41" i="17"/>
  <c r="AG41" i="17"/>
  <c r="AC41" i="17"/>
  <c r="Y41" i="17"/>
  <c r="U41" i="17"/>
  <c r="T41" i="17"/>
  <c r="Q41" i="17"/>
  <c r="P41" i="17"/>
  <c r="M41" i="17"/>
  <c r="L41" i="17"/>
  <c r="U40" i="17"/>
  <c r="T40" i="17"/>
  <c r="Q40" i="17"/>
  <c r="P40" i="17"/>
  <c r="M40" i="17"/>
  <c r="L40" i="17"/>
  <c r="AP38" i="17"/>
  <c r="AL38" i="17"/>
  <c r="AH38" i="17"/>
  <c r="AD38" i="17"/>
  <c r="Z38" i="17"/>
  <c r="V38" i="17"/>
  <c r="R38" i="17"/>
  <c r="U38" i="17" s="1"/>
  <c r="N38" i="17"/>
  <c r="Q38" i="17" s="1"/>
  <c r="J38" i="17"/>
  <c r="M38" i="17" s="1"/>
  <c r="U37" i="17"/>
  <c r="T37" i="17"/>
  <c r="Q37" i="17"/>
  <c r="P37" i="17"/>
  <c r="M37" i="17"/>
  <c r="L37" i="17"/>
  <c r="U36" i="17"/>
  <c r="T36" i="17"/>
  <c r="Q36" i="17"/>
  <c r="P36" i="17"/>
  <c r="M36" i="17"/>
  <c r="L36" i="17"/>
  <c r="U35" i="17"/>
  <c r="T35" i="17"/>
  <c r="Q35" i="17"/>
  <c r="P35" i="17"/>
  <c r="M35" i="17"/>
  <c r="L35" i="17"/>
  <c r="AS34" i="17"/>
  <c r="AO34" i="17"/>
  <c r="AK34" i="17"/>
  <c r="AG34" i="17"/>
  <c r="AC34" i="17"/>
  <c r="U34" i="17"/>
  <c r="T34" i="17"/>
  <c r="Q34" i="17"/>
  <c r="P34" i="17"/>
  <c r="M34" i="17"/>
  <c r="L34" i="17"/>
  <c r="U33" i="17"/>
  <c r="T33" i="17"/>
  <c r="Q33" i="17"/>
  <c r="P33" i="17"/>
  <c r="M33" i="17"/>
  <c r="L33" i="17"/>
  <c r="AP31" i="17"/>
  <c r="AL31" i="17"/>
  <c r="AH31" i="17"/>
  <c r="AD31" i="17"/>
  <c r="Z31" i="17"/>
  <c r="V31" i="17"/>
  <c r="R31" i="17"/>
  <c r="U31" i="17" s="1"/>
  <c r="N31" i="17"/>
  <c r="Q31" i="17" s="1"/>
  <c r="J31" i="17"/>
  <c r="M31" i="17" s="1"/>
  <c r="AS30" i="17"/>
  <c r="AO30" i="17"/>
  <c r="AK30" i="17"/>
  <c r="AG30" i="17"/>
  <c r="AC30" i="17"/>
  <c r="U30" i="17"/>
  <c r="T30" i="17"/>
  <c r="Q30" i="17"/>
  <c r="P30" i="17"/>
  <c r="M30" i="17"/>
  <c r="L30" i="17"/>
  <c r="Y29" i="17"/>
  <c r="U29" i="17"/>
  <c r="T29" i="17"/>
  <c r="Q29" i="17"/>
  <c r="P29" i="17"/>
  <c r="M29" i="17"/>
  <c r="L29" i="17"/>
  <c r="AS27" i="17"/>
  <c r="AO27" i="17"/>
  <c r="AK27" i="17"/>
  <c r="AG27" i="17"/>
  <c r="AC27" i="17"/>
  <c r="U27" i="17"/>
  <c r="T27" i="17"/>
  <c r="Q27" i="17"/>
  <c r="P27" i="17"/>
  <c r="M27" i="17"/>
  <c r="L27" i="17"/>
  <c r="U26" i="17"/>
  <c r="T26" i="17"/>
  <c r="Q26" i="17"/>
  <c r="P26" i="17"/>
  <c r="M26" i="17"/>
  <c r="L26" i="17"/>
  <c r="U25" i="17"/>
  <c r="T25" i="17"/>
  <c r="Q25" i="17"/>
  <c r="P25" i="17"/>
  <c r="M25" i="17"/>
  <c r="L25" i="17"/>
  <c r="AP23" i="17"/>
  <c r="AL23" i="17"/>
  <c r="AH23" i="17"/>
  <c r="AD23" i="17"/>
  <c r="Z23" i="17"/>
  <c r="V23" i="17"/>
  <c r="R23" i="17"/>
  <c r="U23" i="17" s="1"/>
  <c r="N23" i="17"/>
  <c r="Q23" i="17" s="1"/>
  <c r="J23" i="17"/>
  <c r="M23" i="17" s="1"/>
  <c r="U22" i="17"/>
  <c r="T22" i="17"/>
  <c r="Q22" i="17"/>
  <c r="P22" i="17"/>
  <c r="M22" i="17"/>
  <c r="L22" i="17"/>
  <c r="U18" i="17"/>
  <c r="T18" i="17"/>
  <c r="Q18" i="17"/>
  <c r="P18" i="17"/>
  <c r="M18" i="17"/>
  <c r="L18" i="17"/>
  <c r="U17" i="17"/>
  <c r="T17" i="17"/>
  <c r="Q17" i="17"/>
  <c r="P17" i="17"/>
  <c r="M17" i="17"/>
  <c r="L17" i="17"/>
  <c r="U16" i="17"/>
  <c r="T16" i="17"/>
  <c r="Q16" i="17"/>
  <c r="P16" i="17"/>
  <c r="M16" i="17"/>
  <c r="L16" i="17"/>
  <c r="U15" i="17"/>
  <c r="T15" i="17"/>
  <c r="Q15" i="17"/>
  <c r="P15" i="17"/>
  <c r="M15" i="17"/>
  <c r="L15" i="17"/>
  <c r="AS14" i="17"/>
  <c r="AO14" i="17"/>
  <c r="AK14" i="17"/>
  <c r="AG14" i="17"/>
  <c r="AC14" i="17"/>
  <c r="Y14" i="17"/>
  <c r="U14" i="17"/>
  <c r="T14" i="17"/>
  <c r="Q14" i="17"/>
  <c r="P14" i="17"/>
  <c r="M14" i="17"/>
  <c r="L14" i="17"/>
  <c r="U13" i="17"/>
  <c r="T13" i="17"/>
  <c r="Q13" i="17"/>
  <c r="P13" i="17"/>
  <c r="M13" i="17"/>
  <c r="L13" i="17"/>
  <c r="U12" i="17"/>
  <c r="T12" i="17"/>
  <c r="Q12" i="17"/>
  <c r="P12" i="17"/>
  <c r="M12" i="17"/>
  <c r="L12" i="17"/>
  <c r="F46" i="17"/>
  <c r="I46" i="17" s="1"/>
  <c r="F38" i="17"/>
  <c r="I38" i="17" s="1"/>
  <c r="F31" i="17"/>
  <c r="I31" i="17" s="1"/>
  <c r="F23" i="17"/>
  <c r="I45" i="17"/>
  <c r="H45" i="17"/>
  <c r="I42" i="17"/>
  <c r="H42" i="17"/>
  <c r="I41" i="17"/>
  <c r="H41" i="17"/>
  <c r="I40" i="17"/>
  <c r="H40" i="17"/>
  <c r="I37" i="17"/>
  <c r="H37" i="17"/>
  <c r="I36" i="17"/>
  <c r="H36" i="17"/>
  <c r="I35" i="17"/>
  <c r="H35" i="17"/>
  <c r="I34" i="17"/>
  <c r="H34" i="17"/>
  <c r="I33" i="17"/>
  <c r="H33" i="17"/>
  <c r="I30" i="17"/>
  <c r="H30" i="17"/>
  <c r="I29" i="17"/>
  <c r="H29" i="17"/>
  <c r="I27" i="17"/>
  <c r="H27" i="17"/>
  <c r="I26" i="17"/>
  <c r="H26" i="17"/>
  <c r="I25" i="17"/>
  <c r="H25" i="17"/>
  <c r="I22" i="17"/>
  <c r="H22" i="17"/>
  <c r="I18" i="17"/>
  <c r="H18" i="17"/>
  <c r="I17" i="17"/>
  <c r="H17" i="17"/>
  <c r="I16" i="17"/>
  <c r="H16" i="17"/>
  <c r="I15" i="17"/>
  <c r="H15" i="17"/>
  <c r="I14" i="17"/>
  <c r="H14" i="17"/>
  <c r="I13" i="17"/>
  <c r="H13" i="17"/>
  <c r="I12" i="17"/>
  <c r="H12" i="17"/>
  <c r="A53" i="17"/>
  <c r="A54" i="17"/>
  <c r="A57" i="17"/>
  <c r="A58" i="17"/>
  <c r="A59" i="17"/>
  <c r="A60" i="17"/>
  <c r="A61" i="17"/>
  <c r="A66" i="17"/>
  <c r="A67" i="17"/>
  <c r="A68" i="17"/>
  <c r="A69" i="17"/>
  <c r="A70" i="17"/>
  <c r="A71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9" i="17"/>
  <c r="A90" i="17"/>
  <c r="A91" i="17"/>
  <c r="A52" i="17"/>
  <c r="B51" i="17"/>
  <c r="B89" i="17" s="1"/>
  <c r="C50" i="17"/>
  <c r="D50" i="17" s="1"/>
  <c r="E50" i="17" s="1"/>
  <c r="F50" i="17" s="1"/>
  <c r="G50" i="17" s="1"/>
  <c r="H50" i="17" s="1"/>
  <c r="I50" i="17" s="1"/>
  <c r="J50" i="17" s="1"/>
  <c r="K50" i="17" s="1"/>
  <c r="L50" i="17" s="1"/>
  <c r="M50" i="17" s="1"/>
  <c r="N50" i="17" s="1"/>
  <c r="O50" i="17" s="1"/>
  <c r="P50" i="17" s="1"/>
  <c r="Q50" i="17" s="1"/>
  <c r="R50" i="17" s="1"/>
  <c r="S50" i="17" s="1"/>
  <c r="T50" i="17" s="1"/>
  <c r="U50" i="17" s="1"/>
  <c r="V50" i="17" s="1"/>
  <c r="W50" i="17" s="1"/>
  <c r="C37" i="10"/>
  <c r="C36" i="10"/>
  <c r="C30" i="10"/>
  <c r="C23" i="10"/>
  <c r="C16" i="10"/>
  <c r="C13" i="10"/>
  <c r="J3" i="14"/>
  <c r="K3" i="14"/>
  <c r="L3" i="14" s="1"/>
  <c r="J4" i="14"/>
  <c r="K4" i="14"/>
  <c r="L4" i="14"/>
  <c r="J5" i="14"/>
  <c r="J11" i="14" s="1"/>
  <c r="K5" i="14"/>
  <c r="L5" i="14" s="1"/>
  <c r="J6" i="14"/>
  <c r="K6" i="14"/>
  <c r="L6" i="14" s="1"/>
  <c r="J7" i="14"/>
  <c r="C14" i="14" s="1"/>
  <c r="K7" i="14"/>
  <c r="L7" i="14"/>
  <c r="J8" i="14"/>
  <c r="C15" i="14" s="1"/>
  <c r="K8" i="14"/>
  <c r="L8" i="14" s="1"/>
  <c r="J9" i="14"/>
  <c r="K9" i="14"/>
  <c r="L9" i="14"/>
  <c r="J10" i="14"/>
  <c r="K10" i="14"/>
  <c r="L10" i="14"/>
  <c r="D11" i="14"/>
  <c r="E11" i="14"/>
  <c r="F11" i="14"/>
  <c r="G11" i="14"/>
  <c r="H11" i="14"/>
  <c r="I11" i="14"/>
  <c r="C16" i="14"/>
  <c r="F4" i="12"/>
  <c r="F5" i="12"/>
  <c r="C6" i="12"/>
  <c r="D6" i="12"/>
  <c r="C8" i="12"/>
  <c r="D8" i="12"/>
  <c r="C10" i="12"/>
  <c r="D10" i="12"/>
  <c r="H10" i="17" l="1"/>
  <c r="B28" i="19"/>
  <c r="F10" i="12"/>
  <c r="F12" i="12" s="1"/>
  <c r="F17" i="12" s="1"/>
  <c r="AD47" i="17"/>
  <c r="AP47" i="17"/>
  <c r="V47" i="17"/>
  <c r="P10" i="17"/>
  <c r="L10" i="17"/>
  <c r="F47" i="17"/>
  <c r="I47" i="17" s="1"/>
  <c r="T10" i="17"/>
  <c r="J47" i="17"/>
  <c r="M47" i="17" s="1"/>
  <c r="N47" i="17"/>
  <c r="Q47" i="17" s="1"/>
  <c r="I10" i="17"/>
  <c r="Z47" i="17"/>
  <c r="AH47" i="17"/>
  <c r="AL47" i="17"/>
  <c r="R47" i="17"/>
  <c r="U47" i="17" s="1"/>
  <c r="B55" i="17"/>
  <c r="B65" i="17"/>
  <c r="B94" i="17"/>
  <c r="B72" i="17"/>
  <c r="Y28" i="17"/>
  <c r="B62" i="17"/>
  <c r="B87" i="17"/>
  <c r="C51" i="17"/>
  <c r="B63" i="17"/>
  <c r="B64" i="17"/>
  <c r="F4" i="17"/>
  <c r="B66" i="17"/>
  <c r="I23" i="17"/>
  <c r="B73" i="17"/>
  <c r="B80" i="17"/>
  <c r="B79" i="17"/>
  <c r="B53" i="17"/>
  <c r="B58" i="17"/>
  <c r="H46" i="17"/>
  <c r="P31" i="17"/>
  <c r="T38" i="17"/>
  <c r="H31" i="17"/>
  <c r="H38" i="17"/>
  <c r="H23" i="17"/>
  <c r="P23" i="17"/>
  <c r="L38" i="17"/>
  <c r="T31" i="17"/>
  <c r="L23" i="17"/>
  <c r="P46" i="17"/>
  <c r="T46" i="17"/>
  <c r="L31" i="17"/>
  <c r="P38" i="17"/>
  <c r="T23" i="17"/>
  <c r="L46" i="17"/>
  <c r="G4" i="12"/>
  <c r="G5" i="12"/>
  <c r="D189" i="11"/>
  <c r="D188" i="11"/>
  <c r="E982" i="8"/>
  <c r="E981" i="8"/>
  <c r="E980" i="8"/>
  <c r="E979" i="8"/>
  <c r="E978" i="8"/>
  <c r="E977" i="8"/>
  <c r="E976" i="8"/>
  <c r="E975" i="8"/>
  <c r="E974" i="8"/>
  <c r="E973" i="8"/>
  <c r="E972" i="8"/>
  <c r="E971" i="8"/>
  <c r="E970" i="8"/>
  <c r="E969" i="8"/>
  <c r="E968" i="8"/>
  <c r="E967" i="8"/>
  <c r="E966" i="8"/>
  <c r="E965" i="8"/>
  <c r="E964" i="8"/>
  <c r="E963" i="8"/>
  <c r="E962" i="8"/>
  <c r="E961" i="8"/>
  <c r="E960" i="8"/>
  <c r="E959" i="8"/>
  <c r="E958" i="8"/>
  <c r="E957" i="8"/>
  <c r="E956" i="8"/>
  <c r="E955" i="8"/>
  <c r="E954" i="8"/>
  <c r="E953" i="8"/>
  <c r="E952" i="8"/>
  <c r="E951" i="8"/>
  <c r="E950" i="8"/>
  <c r="E949" i="8"/>
  <c r="E948" i="8"/>
  <c r="E947" i="8"/>
  <c r="E946" i="8"/>
  <c r="E945" i="8"/>
  <c r="C8" i="18" l="1"/>
  <c r="D8" i="18" s="1"/>
  <c r="F20" i="12"/>
  <c r="F19" i="12"/>
  <c r="P47" i="17"/>
  <c r="L47" i="17"/>
  <c r="H47" i="17"/>
  <c r="T47" i="17"/>
  <c r="C56" i="17"/>
  <c r="C55" i="17"/>
  <c r="C65" i="17"/>
  <c r="G7" i="17"/>
  <c r="G9" i="17"/>
  <c r="C94" i="17"/>
  <c r="C62" i="17"/>
  <c r="C72" i="17"/>
  <c r="G28" i="17"/>
  <c r="C80" i="17"/>
  <c r="D51" i="17"/>
  <c r="C87" i="17"/>
  <c r="G21" i="17"/>
  <c r="C73" i="17"/>
  <c r="C89" i="17"/>
  <c r="C58" i="17"/>
  <c r="C53" i="17"/>
  <c r="G35" i="17"/>
  <c r="G43" i="17"/>
  <c r="G15" i="17"/>
  <c r="C79" i="17"/>
  <c r="J4" i="17"/>
  <c r="C64" i="17"/>
  <c r="C66" i="17"/>
  <c r="C63" i="17"/>
  <c r="G36" i="17"/>
  <c r="G45" i="17"/>
  <c r="G29" i="17"/>
  <c r="G12" i="17"/>
  <c r="G20" i="17"/>
  <c r="G22" i="17"/>
  <c r="G19" i="17"/>
  <c r="G11" i="12"/>
  <c r="H4" i="12"/>
  <c r="H5" i="12"/>
  <c r="D176" i="11"/>
  <c r="D177" i="11"/>
  <c r="D179" i="11"/>
  <c r="D180" i="11"/>
  <c r="D185" i="11"/>
  <c r="D186" i="11"/>
  <c r="D187" i="11"/>
  <c r="D178" i="11"/>
  <c r="D181" i="11"/>
  <c r="D182" i="11"/>
  <c r="D183" i="11"/>
  <c r="D184" i="11"/>
  <c r="E781" i="8"/>
  <c r="E782" i="8"/>
  <c r="E783" i="8"/>
  <c r="E784" i="8"/>
  <c r="E802" i="8"/>
  <c r="E803" i="8"/>
  <c r="E804" i="8"/>
  <c r="E820" i="8"/>
  <c r="E824" i="8"/>
  <c r="E835" i="8"/>
  <c r="E836" i="8"/>
  <c r="E880" i="8"/>
  <c r="E944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B32" i="13" s="1"/>
  <c r="E750" i="8"/>
  <c r="B31" i="13" s="1"/>
  <c r="B36" i="13" s="1"/>
  <c r="E751" i="8"/>
  <c r="E752" i="8"/>
  <c r="E753" i="8"/>
  <c r="E754" i="8"/>
  <c r="B25" i="13" s="1"/>
  <c r="E755" i="8"/>
  <c r="E756" i="8"/>
  <c r="E757" i="8"/>
  <c r="E758" i="8"/>
  <c r="B35" i="13" s="1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1" i="8"/>
  <c r="E822" i="8"/>
  <c r="E823" i="8"/>
  <c r="E825" i="8"/>
  <c r="E826" i="8"/>
  <c r="E827" i="8"/>
  <c r="E828" i="8"/>
  <c r="E829" i="8"/>
  <c r="E830" i="8"/>
  <c r="E831" i="8"/>
  <c r="E832" i="8"/>
  <c r="E833" i="8"/>
  <c r="E834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B23" i="13" s="1"/>
  <c r="E862" i="8"/>
  <c r="E863" i="8"/>
  <c r="E864" i="8"/>
  <c r="E865" i="8"/>
  <c r="E866" i="8"/>
  <c r="E867" i="8"/>
  <c r="E868" i="8"/>
  <c r="E869" i="8"/>
  <c r="E870" i="8"/>
  <c r="E871" i="8"/>
  <c r="E872" i="8"/>
  <c r="B39" i="13" s="1"/>
  <c r="E873" i="8"/>
  <c r="E874" i="8"/>
  <c r="E875" i="8"/>
  <c r="E876" i="8"/>
  <c r="E877" i="8"/>
  <c r="E878" i="8"/>
  <c r="E879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B28" i="13" s="1"/>
  <c r="E928" i="8"/>
  <c r="E929" i="8"/>
  <c r="E930" i="8"/>
  <c r="E931" i="8"/>
  <c r="E932" i="8"/>
  <c r="B12" i="13" s="1"/>
  <c r="E933" i="8"/>
  <c r="E934" i="8"/>
  <c r="E935" i="8"/>
  <c r="E936" i="8"/>
  <c r="E937" i="8"/>
  <c r="E938" i="8"/>
  <c r="E939" i="8"/>
  <c r="E940" i="8"/>
  <c r="E941" i="8"/>
  <c r="E942" i="8"/>
  <c r="E943" i="8"/>
  <c r="B15" i="13" l="1"/>
  <c r="B29" i="13"/>
  <c r="B42" i="13"/>
  <c r="B11" i="13"/>
  <c r="C96" i="17"/>
  <c r="B16" i="13"/>
  <c r="B96" i="17"/>
  <c r="B6" i="13"/>
  <c r="B8" i="13" s="1"/>
  <c r="C9" i="10"/>
  <c r="C11" i="10" s="1"/>
  <c r="B56" i="17"/>
  <c r="B14" i="13"/>
  <c r="B40" i="13"/>
  <c r="G8" i="17"/>
  <c r="G10" i="17" s="1"/>
  <c r="B38" i="13"/>
  <c r="H51" i="10"/>
  <c r="B48" i="13"/>
  <c r="N18" i="10"/>
  <c r="N16" i="10"/>
  <c r="N19" i="10"/>
  <c r="N15" i="10"/>
  <c r="N17" i="10"/>
  <c r="B24" i="13"/>
  <c r="K9" i="17"/>
  <c r="K8" i="17"/>
  <c r="K7" i="17"/>
  <c r="D56" i="17"/>
  <c r="D65" i="17"/>
  <c r="D55" i="17"/>
  <c r="C45" i="10"/>
  <c r="B95" i="17"/>
  <c r="B88" i="17"/>
  <c r="G44" i="17"/>
  <c r="C95" i="17"/>
  <c r="C97" i="17" s="1"/>
  <c r="K44" i="17"/>
  <c r="C88" i="17"/>
  <c r="D95" i="17"/>
  <c r="D94" i="17"/>
  <c r="D96" i="17"/>
  <c r="D88" i="17"/>
  <c r="N4" i="17"/>
  <c r="K28" i="17"/>
  <c r="D64" i="17"/>
  <c r="D79" i="17"/>
  <c r="E51" i="17"/>
  <c r="D87" i="17"/>
  <c r="D62" i="17"/>
  <c r="D72" i="17"/>
  <c r="D53" i="17"/>
  <c r="D63" i="17"/>
  <c r="D66" i="17"/>
  <c r="D58" i="17"/>
  <c r="D89" i="17"/>
  <c r="D73" i="17"/>
  <c r="D80" i="17"/>
  <c r="K15" i="17"/>
  <c r="K21" i="17"/>
  <c r="K36" i="17"/>
  <c r="K45" i="17"/>
  <c r="K43" i="17"/>
  <c r="K29" i="17"/>
  <c r="K12" i="17"/>
  <c r="K19" i="17"/>
  <c r="K20" i="17"/>
  <c r="K22" i="17"/>
  <c r="K35" i="17"/>
  <c r="K25" i="17"/>
  <c r="B69" i="17"/>
  <c r="D69" i="17"/>
  <c r="G25" i="17"/>
  <c r="C69" i="17"/>
  <c r="C71" i="17"/>
  <c r="B71" i="17"/>
  <c r="G27" i="17"/>
  <c r="D71" i="17"/>
  <c r="K27" i="17"/>
  <c r="C60" i="17"/>
  <c r="B60" i="17"/>
  <c r="K17" i="17"/>
  <c r="D60" i="17"/>
  <c r="G17" i="17"/>
  <c r="B85" i="17"/>
  <c r="G41" i="17"/>
  <c r="K41" i="17"/>
  <c r="D85" i="17"/>
  <c r="C85" i="17"/>
  <c r="G16" i="17"/>
  <c r="B59" i="17"/>
  <c r="K16" i="17"/>
  <c r="C59" i="17"/>
  <c r="D59" i="17"/>
  <c r="K30" i="17"/>
  <c r="B74" i="17"/>
  <c r="G30" i="17"/>
  <c r="C74" i="17"/>
  <c r="D74" i="17"/>
  <c r="C70" i="17"/>
  <c r="B70" i="17"/>
  <c r="D70" i="17"/>
  <c r="K26" i="17"/>
  <c r="G26" i="17"/>
  <c r="B86" i="17"/>
  <c r="K42" i="17"/>
  <c r="C86" i="17"/>
  <c r="D86" i="17"/>
  <c r="G42" i="17"/>
  <c r="C54" i="17"/>
  <c r="B54" i="17"/>
  <c r="G13" i="17"/>
  <c r="K13" i="17"/>
  <c r="D54" i="17"/>
  <c r="G18" i="17"/>
  <c r="B61" i="17"/>
  <c r="C61" i="17"/>
  <c r="D61" i="17"/>
  <c r="K18" i="17"/>
  <c r="G34" i="17"/>
  <c r="C78" i="17"/>
  <c r="B78" i="17"/>
  <c r="K34" i="17"/>
  <c r="D78" i="17"/>
  <c r="C57" i="17"/>
  <c r="G14" i="17"/>
  <c r="B57" i="17"/>
  <c r="D57" i="17"/>
  <c r="K14" i="17"/>
  <c r="B81" i="17"/>
  <c r="K37" i="17"/>
  <c r="G37" i="17"/>
  <c r="C81" i="17"/>
  <c r="D81" i="17"/>
  <c r="G33" i="17"/>
  <c r="C77" i="17"/>
  <c r="B77" i="17"/>
  <c r="K33" i="17"/>
  <c r="D77" i="17"/>
  <c r="B84" i="17"/>
  <c r="G40" i="17"/>
  <c r="C84" i="17"/>
  <c r="D84" i="17"/>
  <c r="K40" i="17"/>
  <c r="C26" i="10"/>
  <c r="C14" i="10"/>
  <c r="C19" i="10"/>
  <c r="C38" i="10"/>
  <c r="C34" i="10"/>
  <c r="C41" i="10"/>
  <c r="C27" i="10"/>
  <c r="C42" i="10"/>
  <c r="C35" i="10"/>
  <c r="C17" i="10"/>
  <c r="C31" i="10"/>
  <c r="C28" i="10"/>
  <c r="C43" i="10"/>
  <c r="C15" i="10"/>
  <c r="C18" i="10"/>
  <c r="H11" i="12"/>
  <c r="I4" i="12"/>
  <c r="I5" i="12"/>
  <c r="G10" i="12"/>
  <c r="G12" i="12" s="1"/>
  <c r="B97" i="17" l="1"/>
  <c r="B98" i="17" s="1"/>
  <c r="B44" i="13"/>
  <c r="O7" i="10"/>
  <c r="D11" i="18"/>
  <c r="B21" i="13"/>
  <c r="B46" i="13" s="1"/>
  <c r="G17" i="12"/>
  <c r="G20" i="12" s="1"/>
  <c r="K10" i="17"/>
  <c r="E56" i="17"/>
  <c r="B8" i="17" s="1"/>
  <c r="E65" i="17"/>
  <c r="C7" i="17" s="1"/>
  <c r="E55" i="17"/>
  <c r="B9" i="17" s="1"/>
  <c r="O15" i="17"/>
  <c r="O8" i="17"/>
  <c r="O7" i="17"/>
  <c r="O9" i="17"/>
  <c r="O18" i="17"/>
  <c r="O12" i="17"/>
  <c r="O45" i="17"/>
  <c r="O14" i="17"/>
  <c r="O41" i="17"/>
  <c r="O25" i="17"/>
  <c r="O35" i="17"/>
  <c r="O40" i="17"/>
  <c r="O42" i="17"/>
  <c r="O33" i="17"/>
  <c r="O22" i="17"/>
  <c r="O34" i="17"/>
  <c r="O26" i="17"/>
  <c r="O29" i="17"/>
  <c r="O36" i="17"/>
  <c r="O43" i="17"/>
  <c r="D97" i="17"/>
  <c r="D98" i="17" s="1"/>
  <c r="C98" i="17"/>
  <c r="E95" i="17"/>
  <c r="E94" i="17"/>
  <c r="E96" i="17"/>
  <c r="O27" i="17"/>
  <c r="O17" i="17"/>
  <c r="O37" i="17"/>
  <c r="O20" i="17"/>
  <c r="O30" i="17"/>
  <c r="O13" i="17"/>
  <c r="O19" i="17"/>
  <c r="O16" i="17"/>
  <c r="O21" i="17"/>
  <c r="O44" i="17"/>
  <c r="E88" i="17"/>
  <c r="B44" i="17" s="1"/>
  <c r="E74" i="17"/>
  <c r="C30" i="17" s="1"/>
  <c r="E58" i="17"/>
  <c r="C15" i="17" s="1"/>
  <c r="E57" i="17"/>
  <c r="B14" i="17" s="1"/>
  <c r="E54" i="17"/>
  <c r="B13" i="17" s="1"/>
  <c r="E85" i="17"/>
  <c r="C41" i="17" s="1"/>
  <c r="E66" i="17"/>
  <c r="C22" i="17" s="1"/>
  <c r="E71" i="17"/>
  <c r="C27" i="17" s="1"/>
  <c r="E70" i="17"/>
  <c r="B26" i="17" s="1"/>
  <c r="F51" i="17"/>
  <c r="E53" i="17"/>
  <c r="B12" i="17" s="1"/>
  <c r="E84" i="17"/>
  <c r="B40" i="17" s="1"/>
  <c r="E86" i="17"/>
  <c r="C42" i="17" s="1"/>
  <c r="E89" i="17"/>
  <c r="C45" i="17" s="1"/>
  <c r="E63" i="17"/>
  <c r="C20" i="17" s="1"/>
  <c r="E81" i="17"/>
  <c r="C37" i="17" s="1"/>
  <c r="E72" i="17"/>
  <c r="B28" i="17" s="1"/>
  <c r="E59" i="17"/>
  <c r="B16" i="17" s="1"/>
  <c r="R4" i="17"/>
  <c r="E64" i="17"/>
  <c r="C19" i="17" s="1"/>
  <c r="E77" i="17"/>
  <c r="B33" i="17" s="1"/>
  <c r="E62" i="17"/>
  <c r="C21" i="17" s="1"/>
  <c r="E80" i="17"/>
  <c r="B36" i="17" s="1"/>
  <c r="E60" i="17"/>
  <c r="B17" i="17" s="1"/>
  <c r="E87" i="17"/>
  <c r="C43" i="17" s="1"/>
  <c r="E69" i="17"/>
  <c r="C25" i="17" s="1"/>
  <c r="E79" i="17"/>
  <c r="C35" i="17" s="1"/>
  <c r="E73" i="17"/>
  <c r="C29" i="17" s="1"/>
  <c r="E61" i="17"/>
  <c r="C18" i="17" s="1"/>
  <c r="E78" i="17"/>
  <c r="B34" i="17" s="1"/>
  <c r="O28" i="17"/>
  <c r="K31" i="17"/>
  <c r="G38" i="17"/>
  <c r="K46" i="17"/>
  <c r="G23" i="17"/>
  <c r="G46" i="17"/>
  <c r="K38" i="17"/>
  <c r="K23" i="17"/>
  <c r="G31" i="17"/>
  <c r="C24" i="10"/>
  <c r="C32" i="10"/>
  <c r="C47" i="10"/>
  <c r="C39" i="10"/>
  <c r="J4" i="12"/>
  <c r="J5" i="12"/>
  <c r="I11" i="12"/>
  <c r="H10" i="12"/>
  <c r="H12" i="12" s="1"/>
  <c r="D12" i="17" l="1"/>
  <c r="D14" i="17"/>
  <c r="D36" i="17"/>
  <c r="D34" i="17"/>
  <c r="B45" i="13"/>
  <c r="B50" i="13" s="1"/>
  <c r="B51" i="13" s="1"/>
  <c r="C48" i="13" s="1"/>
  <c r="H17" i="12"/>
  <c r="H20" i="12" s="1"/>
  <c r="D15" i="18"/>
  <c r="O11" i="10"/>
  <c r="O10" i="10"/>
  <c r="D14" i="18"/>
  <c r="D13" i="18"/>
  <c r="O9" i="10"/>
  <c r="O8" i="10"/>
  <c r="D12" i="18"/>
  <c r="K47" i="17"/>
  <c r="G47" i="17"/>
  <c r="C48" i="10"/>
  <c r="O10" i="17"/>
  <c r="B7" i="17"/>
  <c r="B10" i="17" s="1"/>
  <c r="C9" i="17"/>
  <c r="E9" i="17" s="1"/>
  <c r="C8" i="17"/>
  <c r="D8" i="17" s="1"/>
  <c r="D9" i="17"/>
  <c r="S9" i="17"/>
  <c r="S7" i="17"/>
  <c r="S8" i="17"/>
  <c r="F65" i="17"/>
  <c r="F55" i="17"/>
  <c r="F56" i="17"/>
  <c r="O46" i="17"/>
  <c r="O38" i="17"/>
  <c r="F95" i="17"/>
  <c r="F94" i="17"/>
  <c r="F96" i="17"/>
  <c r="E97" i="17"/>
  <c r="E98" i="17" s="1"/>
  <c r="B30" i="17"/>
  <c r="O31" i="17"/>
  <c r="O23" i="17"/>
  <c r="C44" i="17"/>
  <c r="D44" i="17" s="1"/>
  <c r="B15" i="17"/>
  <c r="S19" i="17"/>
  <c r="S44" i="17"/>
  <c r="F88" i="17"/>
  <c r="B41" i="17"/>
  <c r="C14" i="17"/>
  <c r="E14" i="17" s="1"/>
  <c r="C40" i="17"/>
  <c r="B42" i="17"/>
  <c r="B27" i="17"/>
  <c r="C26" i="17"/>
  <c r="E26" i="17" s="1"/>
  <c r="C36" i="17"/>
  <c r="E36" i="17" s="1"/>
  <c r="F81" i="17"/>
  <c r="F84" i="17"/>
  <c r="F87" i="17"/>
  <c r="C13" i="17"/>
  <c r="D13" i="17" s="1"/>
  <c r="C33" i="17"/>
  <c r="E33" i="17" s="1"/>
  <c r="G51" i="17"/>
  <c r="F63" i="17"/>
  <c r="F59" i="17"/>
  <c r="B22" i="17"/>
  <c r="F70" i="17"/>
  <c r="F78" i="17"/>
  <c r="F62" i="17"/>
  <c r="B20" i="17"/>
  <c r="F58" i="17"/>
  <c r="S27" i="17"/>
  <c r="B21" i="17"/>
  <c r="B18" i="17"/>
  <c r="B29" i="17"/>
  <c r="B45" i="17"/>
  <c r="B37" i="17"/>
  <c r="C34" i="17"/>
  <c r="E34" i="17" s="1"/>
  <c r="S41" i="17"/>
  <c r="F57" i="17"/>
  <c r="S42" i="17"/>
  <c r="F77" i="17"/>
  <c r="S28" i="17"/>
  <c r="S26" i="17"/>
  <c r="S15" i="17"/>
  <c r="S34" i="17"/>
  <c r="F61" i="17"/>
  <c r="F54" i="17"/>
  <c r="V4" i="17"/>
  <c r="S33" i="17"/>
  <c r="S13" i="17"/>
  <c r="F71" i="17"/>
  <c r="C12" i="17"/>
  <c r="E12" i="17" s="1"/>
  <c r="S21" i="17"/>
  <c r="S37" i="17"/>
  <c r="F66" i="17"/>
  <c r="F53" i="17"/>
  <c r="F80" i="17"/>
  <c r="S14" i="17"/>
  <c r="S35" i="17"/>
  <c r="S29" i="17"/>
  <c r="C16" i="17"/>
  <c r="E16" i="17" s="1"/>
  <c r="F64" i="17"/>
  <c r="F89" i="17"/>
  <c r="F86" i="17"/>
  <c r="F85" i="17"/>
  <c r="S45" i="17"/>
  <c r="S16" i="17"/>
  <c r="F72" i="17"/>
  <c r="S22" i="17"/>
  <c r="B25" i="17"/>
  <c r="S30" i="17"/>
  <c r="S36" i="17"/>
  <c r="S25" i="17"/>
  <c r="F74" i="17"/>
  <c r="F69" i="17"/>
  <c r="S12" i="17"/>
  <c r="S18" i="17"/>
  <c r="S43" i="17"/>
  <c r="F60" i="17"/>
  <c r="F79" i="17"/>
  <c r="F73" i="17"/>
  <c r="S20" i="17"/>
  <c r="S17" i="17"/>
  <c r="S40" i="17"/>
  <c r="B19" i="17"/>
  <c r="B35" i="17"/>
  <c r="B43" i="17"/>
  <c r="C17" i="17"/>
  <c r="E17" i="17" s="1"/>
  <c r="C28" i="17"/>
  <c r="D28" i="17" s="1"/>
  <c r="AC19" i="17"/>
  <c r="Y19" i="17"/>
  <c r="D26" i="17"/>
  <c r="I10" i="12"/>
  <c r="I12" i="12" s="1"/>
  <c r="J11" i="12"/>
  <c r="K5" i="12"/>
  <c r="K4" i="12"/>
  <c r="E18" i="17" l="1"/>
  <c r="E22" i="17"/>
  <c r="D21" i="17"/>
  <c r="D15" i="17"/>
  <c r="D19" i="17"/>
  <c r="D20" i="17"/>
  <c r="D25" i="17"/>
  <c r="D27" i="17"/>
  <c r="D29" i="17"/>
  <c r="D30" i="17"/>
  <c r="D37" i="17"/>
  <c r="D35" i="17"/>
  <c r="D42" i="17"/>
  <c r="D45" i="17"/>
  <c r="D41" i="17"/>
  <c r="E43" i="17"/>
  <c r="C42" i="13"/>
  <c r="C28" i="13"/>
  <c r="C33" i="13"/>
  <c r="B20" i="10"/>
  <c r="D20" i="10" s="1"/>
  <c r="C13" i="13"/>
  <c r="C6" i="13"/>
  <c r="C34" i="13"/>
  <c r="C41" i="13"/>
  <c r="C24" i="13"/>
  <c r="C43" i="13"/>
  <c r="C27" i="13"/>
  <c r="C16" i="13"/>
  <c r="C26" i="13"/>
  <c r="I17" i="12"/>
  <c r="I20" i="12" s="1"/>
  <c r="D16" i="18"/>
  <c r="C6" i="18"/>
  <c r="B21" i="10"/>
  <c r="E21" i="10" s="1"/>
  <c r="B13" i="10"/>
  <c r="E13" i="10" s="1"/>
  <c r="B26" i="10"/>
  <c r="D26" i="10" s="1"/>
  <c r="B42" i="10"/>
  <c r="E42" i="10" s="1"/>
  <c r="B30" i="10"/>
  <c r="D30" i="10" s="1"/>
  <c r="B22" i="10"/>
  <c r="E22" i="10" s="1"/>
  <c r="B27" i="10"/>
  <c r="B38" i="10"/>
  <c r="D38" i="10" s="1"/>
  <c r="E10" i="19" s="1"/>
  <c r="F10" i="19" s="1"/>
  <c r="G10" i="19" s="1"/>
  <c r="B37" i="10"/>
  <c r="E37" i="10" s="1"/>
  <c r="B46" i="10"/>
  <c r="B15" i="10"/>
  <c r="E15" i="10" s="1"/>
  <c r="B31" i="10"/>
  <c r="D31" i="10" s="1"/>
  <c r="O47" i="17"/>
  <c r="B29" i="10"/>
  <c r="E29" i="10" s="1"/>
  <c r="B14" i="10"/>
  <c r="D14" i="10" s="1"/>
  <c r="B43" i="10"/>
  <c r="E43" i="10" s="1"/>
  <c r="B18" i="10"/>
  <c r="D18" i="10" s="1"/>
  <c r="B35" i="10"/>
  <c r="D35" i="10" s="1"/>
  <c r="B9" i="10"/>
  <c r="B36" i="10"/>
  <c r="E36" i="10" s="1"/>
  <c r="B8" i="10"/>
  <c r="B17" i="10"/>
  <c r="D17" i="10" s="1"/>
  <c r="B41" i="10"/>
  <c r="E41" i="10" s="1"/>
  <c r="B45" i="10"/>
  <c r="B34" i="10"/>
  <c r="B19" i="10"/>
  <c r="B16" i="10"/>
  <c r="D16" i="10" s="1"/>
  <c r="B10" i="10"/>
  <c r="B44" i="10"/>
  <c r="E44" i="10" s="1"/>
  <c r="B28" i="10"/>
  <c r="E28" i="10" s="1"/>
  <c r="H53" i="10"/>
  <c r="H54" i="10" s="1"/>
  <c r="E7" i="17"/>
  <c r="D7" i="17"/>
  <c r="S10" i="17"/>
  <c r="C10" i="17"/>
  <c r="E8" i="17"/>
  <c r="W9" i="17"/>
  <c r="W8" i="17"/>
  <c r="X8" i="17" s="1"/>
  <c r="W7" i="17"/>
  <c r="G65" i="17"/>
  <c r="G55" i="17"/>
  <c r="G56" i="17"/>
  <c r="F97" i="17"/>
  <c r="F98" i="17" s="1"/>
  <c r="G62" i="17"/>
  <c r="G94" i="17"/>
  <c r="G96" i="17"/>
  <c r="G95" i="17"/>
  <c r="E30" i="17"/>
  <c r="G89" i="17"/>
  <c r="E15" i="17"/>
  <c r="E44" i="17"/>
  <c r="C46" i="17"/>
  <c r="G88" i="17"/>
  <c r="W44" i="17"/>
  <c r="X44" i="17" s="1"/>
  <c r="Z4" i="17"/>
  <c r="G57" i="17"/>
  <c r="E40" i="17"/>
  <c r="E41" i="17"/>
  <c r="E42" i="17"/>
  <c r="D40" i="17"/>
  <c r="E27" i="17"/>
  <c r="C38" i="17"/>
  <c r="G77" i="17"/>
  <c r="G84" i="17"/>
  <c r="E21" i="17"/>
  <c r="D17" i="17"/>
  <c r="G69" i="17"/>
  <c r="E13" i="17"/>
  <c r="W19" i="17"/>
  <c r="X19" i="17" s="1"/>
  <c r="G63" i="17"/>
  <c r="E45" i="17"/>
  <c r="G70" i="17"/>
  <c r="G60" i="17"/>
  <c r="H51" i="17"/>
  <c r="G58" i="17"/>
  <c r="G87" i="17"/>
  <c r="G86" i="17"/>
  <c r="G78" i="17"/>
  <c r="G81" i="17"/>
  <c r="G73" i="17"/>
  <c r="G59" i="17"/>
  <c r="G54" i="17"/>
  <c r="G53" i="17"/>
  <c r="G66" i="17"/>
  <c r="G80" i="17"/>
  <c r="G74" i="17"/>
  <c r="G71" i="17"/>
  <c r="D33" i="17"/>
  <c r="G64" i="17"/>
  <c r="G79" i="17"/>
  <c r="G61" i="17"/>
  <c r="G85" i="17"/>
  <c r="G72" i="17"/>
  <c r="D16" i="17"/>
  <c r="E20" i="17"/>
  <c r="E37" i="17"/>
  <c r="B46" i="17"/>
  <c r="B38" i="17"/>
  <c r="C23" i="17"/>
  <c r="C31" i="17"/>
  <c r="D18" i="17"/>
  <c r="D22" i="17"/>
  <c r="W21" i="17"/>
  <c r="X21" i="17" s="1"/>
  <c r="E29" i="17"/>
  <c r="E35" i="17"/>
  <c r="S31" i="17"/>
  <c r="D43" i="17"/>
  <c r="B23" i="17"/>
  <c r="E19" i="17"/>
  <c r="S38" i="17"/>
  <c r="S46" i="17"/>
  <c r="W12" i="17"/>
  <c r="X12" i="17" s="1"/>
  <c r="W26" i="17"/>
  <c r="Y26" i="17" s="1"/>
  <c r="W29" i="17"/>
  <c r="X29" i="17" s="1"/>
  <c r="S23" i="17"/>
  <c r="W30" i="17"/>
  <c r="Y30" i="17" s="1"/>
  <c r="W42" i="17"/>
  <c r="X42" i="17" s="1"/>
  <c r="W34" i="17"/>
  <c r="X34" i="17" s="1"/>
  <c r="W33" i="17"/>
  <c r="Y33" i="17" s="1"/>
  <c r="W20" i="17"/>
  <c r="X20" i="17" s="1"/>
  <c r="W28" i="17"/>
  <c r="X28" i="17" s="1"/>
  <c r="W22" i="17"/>
  <c r="Y22" i="17" s="1"/>
  <c r="W43" i="17"/>
  <c r="X43" i="17" s="1"/>
  <c r="W13" i="17"/>
  <c r="Y13" i="17" s="1"/>
  <c r="E28" i="17"/>
  <c r="E25" i="17"/>
  <c r="W18" i="17"/>
  <c r="X18" i="17" s="1"/>
  <c r="W25" i="17"/>
  <c r="X25" i="17" s="1"/>
  <c r="W37" i="17"/>
  <c r="Y37" i="17" s="1"/>
  <c r="B31" i="17"/>
  <c r="W15" i="17"/>
  <c r="X15" i="17" s="1"/>
  <c r="W14" i="17"/>
  <c r="X14" i="17" s="1"/>
  <c r="W36" i="17"/>
  <c r="Y36" i="17" s="1"/>
  <c r="W45" i="17"/>
  <c r="X45" i="17" s="1"/>
  <c r="W40" i="17"/>
  <c r="W41" i="17"/>
  <c r="X41" i="17" s="1"/>
  <c r="W27" i="17"/>
  <c r="Y27" i="17" s="1"/>
  <c r="W16" i="17"/>
  <c r="Y16" i="17" s="1"/>
  <c r="W35" i="17"/>
  <c r="X35" i="17" s="1"/>
  <c r="W17" i="17"/>
  <c r="X17" i="17" s="1"/>
  <c r="AG19" i="17"/>
  <c r="C4" i="10"/>
  <c r="J10" i="12"/>
  <c r="J12" i="12" s="1"/>
  <c r="L5" i="12"/>
  <c r="L4" i="12"/>
  <c r="K11" i="12"/>
  <c r="K14" i="12"/>
  <c r="C11" i="13" l="1"/>
  <c r="C10" i="13"/>
  <c r="C38" i="13"/>
  <c r="D38" i="13"/>
  <c r="C15" i="13"/>
  <c r="C18" i="13"/>
  <c r="C23" i="13"/>
  <c r="C25" i="13"/>
  <c r="C32" i="13"/>
  <c r="C20" i="13"/>
  <c r="C7" i="13"/>
  <c r="C19" i="13"/>
  <c r="D5" i="13"/>
  <c r="C5" i="13"/>
  <c r="C40" i="13"/>
  <c r="C31" i="13"/>
  <c r="F6" i="18"/>
  <c r="B3" i="19"/>
  <c r="H20" i="19" s="1"/>
  <c r="J17" i="12"/>
  <c r="J20" i="12" s="1"/>
  <c r="B32" i="10"/>
  <c r="E32" i="10" s="1"/>
  <c r="F13" i="18" s="1"/>
  <c r="E27" i="10"/>
  <c r="E46" i="10"/>
  <c r="D46" i="10"/>
  <c r="B47" i="10"/>
  <c r="B39" i="10"/>
  <c r="B11" i="10"/>
  <c r="D8" i="10"/>
  <c r="E8" i="10"/>
  <c r="S47" i="17"/>
  <c r="E9" i="10"/>
  <c r="D9" i="10"/>
  <c r="E14" i="19" s="1"/>
  <c r="F14" i="19" s="1"/>
  <c r="G14" i="19" s="1"/>
  <c r="D10" i="10"/>
  <c r="E10" i="10"/>
  <c r="D34" i="10"/>
  <c r="F4" i="10"/>
  <c r="H56" i="10"/>
  <c r="G6" i="18" s="1"/>
  <c r="E10" i="17"/>
  <c r="X7" i="17"/>
  <c r="W10" i="17"/>
  <c r="B47" i="17"/>
  <c r="D10" i="17"/>
  <c r="C47" i="17"/>
  <c r="AA44" i="17"/>
  <c r="AB44" i="17" s="1"/>
  <c r="AA8" i="17"/>
  <c r="AB8" i="17" s="1"/>
  <c r="AA7" i="17"/>
  <c r="AA9" i="17"/>
  <c r="H65" i="17"/>
  <c r="H55" i="17"/>
  <c r="H56" i="17"/>
  <c r="Y9" i="17"/>
  <c r="X9" i="17"/>
  <c r="G97" i="17"/>
  <c r="G98" i="17" s="1"/>
  <c r="H66" i="17"/>
  <c r="H96" i="17"/>
  <c r="H94" i="17"/>
  <c r="H95" i="17"/>
  <c r="H59" i="17"/>
  <c r="H85" i="17"/>
  <c r="H84" i="17"/>
  <c r="D46" i="17"/>
  <c r="AA37" i="17"/>
  <c r="AC37" i="17" s="1"/>
  <c r="AA12" i="17"/>
  <c r="AC12" i="17" s="1"/>
  <c r="AA30" i="17"/>
  <c r="AB30" i="17" s="1"/>
  <c r="AA17" i="17"/>
  <c r="AC17" i="17" s="1"/>
  <c r="AA40" i="17"/>
  <c r="AB40" i="17" s="1"/>
  <c r="AA14" i="17"/>
  <c r="AB14" i="17" s="1"/>
  <c r="AA45" i="17"/>
  <c r="AB45" i="17" s="1"/>
  <c r="H64" i="17"/>
  <c r="H57" i="17"/>
  <c r="H87" i="17"/>
  <c r="H72" i="17"/>
  <c r="H62" i="17"/>
  <c r="H58" i="17"/>
  <c r="H61" i="17"/>
  <c r="H79" i="17"/>
  <c r="H74" i="17"/>
  <c r="H73" i="17"/>
  <c r="I51" i="17"/>
  <c r="H86" i="17"/>
  <c r="H70" i="17"/>
  <c r="H71" i="17"/>
  <c r="H53" i="17"/>
  <c r="H89" i="17"/>
  <c r="H78" i="17"/>
  <c r="AD4" i="17"/>
  <c r="H69" i="17"/>
  <c r="H60" i="17"/>
  <c r="H80" i="17"/>
  <c r="H77" i="17"/>
  <c r="H81" i="17"/>
  <c r="H54" i="17"/>
  <c r="H63" i="17"/>
  <c r="AA41" i="17"/>
  <c r="AB41" i="17" s="1"/>
  <c r="AA22" i="17"/>
  <c r="AB22" i="17" s="1"/>
  <c r="AA15" i="17"/>
  <c r="AC15" i="17" s="1"/>
  <c r="AA18" i="17"/>
  <c r="AB18" i="17" s="1"/>
  <c r="AA43" i="17"/>
  <c r="AB43" i="17" s="1"/>
  <c r="AA21" i="17"/>
  <c r="AB21" i="17" s="1"/>
  <c r="AA16" i="17"/>
  <c r="AB16" i="17" s="1"/>
  <c r="AA34" i="17"/>
  <c r="AB34" i="17" s="1"/>
  <c r="X13" i="17"/>
  <c r="AA19" i="17"/>
  <c r="AB19" i="17" s="1"/>
  <c r="AA42" i="17"/>
  <c r="AB42" i="17" s="1"/>
  <c r="AA35" i="17"/>
  <c r="AC35" i="17" s="1"/>
  <c r="AA33" i="17"/>
  <c r="AB33" i="17" s="1"/>
  <c r="AA29" i="17"/>
  <c r="AC29" i="17" s="1"/>
  <c r="AA27" i="17"/>
  <c r="AB27" i="17" s="1"/>
  <c r="AA28" i="17"/>
  <c r="AB28" i="17" s="1"/>
  <c r="AA20" i="17"/>
  <c r="AB20" i="17" s="1"/>
  <c r="AA13" i="17"/>
  <c r="AB13" i="17" s="1"/>
  <c r="AA36" i="17"/>
  <c r="AC36" i="17" s="1"/>
  <c r="AA25" i="17"/>
  <c r="AC25" i="17" s="1"/>
  <c r="AA26" i="17"/>
  <c r="AB26" i="17" s="1"/>
  <c r="E45" i="10"/>
  <c r="D45" i="10"/>
  <c r="E15" i="19" s="1"/>
  <c r="F15" i="19" s="1"/>
  <c r="G15" i="19" s="1"/>
  <c r="H88" i="17"/>
  <c r="D38" i="17"/>
  <c r="E31" i="10"/>
  <c r="D37" i="10"/>
  <c r="E46" i="17"/>
  <c r="D13" i="10"/>
  <c r="E20" i="10"/>
  <c r="E14" i="10"/>
  <c r="E26" i="10"/>
  <c r="E16" i="10"/>
  <c r="D23" i="17"/>
  <c r="E38" i="17"/>
  <c r="X33" i="17"/>
  <c r="E31" i="17"/>
  <c r="Y34" i="17"/>
  <c r="E23" i="17"/>
  <c r="E34" i="10"/>
  <c r="D43" i="10"/>
  <c r="D31" i="17"/>
  <c r="D44" i="10"/>
  <c r="D29" i="10"/>
  <c r="E18" i="10"/>
  <c r="Y18" i="17"/>
  <c r="Y15" i="17"/>
  <c r="X22" i="17"/>
  <c r="Y17" i="17"/>
  <c r="D21" i="10"/>
  <c r="X30" i="17"/>
  <c r="D41" i="10"/>
  <c r="E11" i="19" s="1"/>
  <c r="F11" i="19" s="1"/>
  <c r="G11" i="19" s="1"/>
  <c r="D15" i="10"/>
  <c r="D28" i="10"/>
  <c r="X26" i="17"/>
  <c r="E38" i="10"/>
  <c r="Y25" i="17"/>
  <c r="E30" i="10"/>
  <c r="X36" i="17"/>
  <c r="W46" i="17"/>
  <c r="Y46" i="17" s="1"/>
  <c r="D36" i="10"/>
  <c r="D42" i="10"/>
  <c r="D22" i="10"/>
  <c r="Y12" i="17"/>
  <c r="W23" i="17"/>
  <c r="Y23" i="17" s="1"/>
  <c r="E35" i="10"/>
  <c r="E17" i="10"/>
  <c r="X27" i="17"/>
  <c r="X37" i="17"/>
  <c r="X16" i="17"/>
  <c r="Y35" i="17"/>
  <c r="W31" i="17"/>
  <c r="Y31" i="17" s="1"/>
  <c r="D27" i="10"/>
  <c r="E19" i="10"/>
  <c r="D19" i="10"/>
  <c r="W38" i="17"/>
  <c r="Y38" i="17" s="1"/>
  <c r="X40" i="17"/>
  <c r="X46" i="17" s="1"/>
  <c r="Y40" i="17"/>
  <c r="L14" i="12"/>
  <c r="L11" i="12"/>
  <c r="K10" i="12"/>
  <c r="K12" i="12" s="1"/>
  <c r="M5" i="12"/>
  <c r="M4" i="12"/>
  <c r="B26" i="19" l="1"/>
  <c r="B29" i="19" s="1"/>
  <c r="H10" i="19"/>
  <c r="H16" i="19"/>
  <c r="H8" i="19"/>
  <c r="H22" i="19"/>
  <c r="H15" i="19"/>
  <c r="H19" i="19"/>
  <c r="H14" i="19"/>
  <c r="H13" i="19"/>
  <c r="H12" i="19"/>
  <c r="H17" i="19"/>
  <c r="H11" i="19"/>
  <c r="H18" i="19"/>
  <c r="E13" i="19"/>
  <c r="F13" i="19" s="1"/>
  <c r="G13" i="19" s="1"/>
  <c r="E8" i="19"/>
  <c r="F8" i="19" s="1"/>
  <c r="G8" i="19" s="1"/>
  <c r="D35" i="13"/>
  <c r="E24" i="13"/>
  <c r="D24" i="13"/>
  <c r="E43" i="13"/>
  <c r="D28" i="13"/>
  <c r="D25" i="13"/>
  <c r="D14" i="13"/>
  <c r="E7" i="13"/>
  <c r="D13" i="13"/>
  <c r="D32" i="13"/>
  <c r="D6" i="13"/>
  <c r="D27" i="13"/>
  <c r="C29" i="13"/>
  <c r="C8" i="13"/>
  <c r="D7" i="13"/>
  <c r="K17" i="12"/>
  <c r="K20" i="12" s="1"/>
  <c r="N11" i="10"/>
  <c r="C15" i="18"/>
  <c r="E39" i="10"/>
  <c r="F14" i="18" s="1"/>
  <c r="N10" i="10"/>
  <c r="C14" i="18"/>
  <c r="N9" i="10"/>
  <c r="C13" i="18"/>
  <c r="N7" i="10"/>
  <c r="C11" i="18"/>
  <c r="D11" i="10"/>
  <c r="E11" i="18" s="1"/>
  <c r="E11" i="10"/>
  <c r="F11" i="18" s="1"/>
  <c r="AA10" i="17"/>
  <c r="W47" i="17"/>
  <c r="Y47" i="17" s="1"/>
  <c r="Y10" i="17"/>
  <c r="X10" i="17"/>
  <c r="E47" i="17"/>
  <c r="D47" i="17"/>
  <c r="AE44" i="17"/>
  <c r="AF44" i="17" s="1"/>
  <c r="AE8" i="17"/>
  <c r="AF8" i="17" s="1"/>
  <c r="AE7" i="17"/>
  <c r="AE9" i="17"/>
  <c r="AC9" i="17"/>
  <c r="AB9" i="17"/>
  <c r="I55" i="17"/>
  <c r="I56" i="17"/>
  <c r="I65" i="17"/>
  <c r="AE40" i="17"/>
  <c r="AF40" i="17" s="1"/>
  <c r="AE16" i="17"/>
  <c r="AG16" i="17" s="1"/>
  <c r="H97" i="17"/>
  <c r="H98" i="17" s="1"/>
  <c r="AC40" i="17"/>
  <c r="AE17" i="17"/>
  <c r="AF17" i="17" s="1"/>
  <c r="AB17" i="17"/>
  <c r="AE13" i="17"/>
  <c r="AG13" i="17" s="1"/>
  <c r="AE21" i="17"/>
  <c r="AF21" i="17" s="1"/>
  <c r="AE25" i="17"/>
  <c r="AF25" i="17" s="1"/>
  <c r="AE43" i="17"/>
  <c r="AF43" i="17" s="1"/>
  <c r="AE29" i="17"/>
  <c r="AG29" i="17" s="1"/>
  <c r="AE35" i="17"/>
  <c r="AG35" i="17" s="1"/>
  <c r="AE33" i="17"/>
  <c r="AG33" i="17" s="1"/>
  <c r="AE20" i="17"/>
  <c r="AF20" i="17" s="1"/>
  <c r="AE34" i="17"/>
  <c r="AF34" i="17" s="1"/>
  <c r="AE41" i="17"/>
  <c r="AF41" i="17" s="1"/>
  <c r="AE37" i="17"/>
  <c r="AF37" i="17" s="1"/>
  <c r="AE18" i="17"/>
  <c r="AF18" i="17" s="1"/>
  <c r="AE19" i="17"/>
  <c r="AF19" i="17" s="1"/>
  <c r="AE12" i="17"/>
  <c r="AF12" i="17" s="1"/>
  <c r="AE26" i="17"/>
  <c r="AF26" i="17" s="1"/>
  <c r="AE42" i="17"/>
  <c r="AF42" i="17" s="1"/>
  <c r="AE30" i="17"/>
  <c r="AF30" i="17" s="1"/>
  <c r="AE14" i="17"/>
  <c r="AF14" i="17" s="1"/>
  <c r="AE45" i="17"/>
  <c r="AF45" i="17" s="1"/>
  <c r="AE28" i="17"/>
  <c r="AF28" i="17" s="1"/>
  <c r="AE22" i="17"/>
  <c r="AF22" i="17" s="1"/>
  <c r="I81" i="17"/>
  <c r="I96" i="17"/>
  <c r="I95" i="17"/>
  <c r="I94" i="17"/>
  <c r="AB37" i="17"/>
  <c r="AB12" i="17"/>
  <c r="AC18" i="17"/>
  <c r="AB36" i="17"/>
  <c r="I87" i="17"/>
  <c r="I60" i="17"/>
  <c r="I61" i="17"/>
  <c r="I70" i="17"/>
  <c r="I79" i="17"/>
  <c r="I73" i="17"/>
  <c r="I66" i="17"/>
  <c r="I71" i="17"/>
  <c r="I64" i="17"/>
  <c r="AA46" i="17"/>
  <c r="AC46" i="17" s="1"/>
  <c r="I63" i="17"/>
  <c r="I89" i="17"/>
  <c r="I80" i="17"/>
  <c r="I57" i="17"/>
  <c r="I54" i="17"/>
  <c r="I59" i="17"/>
  <c r="I74" i="17"/>
  <c r="I85" i="17"/>
  <c r="I53" i="17"/>
  <c r="I86" i="17"/>
  <c r="I78" i="17"/>
  <c r="I88" i="17"/>
  <c r="J51" i="17"/>
  <c r="I84" i="17"/>
  <c r="I72" i="17"/>
  <c r="I58" i="17"/>
  <c r="I69" i="17"/>
  <c r="AE27" i="17"/>
  <c r="AF27" i="17" s="1"/>
  <c r="AE36" i="17"/>
  <c r="AG36" i="17" s="1"/>
  <c r="I62" i="17"/>
  <c r="AE15" i="17"/>
  <c r="AF15" i="17" s="1"/>
  <c r="I77" i="17"/>
  <c r="AH4" i="17"/>
  <c r="AC16" i="17"/>
  <c r="AC22" i="17"/>
  <c r="AB35" i="17"/>
  <c r="AB15" i="17"/>
  <c r="AB46" i="17"/>
  <c r="AB25" i="17"/>
  <c r="AA23" i="17"/>
  <c r="AC23" i="17" s="1"/>
  <c r="AC13" i="17"/>
  <c r="AA38" i="17"/>
  <c r="AC38" i="17" s="1"/>
  <c r="AC26" i="17"/>
  <c r="AC33" i="17"/>
  <c r="AB29" i="17"/>
  <c r="AA31" i="17"/>
  <c r="AC31" i="17" s="1"/>
  <c r="D39" i="10"/>
  <c r="E14" i="18" s="1"/>
  <c r="D32" i="10"/>
  <c r="E13" i="18" s="1"/>
  <c r="X31" i="17"/>
  <c r="X23" i="17"/>
  <c r="X38" i="17"/>
  <c r="AF16" i="17"/>
  <c r="AO19" i="17"/>
  <c r="L10" i="12"/>
  <c r="L12" i="12" s="1"/>
  <c r="M14" i="12"/>
  <c r="M11" i="12"/>
  <c r="N4" i="12"/>
  <c r="N5" i="12"/>
  <c r="D8" i="13" l="1"/>
  <c r="E6" i="13"/>
  <c r="E16" i="13"/>
  <c r="L17" i="12"/>
  <c r="L20" i="12" s="1"/>
  <c r="X47" i="17"/>
  <c r="AG12" i="17"/>
  <c r="AG40" i="17"/>
  <c r="AE10" i="17"/>
  <c r="AA47" i="17"/>
  <c r="AC47" i="17" s="1"/>
  <c r="AC10" i="17"/>
  <c r="AB10" i="17"/>
  <c r="AF29" i="17"/>
  <c r="AF31" i="17" s="1"/>
  <c r="AI44" i="17"/>
  <c r="AJ44" i="17" s="1"/>
  <c r="AI9" i="17"/>
  <c r="AI8" i="17"/>
  <c r="AJ8" i="17" s="1"/>
  <c r="AI7" i="17"/>
  <c r="J81" i="17"/>
  <c r="J55" i="17"/>
  <c r="J56" i="17"/>
  <c r="J65" i="17"/>
  <c r="AG9" i="17"/>
  <c r="AF9" i="17"/>
  <c r="AG7" i="17"/>
  <c r="AF7" i="17"/>
  <c r="AG17" i="17"/>
  <c r="AF13" i="17"/>
  <c r="AF46" i="17"/>
  <c r="AG37" i="17"/>
  <c r="AE46" i="17"/>
  <c r="AG46" i="17" s="1"/>
  <c r="AB38" i="17"/>
  <c r="AG25" i="17"/>
  <c r="AG18" i="17"/>
  <c r="AG26" i="17"/>
  <c r="AF35" i="17"/>
  <c r="J88" i="17"/>
  <c r="J95" i="17"/>
  <c r="J94" i="17"/>
  <c r="J96" i="17"/>
  <c r="I97" i="17"/>
  <c r="I98" i="17" s="1"/>
  <c r="AF33" i="17"/>
  <c r="AG22" i="17"/>
  <c r="J77" i="17"/>
  <c r="J61" i="17"/>
  <c r="J70" i="17"/>
  <c r="J69" i="17"/>
  <c r="J71" i="17"/>
  <c r="J57" i="17"/>
  <c r="J86" i="17"/>
  <c r="J66" i="17"/>
  <c r="J58" i="17"/>
  <c r="J74" i="17"/>
  <c r="J59" i="17"/>
  <c r="J80" i="17"/>
  <c r="J85" i="17"/>
  <c r="J87" i="17"/>
  <c r="K51" i="17"/>
  <c r="J63" i="17"/>
  <c r="J54" i="17"/>
  <c r="J64" i="17"/>
  <c r="J72" i="17"/>
  <c r="J78" i="17"/>
  <c r="J89" i="17"/>
  <c r="J62" i="17"/>
  <c r="AE31" i="17"/>
  <c r="AG31" i="17" s="1"/>
  <c r="J79" i="17"/>
  <c r="J84" i="17"/>
  <c r="J73" i="17"/>
  <c r="AL4" i="17"/>
  <c r="J60" i="17"/>
  <c r="AI16" i="17"/>
  <c r="AJ16" i="17" s="1"/>
  <c r="AI12" i="17"/>
  <c r="AJ12" i="17" s="1"/>
  <c r="AI18" i="17"/>
  <c r="AK18" i="17" s="1"/>
  <c r="AI36" i="17"/>
  <c r="AK36" i="17" s="1"/>
  <c r="AI17" i="17"/>
  <c r="AK17" i="17" s="1"/>
  <c r="AI41" i="17"/>
  <c r="AJ41" i="17" s="1"/>
  <c r="AI29" i="17"/>
  <c r="AJ29" i="17" s="1"/>
  <c r="AI37" i="17"/>
  <c r="AK37" i="17" s="1"/>
  <c r="AI35" i="17"/>
  <c r="AK35" i="17" s="1"/>
  <c r="AI15" i="17"/>
  <c r="AJ15" i="17" s="1"/>
  <c r="AI25" i="17"/>
  <c r="AK25" i="17" s="1"/>
  <c r="AI19" i="17"/>
  <c r="AJ19" i="17" s="1"/>
  <c r="AI30" i="17"/>
  <c r="AJ30" i="17" s="1"/>
  <c r="AI27" i="17"/>
  <c r="AJ27" i="17" s="1"/>
  <c r="AI22" i="17"/>
  <c r="AJ22" i="17" s="1"/>
  <c r="AI13" i="17"/>
  <c r="AJ13" i="17" s="1"/>
  <c r="AI14" i="17"/>
  <c r="AJ14" i="17" s="1"/>
  <c r="AI28" i="17"/>
  <c r="AJ28" i="17" s="1"/>
  <c r="AI45" i="17"/>
  <c r="AJ45" i="17" s="1"/>
  <c r="AI33" i="17"/>
  <c r="AK33" i="17" s="1"/>
  <c r="AI26" i="17"/>
  <c r="AJ26" i="17" s="1"/>
  <c r="AI34" i="17"/>
  <c r="AJ34" i="17" s="1"/>
  <c r="AI21" i="17"/>
  <c r="AJ21" i="17" s="1"/>
  <c r="AI43" i="17"/>
  <c r="AJ43" i="17" s="1"/>
  <c r="AI40" i="17"/>
  <c r="AI42" i="17"/>
  <c r="AJ42" i="17" s="1"/>
  <c r="AI20" i="17"/>
  <c r="AJ20" i="17" s="1"/>
  <c r="AE38" i="17"/>
  <c r="AG38" i="17" s="1"/>
  <c r="AF36" i="17"/>
  <c r="AB23" i="17"/>
  <c r="AE23" i="17"/>
  <c r="AG23" i="17" s="1"/>
  <c r="J53" i="17"/>
  <c r="AG15" i="17"/>
  <c r="AB31" i="17"/>
  <c r="AS19" i="17"/>
  <c r="O4" i="12"/>
  <c r="O5" i="12"/>
  <c r="M10" i="12"/>
  <c r="M12" i="12" s="1"/>
  <c r="N11" i="12"/>
  <c r="N14" i="12"/>
  <c r="M17" i="12" l="1"/>
  <c r="M20" i="12" s="1"/>
  <c r="N10" i="12"/>
  <c r="N12" i="12" s="1"/>
  <c r="AB47" i="17"/>
  <c r="AF10" i="17"/>
  <c r="AI10" i="17"/>
  <c r="AE47" i="17"/>
  <c r="AG47" i="17" s="1"/>
  <c r="AG10" i="17"/>
  <c r="K87" i="17"/>
  <c r="K55" i="17"/>
  <c r="K56" i="17"/>
  <c r="K65" i="17"/>
  <c r="AK7" i="17"/>
  <c r="AJ7" i="17"/>
  <c r="AJ9" i="17"/>
  <c r="AK9" i="17"/>
  <c r="AM20" i="17"/>
  <c r="AN20" i="17" s="1"/>
  <c r="AM9" i="17"/>
  <c r="AM8" i="17"/>
  <c r="AN8" i="17" s="1"/>
  <c r="AM7" i="17"/>
  <c r="AF23" i="17"/>
  <c r="K54" i="17"/>
  <c r="K59" i="17"/>
  <c r="K63" i="17"/>
  <c r="K57" i="17"/>
  <c r="K74" i="17"/>
  <c r="K62" i="17"/>
  <c r="K79" i="17"/>
  <c r="K78" i="17"/>
  <c r="K85" i="17"/>
  <c r="AM26" i="17"/>
  <c r="AO26" i="17" s="1"/>
  <c r="AP4" i="17"/>
  <c r="K53" i="17"/>
  <c r="K71" i="17"/>
  <c r="K81" i="17"/>
  <c r="K69" i="17"/>
  <c r="K73" i="17"/>
  <c r="K80" i="17"/>
  <c r="K64" i="17"/>
  <c r="K66" i="17"/>
  <c r="K58" i="17"/>
  <c r="K70" i="17"/>
  <c r="K77" i="17"/>
  <c r="K86" i="17"/>
  <c r="K60" i="17"/>
  <c r="K61" i="17"/>
  <c r="L51" i="17"/>
  <c r="L70" i="17" s="1"/>
  <c r="K89" i="17"/>
  <c r="K72" i="17"/>
  <c r="K84" i="17"/>
  <c r="K88" i="17"/>
  <c r="K95" i="17"/>
  <c r="K94" i="17"/>
  <c r="K96" i="17"/>
  <c r="J97" i="17"/>
  <c r="J98" i="17" s="1"/>
  <c r="AM17" i="17"/>
  <c r="AN17" i="17" s="1"/>
  <c r="AM28" i="17"/>
  <c r="AN28" i="17" s="1"/>
  <c r="AM40" i="17"/>
  <c r="AO40" i="17" s="1"/>
  <c r="AM43" i="17"/>
  <c r="AN43" i="17" s="1"/>
  <c r="AM13" i="17"/>
  <c r="AO13" i="17" s="1"/>
  <c r="AM14" i="17"/>
  <c r="AN14" i="17" s="1"/>
  <c r="AK22" i="17"/>
  <c r="AM18" i="17"/>
  <c r="AO18" i="17" s="1"/>
  <c r="AM25" i="17"/>
  <c r="AO25" i="17" s="1"/>
  <c r="AM33" i="17"/>
  <c r="AO33" i="17" s="1"/>
  <c r="AM36" i="17"/>
  <c r="AO36" i="17" s="1"/>
  <c r="AM45" i="17"/>
  <c r="AN45" i="17" s="1"/>
  <c r="AJ36" i="17"/>
  <c r="AM27" i="17"/>
  <c r="AN27" i="17" s="1"/>
  <c r="AM29" i="17"/>
  <c r="AO29" i="17" s="1"/>
  <c r="AM21" i="17"/>
  <c r="AN21" i="17" s="1"/>
  <c r="AM30" i="17"/>
  <c r="AN30" i="17" s="1"/>
  <c r="AM16" i="17"/>
  <c r="AO16" i="17" s="1"/>
  <c r="AM22" i="17"/>
  <c r="AN22" i="17" s="1"/>
  <c r="AM37" i="17"/>
  <c r="AN37" i="17" s="1"/>
  <c r="AM19" i="17"/>
  <c r="AN19" i="17" s="1"/>
  <c r="AM34" i="17"/>
  <c r="AN34" i="17" s="1"/>
  <c r="AM15" i="17"/>
  <c r="AO15" i="17" s="1"/>
  <c r="AM35" i="17"/>
  <c r="AN35" i="17" s="1"/>
  <c r="AM41" i="17"/>
  <c r="AN41" i="17" s="1"/>
  <c r="AM12" i="17"/>
  <c r="AN12" i="17" s="1"/>
  <c r="AM42" i="17"/>
  <c r="AN42" i="17" s="1"/>
  <c r="AM44" i="17"/>
  <c r="AN44" i="17" s="1"/>
  <c r="AK12" i="17"/>
  <c r="AK16" i="17"/>
  <c r="AJ37" i="17"/>
  <c r="AJ18" i="17"/>
  <c r="AK15" i="17"/>
  <c r="AK26" i="17"/>
  <c r="AK29" i="17"/>
  <c r="AK13" i="17"/>
  <c r="AJ35" i="17"/>
  <c r="AF38" i="17"/>
  <c r="AJ17" i="17"/>
  <c r="AI23" i="17"/>
  <c r="AK23" i="17" s="1"/>
  <c r="AI38" i="17"/>
  <c r="AK38" i="17" s="1"/>
  <c r="AI46" i="17"/>
  <c r="AK46" i="17" s="1"/>
  <c r="AJ33" i="17"/>
  <c r="AI31" i="17"/>
  <c r="AK31" i="17" s="1"/>
  <c r="AJ25" i="17"/>
  <c r="AJ31" i="17" s="1"/>
  <c r="AK40" i="17"/>
  <c r="AJ40" i="17"/>
  <c r="AJ46" i="17" s="1"/>
  <c r="P4" i="12"/>
  <c r="P5" i="12"/>
  <c r="O14" i="12"/>
  <c r="O11" i="12"/>
  <c r="N17" i="12" l="1"/>
  <c r="N20" i="12" s="1"/>
  <c r="AF47" i="17"/>
  <c r="AM10" i="17"/>
  <c r="AO10" i="17" s="1"/>
  <c r="AJ10" i="17"/>
  <c r="AI47" i="17"/>
  <c r="AK47" i="17" s="1"/>
  <c r="AK10" i="17"/>
  <c r="L60" i="17"/>
  <c r="AQ44" i="17"/>
  <c r="AR44" i="17" s="1"/>
  <c r="AQ9" i="17"/>
  <c r="AQ8" i="17"/>
  <c r="AR8" i="17" s="1"/>
  <c r="AQ7" i="17"/>
  <c r="L88" i="17"/>
  <c r="L56" i="17"/>
  <c r="L65" i="17"/>
  <c r="L55" i="17"/>
  <c r="AN7" i="17"/>
  <c r="AO7" i="17"/>
  <c r="AO9" i="17"/>
  <c r="AN9" i="17"/>
  <c r="L64" i="17"/>
  <c r="L63" i="17"/>
  <c r="L78" i="17"/>
  <c r="L54" i="17"/>
  <c r="L84" i="17"/>
  <c r="L79" i="17"/>
  <c r="L59" i="17"/>
  <c r="L89" i="17"/>
  <c r="L86" i="17"/>
  <c r="L66" i="17"/>
  <c r="L57" i="17"/>
  <c r="L71" i="17"/>
  <c r="L61" i="17"/>
  <c r="L87" i="17"/>
  <c r="L53" i="17"/>
  <c r="L85" i="17"/>
  <c r="L58" i="17"/>
  <c r="L72" i="17"/>
  <c r="L73" i="17"/>
  <c r="M51" i="17"/>
  <c r="L62" i="17"/>
  <c r="L77" i="17"/>
  <c r="L74" i="17"/>
  <c r="L69" i="17"/>
  <c r="L81" i="17"/>
  <c r="L80" i="17"/>
  <c r="AT4" i="17"/>
  <c r="AN26" i="17"/>
  <c r="AQ14" i="17"/>
  <c r="AR14" i="17" s="1"/>
  <c r="AN40" i="17"/>
  <c r="AN46" i="17" s="1"/>
  <c r="AQ19" i="17"/>
  <c r="AR19" i="17" s="1"/>
  <c r="AQ37" i="17"/>
  <c r="AS37" i="17" s="1"/>
  <c r="L96" i="17"/>
  <c r="L94" i="17"/>
  <c r="L95" i="17"/>
  <c r="L97" i="17" s="1"/>
  <c r="L98" i="17" s="1"/>
  <c r="AQ36" i="17"/>
  <c r="AS36" i="17" s="1"/>
  <c r="AQ16" i="17"/>
  <c r="AR16" i="17" s="1"/>
  <c r="AQ18" i="17"/>
  <c r="AS18" i="17" s="1"/>
  <c r="AQ25" i="17"/>
  <c r="AS25" i="17" s="1"/>
  <c r="AQ27" i="17"/>
  <c r="AR27" i="17" s="1"/>
  <c r="AQ21" i="17"/>
  <c r="AR21" i="17" s="1"/>
  <c r="AQ42" i="17"/>
  <c r="AR42" i="17" s="1"/>
  <c r="AQ34" i="17"/>
  <c r="AR34" i="17" s="1"/>
  <c r="AQ22" i="17"/>
  <c r="AS22" i="17" s="1"/>
  <c r="AQ35" i="17"/>
  <c r="AS35" i="17" s="1"/>
  <c r="AQ12" i="17"/>
  <c r="AR12" i="17" s="1"/>
  <c r="AQ40" i="17"/>
  <c r="AS40" i="17" s="1"/>
  <c r="AQ15" i="17"/>
  <c r="AR15" i="17" s="1"/>
  <c r="AQ20" i="17"/>
  <c r="AR20" i="17" s="1"/>
  <c r="AQ30" i="17"/>
  <c r="AR30" i="17" s="1"/>
  <c r="AQ17" i="17"/>
  <c r="AS17" i="17" s="1"/>
  <c r="AQ26" i="17"/>
  <c r="AS26" i="17" s="1"/>
  <c r="AQ43" i="17"/>
  <c r="AR43" i="17" s="1"/>
  <c r="AQ33" i="17"/>
  <c r="AR33" i="17" s="1"/>
  <c r="AQ13" i="17"/>
  <c r="AS13" i="17" s="1"/>
  <c r="AQ45" i="17"/>
  <c r="AR45" i="17" s="1"/>
  <c r="AQ41" i="17"/>
  <c r="AR41" i="17" s="1"/>
  <c r="AQ29" i="17"/>
  <c r="AR29" i="17" s="1"/>
  <c r="AQ28" i="17"/>
  <c r="AR28" i="17" s="1"/>
  <c r="AN25" i="17"/>
  <c r="AO17" i="17"/>
  <c r="K97" i="17"/>
  <c r="K98" i="17" s="1"/>
  <c r="AN13" i="17"/>
  <c r="AN33" i="17"/>
  <c r="AN36" i="17"/>
  <c r="AN18" i="17"/>
  <c r="AJ38" i="17"/>
  <c r="AM31" i="17"/>
  <c r="AO31" i="17" s="1"/>
  <c r="AN29" i="17"/>
  <c r="AO35" i="17"/>
  <c r="AO22" i="17"/>
  <c r="AM23" i="17"/>
  <c r="AO23" i="17" s="1"/>
  <c r="AM38" i="17"/>
  <c r="AO38" i="17" s="1"/>
  <c r="AO12" i="17"/>
  <c r="AO37" i="17"/>
  <c r="AN16" i="17"/>
  <c r="AN15" i="17"/>
  <c r="AM46" i="17"/>
  <c r="AO46" i="17" s="1"/>
  <c r="AJ23" i="17"/>
  <c r="P14" i="12"/>
  <c r="P11" i="12"/>
  <c r="Q4" i="12"/>
  <c r="Q5" i="12"/>
  <c r="O10" i="12"/>
  <c r="O12" i="12" s="1"/>
  <c r="O17" i="12" l="1"/>
  <c r="O20" i="12" s="1"/>
  <c r="AJ47" i="17"/>
  <c r="AM47" i="17"/>
  <c r="AO47" i="17" s="1"/>
  <c r="AN10" i="17"/>
  <c r="AQ10" i="17"/>
  <c r="M96" i="17"/>
  <c r="M56" i="17"/>
  <c r="M65" i="17"/>
  <c r="M55" i="17"/>
  <c r="H42" i="13"/>
  <c r="AU8" i="17"/>
  <c r="AU9" i="17"/>
  <c r="AU7" i="17"/>
  <c r="AT7" i="17"/>
  <c r="H5" i="13" s="1"/>
  <c r="H6" i="13"/>
  <c r="H7" i="13"/>
  <c r="AS7" i="17"/>
  <c r="AR7" i="17"/>
  <c r="AS9" i="17"/>
  <c r="AR9" i="17"/>
  <c r="M95" i="17"/>
  <c r="H25" i="13"/>
  <c r="H15" i="13"/>
  <c r="M74" i="17"/>
  <c r="M62" i="17"/>
  <c r="AU44" i="17"/>
  <c r="M58" i="17"/>
  <c r="H23" i="13"/>
  <c r="M72" i="17"/>
  <c r="AU45" i="17"/>
  <c r="M73" i="17"/>
  <c r="AU37" i="17"/>
  <c r="M60" i="17"/>
  <c r="M88" i="17"/>
  <c r="AU25" i="17"/>
  <c r="AU36" i="17"/>
  <c r="M63" i="17"/>
  <c r="M89" i="17"/>
  <c r="AU22" i="17"/>
  <c r="AU27" i="17"/>
  <c r="M94" i="17"/>
  <c r="AR37" i="17"/>
  <c r="M77" i="17"/>
  <c r="H35" i="13"/>
  <c r="AU16" i="17"/>
  <c r="N51" i="17"/>
  <c r="N84" i="17" s="1"/>
  <c r="M69" i="17"/>
  <c r="AU42" i="17"/>
  <c r="H14" i="13"/>
  <c r="AU41" i="17"/>
  <c r="H16" i="13"/>
  <c r="H43" i="13"/>
  <c r="AU28" i="17"/>
  <c r="AU34" i="17"/>
  <c r="AU19" i="17"/>
  <c r="H19" i="13"/>
  <c r="M70" i="17"/>
  <c r="AU33" i="17"/>
  <c r="AU15" i="17"/>
  <c r="M81" i="17"/>
  <c r="AU30" i="17"/>
  <c r="M54" i="17"/>
  <c r="M71" i="17"/>
  <c r="H17" i="13"/>
  <c r="M84" i="17"/>
  <c r="M61" i="17"/>
  <c r="M78" i="17"/>
  <c r="AU18" i="17"/>
  <c r="AS15" i="17"/>
  <c r="M66" i="17"/>
  <c r="AS33" i="17"/>
  <c r="AU43" i="17"/>
  <c r="H40" i="13"/>
  <c r="H39" i="13"/>
  <c r="M59" i="17"/>
  <c r="AU20" i="17"/>
  <c r="AU17" i="17"/>
  <c r="H11" i="13"/>
  <c r="AU21" i="17"/>
  <c r="AR36" i="17"/>
  <c r="M86" i="17"/>
  <c r="M87" i="17"/>
  <c r="AU13" i="17"/>
  <c r="M85" i="17"/>
  <c r="AU40" i="17"/>
  <c r="H18" i="13"/>
  <c r="M57" i="17"/>
  <c r="AU26" i="17"/>
  <c r="M53" i="17"/>
  <c r="M80" i="17"/>
  <c r="M79" i="17"/>
  <c r="M64" i="17"/>
  <c r="H38" i="13"/>
  <c r="AU35" i="17"/>
  <c r="AU12" i="17"/>
  <c r="AU14" i="17"/>
  <c r="AX4" i="17"/>
  <c r="AU29" i="17"/>
  <c r="AS16" i="17"/>
  <c r="AR22" i="17"/>
  <c r="AR35" i="17"/>
  <c r="AR17" i="17"/>
  <c r="AR13" i="17"/>
  <c r="AQ46" i="17"/>
  <c r="AS46" i="17" s="1"/>
  <c r="AR40" i="17"/>
  <c r="AR46" i="17" s="1"/>
  <c r="AQ38" i="17"/>
  <c r="AS38" i="17" s="1"/>
  <c r="AR18" i="17"/>
  <c r="AR25" i="17"/>
  <c r="AR26" i="17"/>
  <c r="AS12" i="17"/>
  <c r="AQ31" i="17"/>
  <c r="AS31" i="17" s="1"/>
  <c r="AN31" i="17"/>
  <c r="AS29" i="17"/>
  <c r="AN38" i="17"/>
  <c r="AQ23" i="17"/>
  <c r="AS23" i="17" s="1"/>
  <c r="AN23" i="17"/>
  <c r="Q14" i="12"/>
  <c r="Q11" i="12"/>
  <c r="R5" i="12"/>
  <c r="R4" i="12"/>
  <c r="P10" i="12"/>
  <c r="P12" i="12" s="1"/>
  <c r="P17" i="12" l="1"/>
  <c r="P20" i="12" s="1"/>
  <c r="H8" i="13"/>
  <c r="AW43" i="17"/>
  <c r="H41" i="13"/>
  <c r="H44" i="13" s="1"/>
  <c r="AW34" i="17"/>
  <c r="H32" i="13"/>
  <c r="AW36" i="17"/>
  <c r="H34" i="13"/>
  <c r="AW35" i="17"/>
  <c r="H33" i="13"/>
  <c r="AW33" i="17"/>
  <c r="H31" i="13"/>
  <c r="AW28" i="17"/>
  <c r="H26" i="13"/>
  <c r="AW30" i="17"/>
  <c r="H28" i="13"/>
  <c r="AW26" i="17"/>
  <c r="H24" i="13"/>
  <c r="AW29" i="17"/>
  <c r="H27" i="13"/>
  <c r="AW12" i="17"/>
  <c r="H10" i="13"/>
  <c r="AW14" i="17"/>
  <c r="H12" i="13"/>
  <c r="AW15" i="17"/>
  <c r="H13" i="13"/>
  <c r="AW22" i="17"/>
  <c r="H20" i="13"/>
  <c r="N81" i="17"/>
  <c r="N69" i="17"/>
  <c r="M97" i="17"/>
  <c r="M98" i="17" s="1"/>
  <c r="AU10" i="17"/>
  <c r="AN47" i="17"/>
  <c r="N59" i="17"/>
  <c r="AW44" i="17"/>
  <c r="AR10" i="17"/>
  <c r="AQ47" i="17"/>
  <c r="AS47" i="17" s="1"/>
  <c r="AS10" i="17"/>
  <c r="AV44" i="17"/>
  <c r="AT10" i="17"/>
  <c r="I17" i="13"/>
  <c r="AY9" i="17"/>
  <c r="AY7" i="17"/>
  <c r="AY8" i="17"/>
  <c r="I6" i="13"/>
  <c r="I7" i="13"/>
  <c r="AX7" i="17"/>
  <c r="I5" i="13" s="1"/>
  <c r="N94" i="17"/>
  <c r="N65" i="17"/>
  <c r="N55" i="17"/>
  <c r="N56" i="17"/>
  <c r="AW9" i="17"/>
  <c r="AV9" i="17"/>
  <c r="AW8" i="17"/>
  <c r="AV8" i="17"/>
  <c r="AW7" i="17"/>
  <c r="AV7" i="17"/>
  <c r="AW27" i="17"/>
  <c r="AV43" i="17"/>
  <c r="AV27" i="17"/>
  <c r="AW17" i="17"/>
  <c r="AV28" i="17"/>
  <c r="N70" i="17"/>
  <c r="N88" i="17"/>
  <c r="I25" i="13"/>
  <c r="AY16" i="17"/>
  <c r="AW37" i="17"/>
  <c r="AY30" i="17"/>
  <c r="N53" i="17"/>
  <c r="I11" i="13"/>
  <c r="N74" i="17"/>
  <c r="AW45" i="17"/>
  <c r="AY43" i="17"/>
  <c r="AW16" i="17"/>
  <c r="AV25" i="17"/>
  <c r="AV37" i="17"/>
  <c r="AW25" i="17"/>
  <c r="AY12" i="17"/>
  <c r="N87" i="17"/>
  <c r="N72" i="17"/>
  <c r="AY34" i="17"/>
  <c r="N77" i="17"/>
  <c r="N61" i="17"/>
  <c r="AY28" i="17"/>
  <c r="AV21" i="17"/>
  <c r="AW21" i="17"/>
  <c r="N79" i="17"/>
  <c r="BB4" i="17"/>
  <c r="BC30" i="17" s="1"/>
  <c r="N73" i="17"/>
  <c r="N54" i="17"/>
  <c r="N89" i="17"/>
  <c r="N71" i="17"/>
  <c r="N86" i="17"/>
  <c r="AW19" i="17"/>
  <c r="O51" i="17"/>
  <c r="O86" i="17" s="1"/>
  <c r="N95" i="17"/>
  <c r="N60" i="17"/>
  <c r="N78" i="17"/>
  <c r="N63" i="17"/>
  <c r="N64" i="17"/>
  <c r="N62" i="17"/>
  <c r="N57" i="17"/>
  <c r="N96" i="17"/>
  <c r="N80" i="17"/>
  <c r="N58" i="17"/>
  <c r="N85" i="17"/>
  <c r="N66" i="17"/>
  <c r="AV45" i="17"/>
  <c r="AV26" i="17"/>
  <c r="AV18" i="17"/>
  <c r="AW42" i="17"/>
  <c r="AV41" i="17"/>
  <c r="AV16" i="17"/>
  <c r="AW18" i="17"/>
  <c r="AU23" i="17"/>
  <c r="AV42" i="17"/>
  <c r="AY21" i="17"/>
  <c r="AY41" i="17"/>
  <c r="AY33" i="17"/>
  <c r="I43" i="13"/>
  <c r="AV35" i="17"/>
  <c r="AY13" i="17"/>
  <c r="I40" i="13"/>
  <c r="I14" i="13"/>
  <c r="I19" i="13"/>
  <c r="AY36" i="17"/>
  <c r="AY27" i="17"/>
  <c r="AY20" i="17"/>
  <c r="AY42" i="17"/>
  <c r="AY25" i="17"/>
  <c r="AV34" i="17"/>
  <c r="AV14" i="17"/>
  <c r="AR38" i="17"/>
  <c r="AY44" i="17"/>
  <c r="AW41" i="17"/>
  <c r="AV17" i="17"/>
  <c r="AV36" i="17"/>
  <c r="AT31" i="17"/>
  <c r="AT38" i="17"/>
  <c r="AW20" i="17"/>
  <c r="AU38" i="17"/>
  <c r="AV19" i="17"/>
  <c r="AU46" i="17"/>
  <c r="AV30" i="17"/>
  <c r="AV15" i="17"/>
  <c r="AV12" i="17"/>
  <c r="AY26" i="17"/>
  <c r="I15" i="13"/>
  <c r="AY40" i="17"/>
  <c r="I42" i="13"/>
  <c r="AU31" i="17"/>
  <c r="AW40" i="17"/>
  <c r="AW13" i="17"/>
  <c r="AY29" i="17"/>
  <c r="AY17" i="17"/>
  <c r="AY45" i="17"/>
  <c r="I16" i="13"/>
  <c r="AY37" i="17"/>
  <c r="I18" i="13"/>
  <c r="AY18" i="17"/>
  <c r="AY35" i="17"/>
  <c r="I38" i="13"/>
  <c r="AY19" i="17"/>
  <c r="AY22" i="17"/>
  <c r="I35" i="13"/>
  <c r="AY15" i="17"/>
  <c r="AY14" i="17"/>
  <c r="I39" i="13"/>
  <c r="I23" i="13"/>
  <c r="AR23" i="17"/>
  <c r="AV20" i="17"/>
  <c r="AV29" i="17"/>
  <c r="AV13" i="17"/>
  <c r="AT46" i="17"/>
  <c r="AV33" i="17"/>
  <c r="AV22" i="17"/>
  <c r="AV40" i="17"/>
  <c r="AT23" i="17"/>
  <c r="AR31" i="17"/>
  <c r="BC44" i="17"/>
  <c r="J42" i="13"/>
  <c r="BC29" i="17"/>
  <c r="BC12" i="17"/>
  <c r="BC41" i="17"/>
  <c r="BC17" i="17"/>
  <c r="P51" i="17"/>
  <c r="BC14" i="17"/>
  <c r="J14" i="13"/>
  <c r="J35" i="13"/>
  <c r="BC37" i="17"/>
  <c r="O73" i="17"/>
  <c r="BC35" i="17"/>
  <c r="O70" i="17"/>
  <c r="J39" i="13"/>
  <c r="BC28" i="17"/>
  <c r="J38" i="13"/>
  <c r="BC34" i="17"/>
  <c r="BC19" i="17"/>
  <c r="O59" i="17"/>
  <c r="J16" i="13"/>
  <c r="BC36" i="17"/>
  <c r="BC43" i="17"/>
  <c r="BC18" i="17"/>
  <c r="BC25" i="17"/>
  <c r="O74" i="17"/>
  <c r="O57" i="17"/>
  <c r="J15" i="13"/>
  <c r="BC27" i="17"/>
  <c r="BC26" i="17"/>
  <c r="BC42" i="17"/>
  <c r="J18" i="13"/>
  <c r="J19" i="13"/>
  <c r="O61" i="17"/>
  <c r="J33" i="13"/>
  <c r="BC15" i="17"/>
  <c r="BC33" i="17"/>
  <c r="R11" i="12"/>
  <c r="R14" i="12"/>
  <c r="S5" i="12"/>
  <c r="S4" i="12"/>
  <c r="Q10" i="12"/>
  <c r="Q12" i="12" s="1"/>
  <c r="Q6" i="1"/>
  <c r="M49" i="13" l="1"/>
  <c r="Q17" i="12"/>
  <c r="Q20" i="12" s="1"/>
  <c r="R10" i="12"/>
  <c r="R12" i="12" s="1"/>
  <c r="H36" i="13"/>
  <c r="H29" i="13"/>
  <c r="H21" i="13"/>
  <c r="I8" i="13"/>
  <c r="BA43" i="17"/>
  <c r="I41" i="13"/>
  <c r="I44" i="13" s="1"/>
  <c r="BE33" i="17"/>
  <c r="J31" i="13"/>
  <c r="BE36" i="17"/>
  <c r="J34" i="13"/>
  <c r="BA35" i="17"/>
  <c r="I33" i="13"/>
  <c r="BA34" i="17"/>
  <c r="I32" i="13"/>
  <c r="BA36" i="17"/>
  <c r="I34" i="13"/>
  <c r="BA33" i="17"/>
  <c r="I31" i="13"/>
  <c r="BA30" i="17"/>
  <c r="I28" i="13"/>
  <c r="BA26" i="17"/>
  <c r="I24" i="13"/>
  <c r="BA29" i="17"/>
  <c r="I27" i="13"/>
  <c r="BA28" i="17"/>
  <c r="I26" i="13"/>
  <c r="BE28" i="17"/>
  <c r="J26" i="13"/>
  <c r="BE29" i="17"/>
  <c r="J27" i="13"/>
  <c r="BE26" i="17"/>
  <c r="J24" i="13"/>
  <c r="BE14" i="17"/>
  <c r="J12" i="13"/>
  <c r="BA22" i="17"/>
  <c r="I20" i="13"/>
  <c r="BE22" i="17"/>
  <c r="J20" i="13"/>
  <c r="BE15" i="17"/>
  <c r="J13" i="13"/>
  <c r="BA14" i="17"/>
  <c r="I12" i="13"/>
  <c r="BE12" i="17"/>
  <c r="J10" i="13"/>
  <c r="BA15" i="17"/>
  <c r="I13" i="13"/>
  <c r="BA12" i="17"/>
  <c r="I10" i="13"/>
  <c r="AR47" i="17"/>
  <c r="AU47" i="17"/>
  <c r="AY10" i="17"/>
  <c r="AW10" i="17"/>
  <c r="AT47" i="17"/>
  <c r="BA19" i="17"/>
  <c r="AX10" i="17"/>
  <c r="AV10" i="17"/>
  <c r="O95" i="17"/>
  <c r="O78" i="17"/>
  <c r="O58" i="17"/>
  <c r="O80" i="17"/>
  <c r="O96" i="17"/>
  <c r="O60" i="17"/>
  <c r="O85" i="17"/>
  <c r="O63" i="17"/>
  <c r="O72" i="17"/>
  <c r="P65" i="17"/>
  <c r="P55" i="17"/>
  <c r="P56" i="17"/>
  <c r="AZ7" i="17"/>
  <c r="BA7" i="17"/>
  <c r="AZ9" i="17"/>
  <c r="BA9" i="17"/>
  <c r="AZ8" i="17"/>
  <c r="BA8" i="17"/>
  <c r="BC7" i="17"/>
  <c r="BC8" i="17"/>
  <c r="BC9" i="17"/>
  <c r="BB7" i="17"/>
  <c r="J5" i="13" s="1"/>
  <c r="J7" i="13"/>
  <c r="J6" i="13"/>
  <c r="O94" i="17"/>
  <c r="O65" i="17"/>
  <c r="O55" i="17"/>
  <c r="O56" i="17"/>
  <c r="AW38" i="17"/>
  <c r="BA16" i="17"/>
  <c r="BC20" i="17"/>
  <c r="BE20" i="17" s="1"/>
  <c r="O69" i="17"/>
  <c r="BC40" i="17"/>
  <c r="BE40" i="17" s="1"/>
  <c r="O77" i="17"/>
  <c r="O54" i="17"/>
  <c r="O71" i="17"/>
  <c r="J43" i="13"/>
  <c r="BC21" i="17"/>
  <c r="BD21" i="17" s="1"/>
  <c r="BC45" i="17"/>
  <c r="O53" i="17"/>
  <c r="BC16" i="17"/>
  <c r="BD16" i="17" s="1"/>
  <c r="O84" i="17"/>
  <c r="O88" i="17"/>
  <c r="AZ20" i="17"/>
  <c r="BA13" i="17"/>
  <c r="AZ27" i="17"/>
  <c r="BE37" i="17"/>
  <c r="BA37" i="17"/>
  <c r="AZ42" i="17"/>
  <c r="AZ29" i="17"/>
  <c r="AZ22" i="17"/>
  <c r="O87" i="17"/>
  <c r="O89" i="17"/>
  <c r="BC22" i="17"/>
  <c r="BD22" i="17" s="1"/>
  <c r="BF4" i="17"/>
  <c r="BG30" i="17" s="1"/>
  <c r="BC13" i="17"/>
  <c r="O81" i="17"/>
  <c r="J11" i="13"/>
  <c r="O64" i="17"/>
  <c r="O79" i="17"/>
  <c r="O62" i="17"/>
  <c r="O66" i="17"/>
  <c r="N97" i="17"/>
  <c r="N98" i="17" s="1"/>
  <c r="AV46" i="17"/>
  <c r="AZ13" i="17"/>
  <c r="AW23" i="17"/>
  <c r="BA42" i="17"/>
  <c r="BA27" i="17"/>
  <c r="BA25" i="17"/>
  <c r="AZ25" i="17"/>
  <c r="AZ33" i="17"/>
  <c r="BA20" i="17"/>
  <c r="AZ16" i="17"/>
  <c r="AZ44" i="17"/>
  <c r="AV31" i="17"/>
  <c r="AV38" i="17"/>
  <c r="AZ21" i="17"/>
  <c r="AZ35" i="17"/>
  <c r="BA17" i="17"/>
  <c r="AZ26" i="17"/>
  <c r="AZ12" i="17"/>
  <c r="AZ41" i="17"/>
  <c r="AY38" i="17"/>
  <c r="AY31" i="17"/>
  <c r="BA45" i="17"/>
  <c r="BA21" i="17"/>
  <c r="BA18" i="17"/>
  <c r="AY46" i="17"/>
  <c r="AW31" i="17"/>
  <c r="AZ37" i="17"/>
  <c r="BA41" i="17"/>
  <c r="AZ45" i="17"/>
  <c r="AZ19" i="17"/>
  <c r="AZ34" i="17"/>
  <c r="BA44" i="17"/>
  <c r="AZ17" i="17"/>
  <c r="AZ28" i="17"/>
  <c r="AX38" i="17"/>
  <c r="AZ36" i="17"/>
  <c r="AZ43" i="17"/>
  <c r="AY23" i="17"/>
  <c r="AV23" i="17"/>
  <c r="AX46" i="17"/>
  <c r="AZ18" i="17"/>
  <c r="AW46" i="17"/>
  <c r="AZ40" i="17"/>
  <c r="AZ15" i="17"/>
  <c r="AZ14" i="17"/>
  <c r="AZ30" i="17"/>
  <c r="AX23" i="17"/>
  <c r="BA40" i="17"/>
  <c r="AX31" i="17"/>
  <c r="O97" i="17"/>
  <c r="O98" i="17" s="1"/>
  <c r="P96" i="17"/>
  <c r="P94" i="17"/>
  <c r="P95" i="17"/>
  <c r="BD44" i="17"/>
  <c r="BE44" i="17"/>
  <c r="P88" i="17"/>
  <c r="BE41" i="17"/>
  <c r="BD29" i="17"/>
  <c r="BE17" i="17"/>
  <c r="BE18" i="17"/>
  <c r="BD18" i="17"/>
  <c r="BD35" i="17"/>
  <c r="BE35" i="17"/>
  <c r="P61" i="17"/>
  <c r="P70" i="17"/>
  <c r="P72" i="17"/>
  <c r="BD33" i="17"/>
  <c r="P86" i="17"/>
  <c r="BD15" i="17"/>
  <c r="BD41" i="17"/>
  <c r="BD36" i="17"/>
  <c r="BD14" i="17"/>
  <c r="BD12" i="17"/>
  <c r="BD26" i="17"/>
  <c r="BC38" i="17"/>
  <c r="BJ4" i="17"/>
  <c r="P79" i="17"/>
  <c r="P74" i="17"/>
  <c r="P89" i="17"/>
  <c r="BC31" i="17"/>
  <c r="P62" i="17"/>
  <c r="P85" i="17"/>
  <c r="P78" i="17"/>
  <c r="P69" i="17"/>
  <c r="P73" i="17"/>
  <c r="P57" i="17"/>
  <c r="P64" i="17"/>
  <c r="P77" i="17"/>
  <c r="P54" i="17"/>
  <c r="BD17" i="17"/>
  <c r="P81" i="17"/>
  <c r="P59" i="17"/>
  <c r="BD37" i="17"/>
  <c r="Q51" i="17"/>
  <c r="P66" i="17"/>
  <c r="P84" i="17"/>
  <c r="P60" i="17"/>
  <c r="P87" i="17"/>
  <c r="BD28" i="17"/>
  <c r="P53" i="17"/>
  <c r="P80" i="17"/>
  <c r="P58" i="17"/>
  <c r="P71" i="17"/>
  <c r="P63" i="17"/>
  <c r="BD20" i="17"/>
  <c r="S11" i="12"/>
  <c r="S14" i="12"/>
  <c r="T5" i="12"/>
  <c r="T4" i="12"/>
  <c r="D31" i="1"/>
  <c r="N49" i="13" l="1"/>
  <c r="R17" i="12"/>
  <c r="R20" i="12" s="1"/>
  <c r="S10" i="12"/>
  <c r="S12" i="12" s="1"/>
  <c r="H45" i="13"/>
  <c r="H50" i="13" s="1"/>
  <c r="H46" i="13"/>
  <c r="I36" i="13"/>
  <c r="I29" i="13"/>
  <c r="I21" i="13"/>
  <c r="J8" i="13"/>
  <c r="BE43" i="17"/>
  <c r="J41" i="13"/>
  <c r="BD42" i="17"/>
  <c r="J40" i="13"/>
  <c r="BE34" i="17"/>
  <c r="J32" i="13"/>
  <c r="J36" i="13" s="1"/>
  <c r="BE30" i="17"/>
  <c r="J28" i="13"/>
  <c r="BE25" i="17"/>
  <c r="J23" i="13"/>
  <c r="BD27" i="17"/>
  <c r="J25" i="13"/>
  <c r="BE19" i="17"/>
  <c r="J17" i="13"/>
  <c r="J21" i="13" s="1"/>
  <c r="J46" i="13" s="1"/>
  <c r="K19" i="13"/>
  <c r="BG18" i="17"/>
  <c r="BG19" i="17"/>
  <c r="BA38" i="17"/>
  <c r="BA46" i="17"/>
  <c r="AW47" i="17"/>
  <c r="AY47" i="17"/>
  <c r="BD25" i="17"/>
  <c r="BC10" i="17"/>
  <c r="AV47" i="17"/>
  <c r="BA10" i="17"/>
  <c r="AX47" i="17"/>
  <c r="AZ10" i="17"/>
  <c r="BB10" i="17"/>
  <c r="BE42" i="17"/>
  <c r="BG34" i="17"/>
  <c r="BG15" i="17"/>
  <c r="K25" i="13"/>
  <c r="BG13" i="17"/>
  <c r="K23" i="13"/>
  <c r="BG25" i="17"/>
  <c r="BG20" i="17"/>
  <c r="BG45" i="17"/>
  <c r="BE8" i="17"/>
  <c r="BD8" i="17"/>
  <c r="BE9" i="17"/>
  <c r="BD9" i="17"/>
  <c r="BK7" i="17"/>
  <c r="BK8" i="17"/>
  <c r="BK9" i="17"/>
  <c r="L6" i="13"/>
  <c r="L7" i="13"/>
  <c r="BJ7" i="17"/>
  <c r="L5" i="13" s="1"/>
  <c r="Q55" i="17"/>
  <c r="Q56" i="17"/>
  <c r="Q65" i="17"/>
  <c r="BG28" i="17"/>
  <c r="BG7" i="17"/>
  <c r="BG8" i="17"/>
  <c r="BG9" i="17"/>
  <c r="K7" i="13"/>
  <c r="K6" i="13"/>
  <c r="BF7" i="17"/>
  <c r="K5" i="13" s="1"/>
  <c r="BE7" i="17"/>
  <c r="BD7" i="17"/>
  <c r="BE16" i="17"/>
  <c r="BD19" i="17"/>
  <c r="BG33" i="17"/>
  <c r="BG40" i="17"/>
  <c r="BG42" i="17"/>
  <c r="BG35" i="17"/>
  <c r="BB38" i="17"/>
  <c r="BE38" i="17" s="1"/>
  <c r="BG41" i="17"/>
  <c r="BE45" i="17"/>
  <c r="BG37" i="17"/>
  <c r="K43" i="13"/>
  <c r="BG16" i="17"/>
  <c r="BD34" i="17"/>
  <c r="BD38" i="17" s="1"/>
  <c r="BD45" i="17"/>
  <c r="BE27" i="17"/>
  <c r="BG27" i="17"/>
  <c r="BG17" i="17"/>
  <c r="K15" i="13"/>
  <c r="K40" i="13"/>
  <c r="BG36" i="17"/>
  <c r="BG14" i="17"/>
  <c r="BG22" i="17"/>
  <c r="BG12" i="17"/>
  <c r="K42" i="13"/>
  <c r="K14" i="13"/>
  <c r="BG21" i="17"/>
  <c r="K38" i="13"/>
  <c r="K11" i="13"/>
  <c r="K39" i="13"/>
  <c r="BG44" i="17"/>
  <c r="BD30" i="17"/>
  <c r="K35" i="13"/>
  <c r="BG26" i="17"/>
  <c r="BG43" i="17"/>
  <c r="BG29" i="17"/>
  <c r="BB31" i="17"/>
  <c r="BE31" i="17" s="1"/>
  <c r="BE21" i="17"/>
  <c r="BD43" i="17"/>
  <c r="BD40" i="17"/>
  <c r="BC23" i="17"/>
  <c r="BC46" i="17"/>
  <c r="BB46" i="17"/>
  <c r="BB23" i="17"/>
  <c r="BE13" i="17"/>
  <c r="BD13" i="17"/>
  <c r="AZ31" i="17"/>
  <c r="BA31" i="17"/>
  <c r="AZ38" i="17"/>
  <c r="BA23" i="17"/>
  <c r="AZ23" i="17"/>
  <c r="AZ46" i="17"/>
  <c r="P97" i="17"/>
  <c r="P98" i="17" s="1"/>
  <c r="Q96" i="17"/>
  <c r="Q95" i="17"/>
  <c r="Q94" i="17"/>
  <c r="Q88" i="17"/>
  <c r="BK44" i="17"/>
  <c r="L42" i="13"/>
  <c r="BK30" i="17"/>
  <c r="BK42" i="17"/>
  <c r="BK33" i="17"/>
  <c r="BK45" i="17"/>
  <c r="L15" i="13"/>
  <c r="Q63" i="17"/>
  <c r="L35" i="13"/>
  <c r="BK16" i="17"/>
  <c r="BK28" i="17"/>
  <c r="L11" i="13"/>
  <c r="L43" i="13"/>
  <c r="BK14" i="17"/>
  <c r="BK29" i="17"/>
  <c r="L23" i="13"/>
  <c r="BK37" i="17"/>
  <c r="BK13" i="17"/>
  <c r="BK36" i="17"/>
  <c r="BK19" i="17"/>
  <c r="Q70" i="17"/>
  <c r="Q66" i="17"/>
  <c r="Q78" i="17"/>
  <c r="Q71" i="17"/>
  <c r="L25" i="13"/>
  <c r="BK27" i="17"/>
  <c r="BK26" i="17"/>
  <c r="BK12" i="17"/>
  <c r="Q85" i="17"/>
  <c r="R51" i="17"/>
  <c r="L18" i="13"/>
  <c r="Q62" i="17"/>
  <c r="Q80" i="17"/>
  <c r="Q64" i="17"/>
  <c r="Q72" i="17"/>
  <c r="L16" i="13"/>
  <c r="BK40" i="17"/>
  <c r="Q77" i="17"/>
  <c r="BK21" i="17"/>
  <c r="BI20" i="17"/>
  <c r="L24" i="13"/>
  <c r="L28" i="13"/>
  <c r="L34" i="13"/>
  <c r="L31" i="13"/>
  <c r="L14" i="13"/>
  <c r="BK15" i="17"/>
  <c r="BK34" i="17"/>
  <c r="BK18" i="17"/>
  <c r="Q84" i="17"/>
  <c r="BK20" i="17"/>
  <c r="L19" i="13"/>
  <c r="BK25" i="17"/>
  <c r="Q60" i="17"/>
  <c r="L12" i="13"/>
  <c r="L40" i="13"/>
  <c r="L38" i="13"/>
  <c r="L39" i="13"/>
  <c r="BK17" i="17"/>
  <c r="BK22" i="17"/>
  <c r="BK41" i="17"/>
  <c r="Q57" i="17"/>
  <c r="Q58" i="17"/>
  <c r="BK43" i="17"/>
  <c r="BK35" i="17"/>
  <c r="Q59" i="17"/>
  <c r="Q79" i="17"/>
  <c r="L17" i="13"/>
  <c r="L26" i="13"/>
  <c r="Q69" i="17"/>
  <c r="Q74" i="17"/>
  <c r="Q86" i="17"/>
  <c r="BN4" i="17"/>
  <c r="Q54" i="17"/>
  <c r="Q87" i="17"/>
  <c r="Q81" i="17"/>
  <c r="Q73" i="17"/>
  <c r="Q53" i="17"/>
  <c r="Q61" i="17"/>
  <c r="Q89" i="17"/>
  <c r="U5" i="12"/>
  <c r="U4" i="12"/>
  <c r="T14" i="12"/>
  <c r="T11" i="12"/>
  <c r="F24" i="1"/>
  <c r="F17" i="1"/>
  <c r="F15" i="1"/>
  <c r="F14" i="1"/>
  <c r="E34" i="1"/>
  <c r="F34" i="1" s="1"/>
  <c r="E24" i="1"/>
  <c r="E17" i="1"/>
  <c r="D33" i="1"/>
  <c r="E33" i="1" s="1"/>
  <c r="F33" i="1" s="1"/>
  <c r="O49" i="13" l="1"/>
  <c r="S17" i="12"/>
  <c r="S20" i="12" s="1"/>
  <c r="T10" i="12"/>
  <c r="T12" i="12" s="1"/>
  <c r="I45" i="13"/>
  <c r="I50" i="13" s="1"/>
  <c r="I46" i="13"/>
  <c r="J44" i="13"/>
  <c r="J29" i="13"/>
  <c r="K8" i="13"/>
  <c r="L8" i="13"/>
  <c r="BM43" i="17"/>
  <c r="L41" i="13"/>
  <c r="L44" i="13" s="1"/>
  <c r="BI43" i="17"/>
  <c r="K41" i="13"/>
  <c r="K44" i="13" s="1"/>
  <c r="BM34" i="17"/>
  <c r="L32" i="13"/>
  <c r="BI33" i="17"/>
  <c r="K31" i="13"/>
  <c r="BI35" i="17"/>
  <c r="K33" i="13"/>
  <c r="BI34" i="17"/>
  <c r="K32" i="13"/>
  <c r="BI36" i="17"/>
  <c r="K34" i="13"/>
  <c r="BM35" i="17"/>
  <c r="L33" i="13"/>
  <c r="BI29" i="17"/>
  <c r="K27" i="13"/>
  <c r="BI30" i="17"/>
  <c r="K28" i="13"/>
  <c r="BM29" i="17"/>
  <c r="L27" i="13"/>
  <c r="L29" i="13" s="1"/>
  <c r="BI28" i="17"/>
  <c r="K26" i="13"/>
  <c r="BI26" i="17"/>
  <c r="K24" i="13"/>
  <c r="BI12" i="17"/>
  <c r="K10" i="13"/>
  <c r="BI15" i="17"/>
  <c r="K13" i="13"/>
  <c r="BI22" i="17"/>
  <c r="K20" i="13"/>
  <c r="BM15" i="17"/>
  <c r="L13" i="13"/>
  <c r="BH20" i="17"/>
  <c r="K18" i="13"/>
  <c r="BI14" i="17"/>
  <c r="K12" i="13"/>
  <c r="BM22" i="17"/>
  <c r="L20" i="13"/>
  <c r="BM12" i="17"/>
  <c r="L10" i="13"/>
  <c r="BI19" i="17"/>
  <c r="K17" i="13"/>
  <c r="BI18" i="17"/>
  <c r="K16" i="13"/>
  <c r="BI21" i="17"/>
  <c r="BG38" i="17"/>
  <c r="BI13" i="17"/>
  <c r="BH43" i="17"/>
  <c r="BH21" i="17"/>
  <c r="BH45" i="17"/>
  <c r="BI40" i="17"/>
  <c r="BC47" i="17"/>
  <c r="BI25" i="17"/>
  <c r="BA47" i="17"/>
  <c r="BD31" i="17"/>
  <c r="BG10" i="17"/>
  <c r="BK10" i="17"/>
  <c r="BE10" i="17"/>
  <c r="BB47" i="17"/>
  <c r="AZ47" i="17"/>
  <c r="BJ10" i="17"/>
  <c r="BD10" i="17"/>
  <c r="BF10" i="17"/>
  <c r="BH25" i="17"/>
  <c r="BH42" i="17"/>
  <c r="BH27" i="17"/>
  <c r="BH37" i="17"/>
  <c r="BH16" i="17"/>
  <c r="BG23" i="17"/>
  <c r="BM8" i="17"/>
  <c r="BL8" i="17"/>
  <c r="R55" i="17"/>
  <c r="R56" i="17"/>
  <c r="R65" i="17"/>
  <c r="BO8" i="17"/>
  <c r="BO9" i="17"/>
  <c r="BO7" i="17"/>
  <c r="BN7" i="17"/>
  <c r="M5" i="13" s="1"/>
  <c r="M6" i="13"/>
  <c r="M7" i="13"/>
  <c r="BI7" i="17"/>
  <c r="BH7" i="17"/>
  <c r="BI8" i="17"/>
  <c r="BH8" i="17"/>
  <c r="BI44" i="17"/>
  <c r="BI9" i="17"/>
  <c r="BH9" i="17"/>
  <c r="BM7" i="17"/>
  <c r="BL7" i="17"/>
  <c r="BM9" i="17"/>
  <c r="BL9" i="17"/>
  <c r="BI16" i="17"/>
  <c r="BD23" i="17"/>
  <c r="BI42" i="17"/>
  <c r="BH18" i="17"/>
  <c r="BH34" i="17"/>
  <c r="BH13" i="17"/>
  <c r="BH26" i="17"/>
  <c r="BH36" i="17"/>
  <c r="BH15" i="17"/>
  <c r="BH35" i="17"/>
  <c r="BD46" i="17"/>
  <c r="BH14" i="17"/>
  <c r="BH40" i="17"/>
  <c r="BI45" i="17"/>
  <c r="BF46" i="17"/>
  <c r="BH30" i="17"/>
  <c r="BF38" i="17"/>
  <c r="BI38" i="17" s="1"/>
  <c r="BH19" i="17"/>
  <c r="BI27" i="17"/>
  <c r="BE23" i="17"/>
  <c r="BG46" i="17"/>
  <c r="BH44" i="17"/>
  <c r="BE46" i="17"/>
  <c r="BG31" i="17"/>
  <c r="BH41" i="17"/>
  <c r="BI17" i="17"/>
  <c r="BH12" i="17"/>
  <c r="BH17" i="17"/>
  <c r="BH28" i="17"/>
  <c r="BH33" i="17"/>
  <c r="BI37" i="17"/>
  <c r="BF31" i="17"/>
  <c r="BI31" i="17" s="1"/>
  <c r="BI41" i="17"/>
  <c r="BF23" i="17"/>
  <c r="BI23" i="17" s="1"/>
  <c r="BH29" i="17"/>
  <c r="BH22" i="17"/>
  <c r="BM37" i="17"/>
  <c r="BM21" i="17"/>
  <c r="Q97" i="17"/>
  <c r="Q98" i="17" s="1"/>
  <c r="R95" i="17"/>
  <c r="R94" i="17"/>
  <c r="R96" i="17"/>
  <c r="R69" i="17"/>
  <c r="M17" i="13"/>
  <c r="BO44" i="17"/>
  <c r="M42" i="13"/>
  <c r="BM44" i="17"/>
  <c r="BL44" i="17"/>
  <c r="R88" i="17"/>
  <c r="BL37" i="17"/>
  <c r="BL34" i="17"/>
  <c r="R73" i="17"/>
  <c r="BL17" i="17"/>
  <c r="BM20" i="17"/>
  <c r="BM42" i="17"/>
  <c r="BL35" i="17"/>
  <c r="R87" i="17"/>
  <c r="BL27" i="17"/>
  <c r="R63" i="17"/>
  <c r="R61" i="17"/>
  <c r="BL33" i="17"/>
  <c r="R71" i="17"/>
  <c r="R80" i="17"/>
  <c r="BL12" i="17"/>
  <c r="BL13" i="17"/>
  <c r="R72" i="17"/>
  <c r="R59" i="17"/>
  <c r="R74" i="17"/>
  <c r="R66" i="17"/>
  <c r="R53" i="17"/>
  <c r="R86" i="17"/>
  <c r="BL26" i="17"/>
  <c r="R70" i="17"/>
  <c r="BL30" i="17"/>
  <c r="BK31" i="17"/>
  <c r="BM25" i="17"/>
  <c r="BM33" i="17"/>
  <c r="BL42" i="17"/>
  <c r="BM17" i="17"/>
  <c r="BL43" i="17"/>
  <c r="BL14" i="17"/>
  <c r="BL19" i="17"/>
  <c r="BM45" i="17"/>
  <c r="BL22" i="17"/>
  <c r="BL18" i="17"/>
  <c r="BM27" i="17"/>
  <c r="BM30" i="17"/>
  <c r="BL25" i="17"/>
  <c r="BK46" i="17"/>
  <c r="BL29" i="17"/>
  <c r="BM13" i="17"/>
  <c r="BM41" i="17"/>
  <c r="BM16" i="17"/>
  <c r="R60" i="17"/>
  <c r="R84" i="17"/>
  <c r="R62" i="17"/>
  <c r="BL40" i="17"/>
  <c r="BM26" i="17"/>
  <c r="BR4" i="17"/>
  <c r="R54" i="17"/>
  <c r="R85" i="17"/>
  <c r="R77" i="17"/>
  <c r="R58" i="17"/>
  <c r="R78" i="17"/>
  <c r="R79" i="17"/>
  <c r="S51" i="17"/>
  <c r="R89" i="17"/>
  <c r="R81" i="17"/>
  <c r="R57" i="17"/>
  <c r="R64" i="17"/>
  <c r="BL41" i="17"/>
  <c r="BL21" i="17"/>
  <c r="BO36" i="17"/>
  <c r="BL15" i="17"/>
  <c r="BM18" i="17"/>
  <c r="BJ31" i="17"/>
  <c r="BJ38" i="17"/>
  <c r="BK38" i="17"/>
  <c r="BO28" i="17"/>
  <c r="BL28" i="17"/>
  <c r="BM28" i="17"/>
  <c r="BO45" i="17"/>
  <c r="M34" i="13"/>
  <c r="BL45" i="17"/>
  <c r="BO37" i="17"/>
  <c r="BM14" i="17"/>
  <c r="BM36" i="17"/>
  <c r="BO27" i="17"/>
  <c r="BL36" i="17"/>
  <c r="BO40" i="17"/>
  <c r="BM40" i="17"/>
  <c r="BO43" i="17"/>
  <c r="BM19" i="17"/>
  <c r="BO19" i="17"/>
  <c r="BL20" i="17"/>
  <c r="BJ46" i="17"/>
  <c r="BJ23" i="17"/>
  <c r="BK23" i="17"/>
  <c r="BL16" i="17"/>
  <c r="M15" i="13"/>
  <c r="M43" i="13"/>
  <c r="BO30" i="17"/>
  <c r="BO18" i="17"/>
  <c r="BO22" i="17"/>
  <c r="M13" i="13"/>
  <c r="M16" i="13"/>
  <c r="M11" i="13"/>
  <c r="M38" i="13"/>
  <c r="M39" i="13"/>
  <c r="BO35" i="17"/>
  <c r="BO26" i="17"/>
  <c r="M18" i="13"/>
  <c r="M19" i="13"/>
  <c r="BO13" i="17"/>
  <c r="M14" i="13"/>
  <c r="BO14" i="17"/>
  <c r="BO41" i="17"/>
  <c r="BO33" i="17"/>
  <c r="BO20" i="17"/>
  <c r="BO21" i="17"/>
  <c r="M35" i="13"/>
  <c r="BO29" i="17"/>
  <c r="BO17" i="17"/>
  <c r="M25" i="13"/>
  <c r="M23" i="13"/>
  <c r="BO25" i="17"/>
  <c r="BO12" i="17"/>
  <c r="BO16" i="17"/>
  <c r="M28" i="13"/>
  <c r="M40" i="13"/>
  <c r="BO34" i="17"/>
  <c r="BO15" i="17"/>
  <c r="BO42" i="17"/>
  <c r="V4" i="12"/>
  <c r="V5" i="12"/>
  <c r="U14" i="12"/>
  <c r="U11" i="12"/>
  <c r="F30" i="1"/>
  <c r="P49" i="13" l="1"/>
  <c r="T17" i="12"/>
  <c r="T20" i="12" s="1"/>
  <c r="J45" i="13"/>
  <c r="J50" i="13" s="1"/>
  <c r="L36" i="13"/>
  <c r="K36" i="13"/>
  <c r="K29" i="13"/>
  <c r="L21" i="13"/>
  <c r="K21" i="13"/>
  <c r="M8" i="13"/>
  <c r="BQ43" i="17"/>
  <c r="M41" i="13"/>
  <c r="M44" i="13" s="1"/>
  <c r="BQ34" i="17"/>
  <c r="M32" i="13"/>
  <c r="BQ35" i="17"/>
  <c r="M33" i="13"/>
  <c r="BQ33" i="17"/>
  <c r="M31" i="13"/>
  <c r="BQ26" i="17"/>
  <c r="M24" i="13"/>
  <c r="BQ28" i="17"/>
  <c r="M26" i="13"/>
  <c r="BQ29" i="17"/>
  <c r="M27" i="13"/>
  <c r="BQ22" i="17"/>
  <c r="M20" i="13"/>
  <c r="BQ14" i="17"/>
  <c r="M12" i="13"/>
  <c r="BQ12" i="17"/>
  <c r="M10" i="13"/>
  <c r="BE47" i="17"/>
  <c r="BK47" i="17"/>
  <c r="BG47" i="17"/>
  <c r="BO10" i="17"/>
  <c r="BI10" i="17"/>
  <c r="BF47" i="17"/>
  <c r="BD47" i="17"/>
  <c r="BM10" i="17"/>
  <c r="BJ47" i="17"/>
  <c r="BH10" i="17"/>
  <c r="BL10" i="17"/>
  <c r="BN10" i="17"/>
  <c r="BI46" i="17"/>
  <c r="BS8" i="17"/>
  <c r="BS9" i="17"/>
  <c r="BS7" i="17"/>
  <c r="BR7" i="17"/>
  <c r="N5" i="13" s="1"/>
  <c r="N6" i="13"/>
  <c r="N7" i="13"/>
  <c r="S56" i="17"/>
  <c r="S65" i="17"/>
  <c r="S55" i="17"/>
  <c r="BP9" i="17"/>
  <c r="BQ9" i="17"/>
  <c r="BP8" i="17"/>
  <c r="BQ8" i="17"/>
  <c r="BQ7" i="17"/>
  <c r="BP7" i="17"/>
  <c r="BH38" i="17"/>
  <c r="BH23" i="17"/>
  <c r="BH46" i="17"/>
  <c r="BH31" i="17"/>
  <c r="BQ37" i="17"/>
  <c r="BM38" i="17"/>
  <c r="BQ21" i="17"/>
  <c r="R97" i="17"/>
  <c r="R98" i="17" s="1"/>
  <c r="S95" i="17"/>
  <c r="S94" i="17"/>
  <c r="S96" i="17"/>
  <c r="BQ19" i="17"/>
  <c r="BP44" i="17"/>
  <c r="BQ44" i="17"/>
  <c r="S88" i="17"/>
  <c r="BS44" i="17"/>
  <c r="N42" i="13"/>
  <c r="N38" i="13"/>
  <c r="N39" i="13"/>
  <c r="S74" i="17"/>
  <c r="BS43" i="17"/>
  <c r="S53" i="17"/>
  <c r="N35" i="13"/>
  <c r="N28" i="13"/>
  <c r="BS40" i="17"/>
  <c r="BS20" i="17"/>
  <c r="BV4" i="17"/>
  <c r="S69" i="17"/>
  <c r="N14" i="13"/>
  <c r="BS13" i="17"/>
  <c r="BS42" i="17"/>
  <c r="N19" i="13"/>
  <c r="S79" i="17"/>
  <c r="BS14" i="17"/>
  <c r="S72" i="17"/>
  <c r="S73" i="17"/>
  <c r="BS37" i="17"/>
  <c r="S61" i="17"/>
  <c r="S89" i="17"/>
  <c r="BS25" i="17"/>
  <c r="BS34" i="17"/>
  <c r="S60" i="17"/>
  <c r="S77" i="17"/>
  <c r="N15" i="13"/>
  <c r="N40" i="13"/>
  <c r="BS22" i="17"/>
  <c r="BS45" i="17"/>
  <c r="S78" i="17"/>
  <c r="N11" i="13"/>
  <c r="BS33" i="17"/>
  <c r="BS19" i="17"/>
  <c r="BM31" i="17"/>
  <c r="S57" i="17"/>
  <c r="S59" i="17"/>
  <c r="N25" i="13"/>
  <c r="BS30" i="17"/>
  <c r="BS27" i="17"/>
  <c r="BS21" i="17"/>
  <c r="S86" i="17"/>
  <c r="BS17" i="17"/>
  <c r="S54" i="17"/>
  <c r="S85" i="17"/>
  <c r="BS12" i="17"/>
  <c r="S64" i="17"/>
  <c r="S66" i="17"/>
  <c r="T51" i="17"/>
  <c r="BS29" i="17"/>
  <c r="N18" i="13"/>
  <c r="BS28" i="17"/>
  <c r="BP37" i="17"/>
  <c r="S58" i="17"/>
  <c r="S70" i="17"/>
  <c r="S80" i="17"/>
  <c r="N16" i="13"/>
  <c r="N32" i="13"/>
  <c r="BS26" i="17"/>
  <c r="BS35" i="17"/>
  <c r="BS18" i="17"/>
  <c r="BS41" i="17"/>
  <c r="S87" i="17"/>
  <c r="S71" i="17"/>
  <c r="S81" i="17"/>
  <c r="S84" i="17"/>
  <c r="N23" i="13"/>
  <c r="N43" i="13"/>
  <c r="BS36" i="17"/>
  <c r="BS15" i="17"/>
  <c r="BS16" i="17"/>
  <c r="N17" i="13"/>
  <c r="S63" i="17"/>
  <c r="S62" i="17"/>
  <c r="BL38" i="17"/>
  <c r="BP36" i="17"/>
  <c r="BL31" i="17"/>
  <c r="BL46" i="17"/>
  <c r="BN46" i="17"/>
  <c r="BP14" i="17"/>
  <c r="BQ36" i="17"/>
  <c r="BP42" i="17"/>
  <c r="BP28" i="17"/>
  <c r="BM46" i="17"/>
  <c r="BP34" i="17"/>
  <c r="BP17" i="17"/>
  <c r="BP41" i="17"/>
  <c r="BP43" i="17"/>
  <c r="BP19" i="17"/>
  <c r="BP30" i="17"/>
  <c r="BQ18" i="17"/>
  <c r="BQ40" i="17"/>
  <c r="BN38" i="17"/>
  <c r="BP40" i="17"/>
  <c r="BL23" i="17"/>
  <c r="BP22" i="17"/>
  <c r="BP33" i="17"/>
  <c r="BP26" i="17"/>
  <c r="BQ16" i="17"/>
  <c r="BP35" i="17"/>
  <c r="BQ41" i="17"/>
  <c r="BP12" i="17"/>
  <c r="BQ45" i="17"/>
  <c r="BO46" i="17"/>
  <c r="BP45" i="17"/>
  <c r="BM23" i="17"/>
  <c r="BP16" i="17"/>
  <c r="BQ30" i="17"/>
  <c r="BQ25" i="17"/>
  <c r="BP18" i="17"/>
  <c r="BP21" i="17"/>
  <c r="BP25" i="17"/>
  <c r="BO23" i="17"/>
  <c r="BQ13" i="17"/>
  <c r="BQ17" i="17"/>
  <c r="BQ20" i="17"/>
  <c r="BN23" i="17"/>
  <c r="BN31" i="17"/>
  <c r="BQ42" i="17"/>
  <c r="BP13" i="17"/>
  <c r="BO31" i="17"/>
  <c r="BP29" i="17"/>
  <c r="BQ27" i="17"/>
  <c r="BP15" i="17"/>
  <c r="BO38" i="17"/>
  <c r="BP27" i="17"/>
  <c r="BQ15" i="17"/>
  <c r="BP20" i="17"/>
  <c r="U10" i="12"/>
  <c r="U12" i="12" s="1"/>
  <c r="V14" i="12"/>
  <c r="V11" i="12"/>
  <c r="W4" i="12"/>
  <c r="W5" i="12"/>
  <c r="D24" i="1"/>
  <c r="Q49" i="13" l="1"/>
  <c r="U17" i="12"/>
  <c r="U20" i="12" s="1"/>
  <c r="K45" i="13"/>
  <c r="K50" i="13" s="1"/>
  <c r="K46" i="13"/>
  <c r="L45" i="13"/>
  <c r="L50" i="13" s="1"/>
  <c r="L46" i="13"/>
  <c r="M36" i="13"/>
  <c r="M29" i="13"/>
  <c r="M21" i="13"/>
  <c r="N8" i="13"/>
  <c r="BU43" i="17"/>
  <c r="N41" i="13"/>
  <c r="N44" i="13" s="1"/>
  <c r="BU35" i="17"/>
  <c r="N33" i="13"/>
  <c r="BU33" i="17"/>
  <c r="N31" i="13"/>
  <c r="BU36" i="17"/>
  <c r="N34" i="13"/>
  <c r="BU29" i="17"/>
  <c r="N27" i="13"/>
  <c r="BU28" i="17"/>
  <c r="N26" i="13"/>
  <c r="BU26" i="17"/>
  <c r="N24" i="13"/>
  <c r="BU12" i="17"/>
  <c r="N10" i="13"/>
  <c r="BU15" i="17"/>
  <c r="N13" i="13"/>
  <c r="BU22" i="17"/>
  <c r="N20" i="13"/>
  <c r="BU14" i="17"/>
  <c r="N12" i="13"/>
  <c r="BM47" i="17"/>
  <c r="BI47" i="17"/>
  <c r="BO47" i="17"/>
  <c r="BH47" i="17"/>
  <c r="BS10" i="17"/>
  <c r="BQ10" i="17"/>
  <c r="BN47" i="17"/>
  <c r="BL47" i="17"/>
  <c r="BP10" i="17"/>
  <c r="BR10" i="17"/>
  <c r="BW40" i="17"/>
  <c r="BW8" i="17"/>
  <c r="BW9" i="17"/>
  <c r="BW7" i="17"/>
  <c r="BV7" i="17"/>
  <c r="O5" i="13" s="1"/>
  <c r="O7" i="13"/>
  <c r="O6" i="13"/>
  <c r="BT9" i="17"/>
  <c r="BU9" i="17"/>
  <c r="T56" i="17"/>
  <c r="T65" i="17"/>
  <c r="T55" i="17"/>
  <c r="BU8" i="17"/>
  <c r="BT8" i="17"/>
  <c r="BT7" i="17"/>
  <c r="BU7" i="17"/>
  <c r="BQ38" i="17"/>
  <c r="BU37" i="17"/>
  <c r="BU21" i="17"/>
  <c r="T95" i="17"/>
  <c r="T94" i="17"/>
  <c r="T96" i="17"/>
  <c r="S97" i="17"/>
  <c r="S98" i="17" s="1"/>
  <c r="BQ46" i="17"/>
  <c r="BU44" i="17"/>
  <c r="BT44" i="17"/>
  <c r="BW44" i="17"/>
  <c r="O42" i="13"/>
  <c r="T88" i="17"/>
  <c r="BW17" i="17"/>
  <c r="BW28" i="17"/>
  <c r="O15" i="13"/>
  <c r="O34" i="13"/>
  <c r="BT25" i="17"/>
  <c r="T85" i="17"/>
  <c r="O16" i="13"/>
  <c r="BW13" i="17"/>
  <c r="T71" i="17"/>
  <c r="BW36" i="17"/>
  <c r="O11" i="13"/>
  <c r="BW45" i="17"/>
  <c r="BW41" i="17"/>
  <c r="BW14" i="17"/>
  <c r="BW42" i="17"/>
  <c r="O17" i="13"/>
  <c r="T66" i="17"/>
  <c r="T73" i="17"/>
  <c r="BU13" i="17"/>
  <c r="BW12" i="17"/>
  <c r="BW25" i="17"/>
  <c r="O38" i="13"/>
  <c r="O14" i="13"/>
  <c r="BW20" i="17"/>
  <c r="BW15" i="17"/>
  <c r="O43" i="13"/>
  <c r="BW33" i="17"/>
  <c r="BW43" i="17"/>
  <c r="BW21" i="17"/>
  <c r="BT36" i="17"/>
  <c r="BT34" i="17"/>
  <c r="BU40" i="17"/>
  <c r="T80" i="17"/>
  <c r="T57" i="17"/>
  <c r="T53" i="17"/>
  <c r="T87" i="17"/>
  <c r="BT30" i="17"/>
  <c r="BT13" i="17"/>
  <c r="BU30" i="17"/>
  <c r="BT37" i="17"/>
  <c r="BT17" i="17"/>
  <c r="BT43" i="17"/>
  <c r="BT29" i="17"/>
  <c r="BT33" i="17"/>
  <c r="O40" i="13"/>
  <c r="O25" i="13"/>
  <c r="O39" i="13"/>
  <c r="BW27" i="17"/>
  <c r="BW18" i="17"/>
  <c r="BW29" i="17"/>
  <c r="BW19" i="17"/>
  <c r="O23" i="13"/>
  <c r="BW16" i="17"/>
  <c r="BW30" i="17"/>
  <c r="BW37" i="17"/>
  <c r="BW35" i="17"/>
  <c r="O18" i="13"/>
  <c r="O19" i="13"/>
  <c r="BU17" i="17"/>
  <c r="O35" i="13"/>
  <c r="BW26" i="17"/>
  <c r="BW22" i="17"/>
  <c r="BW34" i="17"/>
  <c r="BU45" i="17"/>
  <c r="BT20" i="17"/>
  <c r="BT42" i="17"/>
  <c r="BT21" i="17"/>
  <c r="BT40" i="17"/>
  <c r="BT45" i="17"/>
  <c r="BS46" i="17"/>
  <c r="BT26" i="17"/>
  <c r="BT16" i="17"/>
  <c r="BT15" i="17"/>
  <c r="BT14" i="17"/>
  <c r="BT22" i="17"/>
  <c r="BU42" i="17"/>
  <c r="BU18" i="17"/>
  <c r="BR23" i="17"/>
  <c r="BS31" i="17"/>
  <c r="BT27" i="17"/>
  <c r="BT18" i="17"/>
  <c r="BT12" i="17"/>
  <c r="BU20" i="17"/>
  <c r="BU25" i="17"/>
  <c r="BU27" i="17"/>
  <c r="BR46" i="17"/>
  <c r="BT19" i="17"/>
  <c r="BU19" i="17"/>
  <c r="BU41" i="17"/>
  <c r="BR38" i="17"/>
  <c r="BT41" i="17"/>
  <c r="T58" i="17"/>
  <c r="T78" i="17"/>
  <c r="T74" i="17"/>
  <c r="T86" i="17"/>
  <c r="BU34" i="17"/>
  <c r="BZ4" i="17"/>
  <c r="T81" i="17"/>
  <c r="T54" i="17"/>
  <c r="U51" i="17"/>
  <c r="T72" i="17"/>
  <c r="T69" i="17"/>
  <c r="T59" i="17"/>
  <c r="BS23" i="17"/>
  <c r="T64" i="17"/>
  <c r="T62" i="17"/>
  <c r="BR31" i="17"/>
  <c r="T61" i="17"/>
  <c r="T79" i="17"/>
  <c r="T84" i="17"/>
  <c r="T63" i="17"/>
  <c r="BU16" i="17"/>
  <c r="T77" i="17"/>
  <c r="T89" i="17"/>
  <c r="BT28" i="17"/>
  <c r="T70" i="17"/>
  <c r="T60" i="17"/>
  <c r="BS38" i="17"/>
  <c r="BT35" i="17"/>
  <c r="BP46" i="17"/>
  <c r="BP38" i="17"/>
  <c r="BP23" i="17"/>
  <c r="BQ23" i="17"/>
  <c r="BP31" i="17"/>
  <c r="BQ31" i="17"/>
  <c r="V10" i="12"/>
  <c r="V12" i="12" s="1"/>
  <c r="X4" i="12"/>
  <c r="X5" i="12"/>
  <c r="W11" i="12"/>
  <c r="W14" i="12"/>
  <c r="B14" i="1"/>
  <c r="B15" i="1"/>
  <c r="R49" i="13" l="1"/>
  <c r="V17" i="12"/>
  <c r="V20" i="12" s="1"/>
  <c r="W10" i="12"/>
  <c r="W12" i="12" s="1"/>
  <c r="M45" i="13"/>
  <c r="M50" i="13" s="1"/>
  <c r="M46" i="13"/>
  <c r="N36" i="13"/>
  <c r="N29" i="13"/>
  <c r="N21" i="13"/>
  <c r="O8" i="13"/>
  <c r="BY43" i="17"/>
  <c r="O41" i="13"/>
  <c r="O44" i="13" s="1"/>
  <c r="BY33" i="17"/>
  <c r="O31" i="13"/>
  <c r="BY34" i="17"/>
  <c r="O32" i="13"/>
  <c r="BY35" i="17"/>
  <c r="O33" i="13"/>
  <c r="BY30" i="17"/>
  <c r="O28" i="13"/>
  <c r="BY26" i="17"/>
  <c r="O24" i="13"/>
  <c r="BY29" i="17"/>
  <c r="O27" i="13"/>
  <c r="BY28" i="17"/>
  <c r="O26" i="13"/>
  <c r="BY14" i="17"/>
  <c r="O12" i="13"/>
  <c r="BY12" i="17"/>
  <c r="O10" i="13"/>
  <c r="BY15" i="17"/>
  <c r="O13" i="13"/>
  <c r="BY22" i="17"/>
  <c r="O20" i="13"/>
  <c r="BQ47" i="17"/>
  <c r="BX40" i="17"/>
  <c r="BS47" i="17"/>
  <c r="BW10" i="17"/>
  <c r="BU10" i="17"/>
  <c r="BR47" i="17"/>
  <c r="BP47" i="17"/>
  <c r="BV10" i="17"/>
  <c r="BT10" i="17"/>
  <c r="BY8" i="17"/>
  <c r="BX8" i="17"/>
  <c r="BY9" i="17"/>
  <c r="BX9" i="17"/>
  <c r="BY7" i="17"/>
  <c r="BX7" i="17"/>
  <c r="U56" i="17"/>
  <c r="U65" i="17"/>
  <c r="U55" i="17"/>
  <c r="CA8" i="17"/>
  <c r="CA9" i="17"/>
  <c r="CA7" i="17"/>
  <c r="BZ7" i="17"/>
  <c r="P5" i="13" s="1"/>
  <c r="P6" i="13"/>
  <c r="P7" i="13"/>
  <c r="BU38" i="17"/>
  <c r="BY37" i="17"/>
  <c r="U95" i="17"/>
  <c r="U94" i="17"/>
  <c r="U96" i="17"/>
  <c r="T97" i="17"/>
  <c r="T98" i="17" s="1"/>
  <c r="BX20" i="17"/>
  <c r="BX28" i="17"/>
  <c r="BY13" i="17"/>
  <c r="BY17" i="17"/>
  <c r="CA44" i="17"/>
  <c r="P42" i="13"/>
  <c r="BY44" i="17"/>
  <c r="BX44" i="17"/>
  <c r="U88" i="17"/>
  <c r="BX17" i="17"/>
  <c r="BX13" i="17"/>
  <c r="BX18" i="17"/>
  <c r="BX19" i="17"/>
  <c r="BX36" i="17"/>
  <c r="BY36" i="17"/>
  <c r="CA28" i="17"/>
  <c r="BY19" i="17"/>
  <c r="BX25" i="17"/>
  <c r="BX41" i="17"/>
  <c r="BX45" i="17"/>
  <c r="BX12" i="17"/>
  <c r="BX26" i="17"/>
  <c r="BX30" i="17"/>
  <c r="BX33" i="17"/>
  <c r="BW46" i="17"/>
  <c r="BX15" i="17"/>
  <c r="BY45" i="17"/>
  <c r="BY18" i="17"/>
  <c r="BY40" i="17"/>
  <c r="BX22" i="17"/>
  <c r="BY16" i="17"/>
  <c r="BX43" i="17"/>
  <c r="P25" i="13"/>
  <c r="BX14" i="17"/>
  <c r="CA25" i="17"/>
  <c r="BX21" i="17"/>
  <c r="P43" i="13"/>
  <c r="CA22" i="17"/>
  <c r="BY27" i="17"/>
  <c r="BY25" i="17"/>
  <c r="BX35" i="17"/>
  <c r="BY21" i="17"/>
  <c r="BV23" i="17"/>
  <c r="BX29" i="17"/>
  <c r="BX27" i="17"/>
  <c r="BV31" i="17"/>
  <c r="BX34" i="17"/>
  <c r="BT46" i="17"/>
  <c r="BT38" i="17"/>
  <c r="BY20" i="17"/>
  <c r="BY41" i="17"/>
  <c r="BV46" i="17"/>
  <c r="BX37" i="17"/>
  <c r="BW23" i="17"/>
  <c r="BX42" i="17"/>
  <c r="BV38" i="17"/>
  <c r="BY42" i="17"/>
  <c r="BW31" i="17"/>
  <c r="BX16" i="17"/>
  <c r="CA15" i="17"/>
  <c r="BW38" i="17"/>
  <c r="CA45" i="17"/>
  <c r="U57" i="17"/>
  <c r="U61" i="17"/>
  <c r="BU46" i="17"/>
  <c r="P23" i="13"/>
  <c r="P39" i="13"/>
  <c r="CA33" i="17"/>
  <c r="BT31" i="17"/>
  <c r="BU23" i="17"/>
  <c r="P35" i="13"/>
  <c r="CA35" i="17"/>
  <c r="CA43" i="17"/>
  <c r="BU31" i="17"/>
  <c r="P17" i="13"/>
  <c r="P11" i="13"/>
  <c r="CA13" i="17"/>
  <c r="CA30" i="17"/>
  <c r="CA26" i="17"/>
  <c r="CA36" i="17"/>
  <c r="CA19" i="17"/>
  <c r="U77" i="17"/>
  <c r="P40" i="13"/>
  <c r="CA12" i="17"/>
  <c r="CA29" i="17"/>
  <c r="CA18" i="17"/>
  <c r="CA40" i="17"/>
  <c r="P18" i="13"/>
  <c r="CA17" i="17"/>
  <c r="CA42" i="17"/>
  <c r="CA27" i="17"/>
  <c r="CA20" i="17"/>
  <c r="CA34" i="17"/>
  <c r="P19" i="13"/>
  <c r="P38" i="13"/>
  <c r="P14" i="13"/>
  <c r="CA37" i="17"/>
  <c r="CA41" i="17"/>
  <c r="CA21" i="17"/>
  <c r="P16" i="13"/>
  <c r="P15" i="13"/>
  <c r="CA16" i="17"/>
  <c r="CA14" i="17"/>
  <c r="BT23" i="17"/>
  <c r="U81" i="17"/>
  <c r="U71" i="17"/>
  <c r="U66" i="17"/>
  <c r="U74" i="17"/>
  <c r="U79" i="17"/>
  <c r="U53" i="17"/>
  <c r="U89" i="17"/>
  <c r="U80" i="17"/>
  <c r="U58" i="17"/>
  <c r="U84" i="17"/>
  <c r="U78" i="17"/>
  <c r="U85" i="17"/>
  <c r="U59" i="17"/>
  <c r="U69" i="17"/>
  <c r="U60" i="17"/>
  <c r="U86" i="17"/>
  <c r="U87" i="17"/>
  <c r="U72" i="17"/>
  <c r="U54" i="17"/>
  <c r="CD4" i="17"/>
  <c r="U73" i="17"/>
  <c r="U70" i="17"/>
  <c r="V51" i="17"/>
  <c r="U64" i="17"/>
  <c r="U63" i="17"/>
  <c r="U62" i="17"/>
  <c r="X11" i="12"/>
  <c r="X14" i="12"/>
  <c r="Y4" i="12"/>
  <c r="Y5" i="12"/>
  <c r="D15" i="1"/>
  <c r="E15" i="1"/>
  <c r="D14" i="1"/>
  <c r="E14" i="1"/>
  <c r="S49" i="13" l="1"/>
  <c r="W17" i="12"/>
  <c r="W20" i="12" s="1"/>
  <c r="N45" i="13"/>
  <c r="N50" i="13" s="1"/>
  <c r="N46" i="13"/>
  <c r="O36" i="13"/>
  <c r="O29" i="13"/>
  <c r="O21" i="13"/>
  <c r="P8" i="13"/>
  <c r="CC43" i="17"/>
  <c r="P41" i="13"/>
  <c r="P44" i="13" s="1"/>
  <c r="CC35" i="17"/>
  <c r="P33" i="13"/>
  <c r="CC33" i="17"/>
  <c r="P31" i="13"/>
  <c r="CC34" i="17"/>
  <c r="P32" i="13"/>
  <c r="CC36" i="17"/>
  <c r="P34" i="13"/>
  <c r="CC30" i="17"/>
  <c r="P28" i="13"/>
  <c r="CC26" i="17"/>
  <c r="P24" i="13"/>
  <c r="CC29" i="17"/>
  <c r="P27" i="13"/>
  <c r="CC28" i="17"/>
  <c r="P26" i="13"/>
  <c r="CC12" i="17"/>
  <c r="P10" i="13"/>
  <c r="CC22" i="17"/>
  <c r="P20" i="13"/>
  <c r="CC14" i="17"/>
  <c r="P12" i="13"/>
  <c r="CC15" i="17"/>
  <c r="P13" i="13"/>
  <c r="BU47" i="17"/>
  <c r="CA10" i="17"/>
  <c r="BW47" i="17"/>
  <c r="BT47" i="17"/>
  <c r="BY10" i="17"/>
  <c r="BV47" i="17"/>
  <c r="BX10" i="17"/>
  <c r="BZ10" i="17"/>
  <c r="CE9" i="17"/>
  <c r="CE7" i="17"/>
  <c r="CE8" i="17"/>
  <c r="Q6" i="13"/>
  <c r="CD7" i="17"/>
  <c r="Q5" i="13" s="1"/>
  <c r="Q7" i="13"/>
  <c r="CC9" i="17"/>
  <c r="CB9" i="17"/>
  <c r="CC8" i="17"/>
  <c r="CB8" i="17"/>
  <c r="CC7" i="17"/>
  <c r="CB7" i="17"/>
  <c r="V65" i="17"/>
  <c r="V55" i="17"/>
  <c r="V56" i="17"/>
  <c r="BY38" i="17"/>
  <c r="CC37" i="17"/>
  <c r="CC21" i="17"/>
  <c r="U97" i="17"/>
  <c r="U98" i="17" s="1"/>
  <c r="V95" i="17"/>
  <c r="V94" i="17"/>
  <c r="V96" i="17"/>
  <c r="CB28" i="17"/>
  <c r="CC44" i="17"/>
  <c r="CB44" i="17"/>
  <c r="V88" i="17"/>
  <c r="CE44" i="17"/>
  <c r="Q42" i="13"/>
  <c r="BY46" i="17"/>
  <c r="V62" i="17"/>
  <c r="BX46" i="17"/>
  <c r="CC27" i="17"/>
  <c r="CC17" i="17"/>
  <c r="BY23" i="17"/>
  <c r="V72" i="17"/>
  <c r="CB25" i="17"/>
  <c r="CB12" i="17"/>
  <c r="BX31" i="17"/>
  <c r="CB36" i="17"/>
  <c r="CC45" i="17"/>
  <c r="BX23" i="17"/>
  <c r="BX38" i="17"/>
  <c r="CB30" i="17"/>
  <c r="CB15" i="17"/>
  <c r="CB17" i="17"/>
  <c r="CC42" i="17"/>
  <c r="CB29" i="17"/>
  <c r="BY31" i="17"/>
  <c r="CB19" i="17"/>
  <c r="CB18" i="17"/>
  <c r="CB26" i="17"/>
  <c r="BZ31" i="17"/>
  <c r="CB40" i="17"/>
  <c r="CB22" i="17"/>
  <c r="CB45" i="17"/>
  <c r="CB42" i="17"/>
  <c r="CC25" i="17"/>
  <c r="CB21" i="17"/>
  <c r="CB33" i="17"/>
  <c r="CC13" i="17"/>
  <c r="CB14" i="17"/>
  <c r="CB37" i="17"/>
  <c r="CC18" i="17"/>
  <c r="CB43" i="17"/>
  <c r="BZ46" i="17"/>
  <c r="CC41" i="17"/>
  <c r="V64" i="17"/>
  <c r="CC19" i="17"/>
  <c r="CB13" i="17"/>
  <c r="CB16" i="17"/>
  <c r="BZ38" i="17"/>
  <c r="CB35" i="17"/>
  <c r="CC20" i="17"/>
  <c r="V87" i="17"/>
  <c r="CC16" i="17"/>
  <c r="V63" i="17"/>
  <c r="V58" i="17"/>
  <c r="V53" i="17"/>
  <c r="V78" i="17"/>
  <c r="V79" i="17"/>
  <c r="V77" i="17"/>
  <c r="CA38" i="17"/>
  <c r="BZ23" i="17"/>
  <c r="CA23" i="17"/>
  <c r="V70" i="17"/>
  <c r="V85" i="17"/>
  <c r="CB41" i="17"/>
  <c r="CA31" i="17"/>
  <c r="CB34" i="17"/>
  <c r="CB20" i="17"/>
  <c r="V61" i="17"/>
  <c r="V81" i="17"/>
  <c r="CB27" i="17"/>
  <c r="V54" i="17"/>
  <c r="CA46" i="17"/>
  <c r="CC40" i="17"/>
  <c r="V59" i="17"/>
  <c r="V80" i="17"/>
  <c r="V84" i="17"/>
  <c r="V60" i="17"/>
  <c r="V86" i="17"/>
  <c r="V71" i="17"/>
  <c r="V74" i="17"/>
  <c r="V73" i="17"/>
  <c r="CH4" i="17"/>
  <c r="V69" i="17"/>
  <c r="V66" i="17"/>
  <c r="V57" i="17"/>
  <c r="CE36" i="17"/>
  <c r="CE35" i="17"/>
  <c r="CE37" i="17"/>
  <c r="V89" i="17"/>
  <c r="W51" i="17"/>
  <c r="CE13" i="17"/>
  <c r="CE27" i="17"/>
  <c r="CE40" i="17"/>
  <c r="CE43" i="17"/>
  <c r="Q40" i="13"/>
  <c r="Q14" i="13"/>
  <c r="CE33" i="17"/>
  <c r="CE16" i="17"/>
  <c r="CE30" i="17"/>
  <c r="CE41" i="17"/>
  <c r="CE20" i="17"/>
  <c r="Q13" i="13"/>
  <c r="Q35" i="13"/>
  <c r="CE18" i="17"/>
  <c r="CE14" i="17"/>
  <c r="CE12" i="17"/>
  <c r="Q19" i="13"/>
  <c r="CE17" i="17"/>
  <c r="CE29" i="17"/>
  <c r="Q18" i="13"/>
  <c r="Q43" i="13"/>
  <c r="Q15" i="13"/>
  <c r="Q33" i="13"/>
  <c r="CE25" i="17"/>
  <c r="Q17" i="13"/>
  <c r="CE21" i="17"/>
  <c r="Q11" i="13"/>
  <c r="Q38" i="13"/>
  <c r="Q16" i="13"/>
  <c r="CE22" i="17"/>
  <c r="CE26" i="17"/>
  <c r="CE45" i="17"/>
  <c r="CE19" i="17"/>
  <c r="Q39" i="13"/>
  <c r="CE42" i="17"/>
  <c r="Q23" i="13"/>
  <c r="Q25" i="13"/>
  <c r="CE34" i="17"/>
  <c r="CE15" i="17"/>
  <c r="CE28" i="17"/>
  <c r="Z4" i="12"/>
  <c r="Z5" i="12"/>
  <c r="Y14" i="12"/>
  <c r="Y11" i="12"/>
  <c r="X10" i="12"/>
  <c r="X12" i="12" s="1"/>
  <c r="X17" i="12" s="1"/>
  <c r="X20" i="12" s="1"/>
  <c r="E30" i="1"/>
  <c r="D30" i="1"/>
  <c r="D32" i="1" s="1"/>
  <c r="D35" i="1" s="1"/>
  <c r="E31" i="1" s="1"/>
  <c r="E32" i="1" s="1"/>
  <c r="E35" i="1" s="1"/>
  <c r="F31" i="1" s="1"/>
  <c r="F32" i="1" s="1"/>
  <c r="F35" i="1" s="1"/>
  <c r="O45" i="13" l="1"/>
  <c r="O50" i="13" s="1"/>
  <c r="O46" i="13"/>
  <c r="P36" i="13"/>
  <c r="P29" i="13"/>
  <c r="P21" i="13"/>
  <c r="Q8" i="13"/>
  <c r="CG43" i="17"/>
  <c r="Q41" i="13"/>
  <c r="Q44" i="13" s="1"/>
  <c r="CG33" i="17"/>
  <c r="Q31" i="13"/>
  <c r="CG34" i="17"/>
  <c r="Q32" i="13"/>
  <c r="CG36" i="17"/>
  <c r="Q34" i="13"/>
  <c r="CG30" i="17"/>
  <c r="Q28" i="13"/>
  <c r="CG29" i="17"/>
  <c r="Q27" i="13"/>
  <c r="CG26" i="17"/>
  <c r="Q24" i="13"/>
  <c r="CG28" i="17"/>
  <c r="Q26" i="13"/>
  <c r="CG12" i="17"/>
  <c r="Q10" i="13"/>
  <c r="CG14" i="17"/>
  <c r="Q12" i="13"/>
  <c r="CG22" i="17"/>
  <c r="Q20" i="13"/>
  <c r="BY47" i="17"/>
  <c r="CA47" i="17"/>
  <c r="CE10" i="17"/>
  <c r="CC10" i="17"/>
  <c r="BZ47" i="17"/>
  <c r="BX47" i="17"/>
  <c r="CB10" i="17"/>
  <c r="CD10" i="17"/>
  <c r="CI7" i="17"/>
  <c r="CI9" i="17"/>
  <c r="CI8" i="17"/>
  <c r="R6" i="13"/>
  <c r="R7" i="13"/>
  <c r="CH7" i="17"/>
  <c r="R5" i="13" s="1"/>
  <c r="CG9" i="17"/>
  <c r="CF9" i="17"/>
  <c r="CF7" i="17"/>
  <c r="CG7" i="17"/>
  <c r="CF8" i="17"/>
  <c r="CG8" i="17"/>
  <c r="W65" i="17"/>
  <c r="W55" i="17"/>
  <c r="W56" i="17"/>
  <c r="CG37" i="17"/>
  <c r="CC38" i="17"/>
  <c r="V97" i="17"/>
  <c r="V98" i="17" s="1"/>
  <c r="CG21" i="17"/>
  <c r="W94" i="17"/>
  <c r="W96" i="17"/>
  <c r="X96" i="17" s="1"/>
  <c r="W95" i="17"/>
  <c r="CG44" i="17"/>
  <c r="CF44" i="17"/>
  <c r="W88" i="17"/>
  <c r="CI44" i="17"/>
  <c r="R42" i="13"/>
  <c r="CI30" i="17"/>
  <c r="CG41" i="17"/>
  <c r="CF26" i="17"/>
  <c r="CC23" i="17"/>
  <c r="R35" i="13"/>
  <c r="CC46" i="17"/>
  <c r="CI36" i="17"/>
  <c r="R19" i="13"/>
  <c r="CG19" i="17"/>
  <c r="CI41" i="17"/>
  <c r="CI43" i="17"/>
  <c r="CI42" i="17"/>
  <c r="R25" i="13"/>
  <c r="R24" i="13"/>
  <c r="CI21" i="17"/>
  <c r="R14" i="13"/>
  <c r="CI13" i="17"/>
  <c r="CG17" i="17"/>
  <c r="CI18" i="17"/>
  <c r="CI17" i="17"/>
  <c r="CF45" i="17"/>
  <c r="R40" i="13"/>
  <c r="CI29" i="17"/>
  <c r="CF33" i="17"/>
  <c r="R38" i="13"/>
  <c r="R39" i="13"/>
  <c r="CI45" i="17"/>
  <c r="CI12" i="17"/>
  <c r="R27" i="13"/>
  <c r="R11" i="13"/>
  <c r="CI14" i="17"/>
  <c r="CI37" i="17"/>
  <c r="R17" i="13"/>
  <c r="CI28" i="17"/>
  <c r="CC31" i="17"/>
  <c r="CI22" i="17"/>
  <c r="CI40" i="17"/>
  <c r="R23" i="13"/>
  <c r="CI26" i="17"/>
  <c r="CI19" i="17"/>
  <c r="R12" i="13"/>
  <c r="R43" i="13"/>
  <c r="CI34" i="17"/>
  <c r="CI35" i="17"/>
  <c r="CI16" i="17"/>
  <c r="CI20" i="17"/>
  <c r="R16" i="13"/>
  <c r="CI27" i="17"/>
  <c r="CB46" i="17"/>
  <c r="CF22" i="17"/>
  <c r="CF30" i="17"/>
  <c r="CG27" i="17"/>
  <c r="CF37" i="17"/>
  <c r="CB31" i="17"/>
  <c r="CF14" i="17"/>
  <c r="CF16" i="17"/>
  <c r="CB23" i="17"/>
  <c r="CF36" i="17"/>
  <c r="CF43" i="17"/>
  <c r="CB38" i="17"/>
  <c r="CF20" i="17"/>
  <c r="CF18" i="17"/>
  <c r="W79" i="17"/>
  <c r="CD31" i="17"/>
  <c r="CF13" i="17"/>
  <c r="CE38" i="17"/>
  <c r="CF17" i="17"/>
  <c r="CF34" i="17"/>
  <c r="CG45" i="17"/>
  <c r="CG13" i="17"/>
  <c r="CF19" i="17"/>
  <c r="CF12" i="17"/>
  <c r="CF29" i="17"/>
  <c r="CF27" i="17"/>
  <c r="CG16" i="17"/>
  <c r="CG25" i="17"/>
  <c r="W59" i="17"/>
  <c r="W73" i="17"/>
  <c r="W71" i="17"/>
  <c r="W63" i="17"/>
  <c r="R13" i="13"/>
  <c r="R15" i="13"/>
  <c r="CI33" i="17"/>
  <c r="CI25" i="17"/>
  <c r="CI15" i="17"/>
  <c r="W70" i="17"/>
  <c r="W74" i="17"/>
  <c r="W78" i="17"/>
  <c r="R18" i="13"/>
  <c r="W66" i="17"/>
  <c r="W80" i="17"/>
  <c r="W86" i="17"/>
  <c r="CG20" i="17"/>
  <c r="W84" i="17"/>
  <c r="W77" i="17"/>
  <c r="W64" i="17"/>
  <c r="W60" i="17"/>
  <c r="W53" i="17"/>
  <c r="W81" i="17"/>
  <c r="W72" i="17"/>
  <c r="W54" i="17"/>
  <c r="W58" i="17"/>
  <c r="W57" i="17"/>
  <c r="W85" i="17"/>
  <c r="W62" i="17"/>
  <c r="CL4" i="17"/>
  <c r="W69" i="17"/>
  <c r="W61" i="17"/>
  <c r="W89" i="17"/>
  <c r="W87" i="17"/>
  <c r="CF35" i="17"/>
  <c r="CG18" i="17"/>
  <c r="CG40" i="17"/>
  <c r="CD46" i="17"/>
  <c r="CG35" i="17"/>
  <c r="CF41" i="17"/>
  <c r="CE46" i="17"/>
  <c r="CF28" i="17"/>
  <c r="CF40" i="17"/>
  <c r="CE31" i="17"/>
  <c r="CF15" i="17"/>
  <c r="CF42" i="17"/>
  <c r="CD23" i="17"/>
  <c r="CG42" i="17"/>
  <c r="CG15" i="17"/>
  <c r="CE23" i="17"/>
  <c r="CD38" i="17"/>
  <c r="CF21" i="17"/>
  <c r="CF25" i="17"/>
  <c r="Z14" i="12"/>
  <c r="Z11" i="12"/>
  <c r="Y10" i="12"/>
  <c r="Y12" i="12" s="1"/>
  <c r="Y17" i="12" s="1"/>
  <c r="Y20" i="12" s="1"/>
  <c r="AA5" i="12"/>
  <c r="AA4" i="12"/>
  <c r="Q3" i="1"/>
  <c r="B23" i="10" l="1"/>
  <c r="B24" i="10" s="1"/>
  <c r="G14" i="13"/>
  <c r="G7" i="13"/>
  <c r="J14" i="12"/>
  <c r="D16" i="14" s="1"/>
  <c r="E16" i="14" s="1"/>
  <c r="G43" i="13"/>
  <c r="E10" i="13"/>
  <c r="C35" i="13"/>
  <c r="C36" i="13" s="1"/>
  <c r="D23" i="13"/>
  <c r="F31" i="13"/>
  <c r="F27" i="13"/>
  <c r="F13" i="13"/>
  <c r="E35" i="13"/>
  <c r="E12" i="13"/>
  <c r="F33" i="13"/>
  <c r="D43" i="13"/>
  <c r="C17" i="13"/>
  <c r="F7" i="13"/>
  <c r="E26" i="13"/>
  <c r="G31" i="13"/>
  <c r="H14" i="12"/>
  <c r="D14" i="14" s="1"/>
  <c r="E14" i="14" s="1"/>
  <c r="G15" i="13"/>
  <c r="C39" i="13"/>
  <c r="C44" i="13" s="1"/>
  <c r="F32" i="13"/>
  <c r="G26" i="13"/>
  <c r="E33" i="13"/>
  <c r="D10" i="13"/>
  <c r="D19" i="13"/>
  <c r="C14" i="13"/>
  <c r="E41" i="13"/>
  <c r="E28" i="13"/>
  <c r="C12" i="13"/>
  <c r="G42" i="13"/>
  <c r="E38" i="13"/>
  <c r="D26" i="13"/>
  <c r="F16" i="13"/>
  <c r="E23" i="13"/>
  <c r="D16" i="13"/>
  <c r="D12" i="13"/>
  <c r="G25" i="13"/>
  <c r="G5" i="13"/>
  <c r="D34" i="13"/>
  <c r="G12" i="13"/>
  <c r="F39" i="13"/>
  <c r="G19" i="13"/>
  <c r="G27" i="13"/>
  <c r="G32" i="13"/>
  <c r="F40" i="13"/>
  <c r="E5" i="13"/>
  <c r="E8" i="13" s="1"/>
  <c r="D33" i="13"/>
  <c r="E11" i="13"/>
  <c r="E18" i="13"/>
  <c r="F18" i="13"/>
  <c r="D18" i="13"/>
  <c r="E27" i="13"/>
  <c r="G28" i="13"/>
  <c r="D20" i="13"/>
  <c r="I14" i="12"/>
  <c r="D15" i="14" s="1"/>
  <c r="E15" i="14" s="1"/>
  <c r="E32" i="13"/>
  <c r="D15" i="13"/>
  <c r="F41" i="13"/>
  <c r="F14" i="13"/>
  <c r="D41" i="13"/>
  <c r="F11" i="13"/>
  <c r="G10" i="13"/>
  <c r="D39" i="13"/>
  <c r="F6" i="13"/>
  <c r="G6" i="13"/>
  <c r="E31" i="13"/>
  <c r="D42" i="13"/>
  <c r="G40" i="13"/>
  <c r="E25" i="13"/>
  <c r="G11" i="13"/>
  <c r="D31" i="13"/>
  <c r="D36" i="13" s="1"/>
  <c r="E39" i="13"/>
  <c r="G35" i="13"/>
  <c r="F20" i="13"/>
  <c r="G20" i="13"/>
  <c r="E19" i="13"/>
  <c r="D40" i="13"/>
  <c r="D11" i="13"/>
  <c r="E40" i="13"/>
  <c r="E14" i="13"/>
  <c r="D17" i="13"/>
  <c r="F23" i="13"/>
  <c r="E15" i="13"/>
  <c r="E42" i="13"/>
  <c r="G41" i="13"/>
  <c r="F42" i="13"/>
  <c r="G13" i="13"/>
  <c r="F10" i="13"/>
  <c r="G33" i="13"/>
  <c r="G23" i="13"/>
  <c r="F25" i="13"/>
  <c r="G34" i="13"/>
  <c r="F35" i="13"/>
  <c r="G18" i="13"/>
  <c r="E20" i="13"/>
  <c r="F17" i="13"/>
  <c r="G24" i="13"/>
  <c r="G16" i="13"/>
  <c r="F12" i="13"/>
  <c r="F34" i="13"/>
  <c r="F15" i="13"/>
  <c r="F24" i="13"/>
  <c r="E34" i="13"/>
  <c r="G39" i="13"/>
  <c r="F28" i="13"/>
  <c r="E13" i="13"/>
  <c r="E17" i="13"/>
  <c r="F5" i="13"/>
  <c r="F26" i="13"/>
  <c r="F43" i="13"/>
  <c r="F19" i="13"/>
  <c r="F38" i="13"/>
  <c r="G17" i="13"/>
  <c r="G38" i="13"/>
  <c r="P45" i="13"/>
  <c r="P50" i="13" s="1"/>
  <c r="P46" i="13"/>
  <c r="Q36" i="13"/>
  <c r="Q29" i="13"/>
  <c r="Q21" i="13"/>
  <c r="R8" i="13"/>
  <c r="CK43" i="17"/>
  <c r="R41" i="13"/>
  <c r="R44" i="13" s="1"/>
  <c r="CK36" i="17"/>
  <c r="R34" i="13"/>
  <c r="CK34" i="17"/>
  <c r="R32" i="13"/>
  <c r="CK33" i="17"/>
  <c r="R31" i="13"/>
  <c r="CK35" i="17"/>
  <c r="R33" i="13"/>
  <c r="CK30" i="17"/>
  <c r="R28" i="13"/>
  <c r="CK28" i="17"/>
  <c r="R26" i="13"/>
  <c r="CK12" i="17"/>
  <c r="R10" i="13"/>
  <c r="CK22" i="17"/>
  <c r="R20" i="13"/>
  <c r="CC47" i="17"/>
  <c r="CE47" i="17"/>
  <c r="CI10" i="17"/>
  <c r="CG10" i="17"/>
  <c r="CD47" i="17"/>
  <c r="CG47" i="17" s="1"/>
  <c r="CB47" i="17"/>
  <c r="CF10" i="17"/>
  <c r="CH10" i="17"/>
  <c r="CM7" i="17"/>
  <c r="CM8" i="17"/>
  <c r="CM9" i="17"/>
  <c r="CL7" i="17"/>
  <c r="S5" i="13" s="1"/>
  <c r="S6" i="13"/>
  <c r="S7" i="13"/>
  <c r="CK7" i="17"/>
  <c r="CJ7" i="17"/>
  <c r="CK9" i="17"/>
  <c r="CJ9" i="17"/>
  <c r="CK8" i="17"/>
  <c r="CJ8" i="17"/>
  <c r="CG38" i="17"/>
  <c r="CK21" i="17"/>
  <c r="X95" i="17"/>
  <c r="W97" i="17"/>
  <c r="X97" i="17" s="1"/>
  <c r="CK44" i="17"/>
  <c r="CJ44" i="17"/>
  <c r="CM21" i="17"/>
  <c r="CM44" i="17"/>
  <c r="S42" i="13"/>
  <c r="CJ41" i="17"/>
  <c r="CJ29" i="17"/>
  <c r="CI46" i="17"/>
  <c r="CJ14" i="17"/>
  <c r="CJ30" i="17"/>
  <c r="CJ42" i="17"/>
  <c r="CJ40" i="17"/>
  <c r="CJ27" i="17"/>
  <c r="CJ25" i="17"/>
  <c r="CK42" i="17"/>
  <c r="CJ26" i="17"/>
  <c r="CK27" i="17"/>
  <c r="CK20" i="17"/>
  <c r="CK17" i="17"/>
  <c r="CJ37" i="17"/>
  <c r="CK26" i="17"/>
  <c r="CK37" i="17"/>
  <c r="CK14" i="17"/>
  <c r="CJ34" i="17"/>
  <c r="CJ36" i="17"/>
  <c r="CI31" i="17"/>
  <c r="CJ19" i="17"/>
  <c r="CK16" i="17"/>
  <c r="CK25" i="17"/>
  <c r="CK40" i="17"/>
  <c r="CJ22" i="17"/>
  <c r="CJ21" i="17"/>
  <c r="CK41" i="17"/>
  <c r="CJ16" i="17"/>
  <c r="CJ12" i="17"/>
  <c r="CK19" i="17"/>
  <c r="CJ35" i="17"/>
  <c r="CK29" i="17"/>
  <c r="CH38" i="17"/>
  <c r="CK18" i="17"/>
  <c r="CH46" i="17"/>
  <c r="CJ13" i="17"/>
  <c r="CJ28" i="17"/>
  <c r="CI23" i="17"/>
  <c r="CI38" i="17"/>
  <c r="CH31" i="17"/>
  <c r="CJ20" i="17"/>
  <c r="CJ17" i="17"/>
  <c r="CK13" i="17"/>
  <c r="CJ45" i="17"/>
  <c r="CJ18" i="17"/>
  <c r="CK45" i="17"/>
  <c r="CM28" i="17"/>
  <c r="CM19" i="17"/>
  <c r="CJ33" i="17"/>
  <c r="CJ43" i="17"/>
  <c r="CG31" i="17"/>
  <c r="S35" i="13"/>
  <c r="CM35" i="17"/>
  <c r="CM41" i="17"/>
  <c r="CM42" i="17"/>
  <c r="S40" i="13"/>
  <c r="CM30" i="17"/>
  <c r="S25" i="13"/>
  <c r="CM18" i="17"/>
  <c r="S38" i="13"/>
  <c r="CM14" i="17"/>
  <c r="S28" i="13"/>
  <c r="CM13" i="17"/>
  <c r="CF38" i="17"/>
  <c r="S15" i="13"/>
  <c r="CM36" i="17"/>
  <c r="CJ15" i="17"/>
  <c r="S14" i="13"/>
  <c r="CM15" i="17"/>
  <c r="CM17" i="17"/>
  <c r="S23" i="13"/>
  <c r="CM37" i="17"/>
  <c r="CM25" i="17"/>
  <c r="CM22" i="17"/>
  <c r="CM26" i="17"/>
  <c r="CK15" i="17"/>
  <c r="S16" i="13"/>
  <c r="S11" i="13"/>
  <c r="CM33" i="17"/>
  <c r="CH23" i="17"/>
  <c r="S17" i="13"/>
  <c r="CM43" i="17"/>
  <c r="S43" i="13"/>
  <c r="S39" i="13"/>
  <c r="CM16" i="17"/>
  <c r="CM27" i="17"/>
  <c r="CM40" i="17"/>
  <c r="S18" i="13"/>
  <c r="S19" i="13"/>
  <c r="CM12" i="17"/>
  <c r="CM34" i="17"/>
  <c r="CM29" i="17"/>
  <c r="CM45" i="17"/>
  <c r="CM20" i="17"/>
  <c r="CG46" i="17"/>
  <c r="CF46" i="17"/>
  <c r="CF31" i="17"/>
  <c r="CG23" i="17"/>
  <c r="CF23" i="17"/>
  <c r="E47" i="10"/>
  <c r="F15" i="18" s="1"/>
  <c r="D47" i="10"/>
  <c r="E15" i="18" s="1"/>
  <c r="AB5" i="12"/>
  <c r="AB4" i="12"/>
  <c r="AA11" i="12"/>
  <c r="AA14" i="12"/>
  <c r="Z10" i="12"/>
  <c r="Z12" i="12" s="1"/>
  <c r="Z17" i="12" s="1"/>
  <c r="Z20" i="12" s="1"/>
  <c r="Q5" i="1"/>
  <c r="Q4" i="1"/>
  <c r="Q2" i="1"/>
  <c r="C30" i="1"/>
  <c r="B30" i="1"/>
  <c r="D23" i="10" l="1"/>
  <c r="E12" i="19" s="1"/>
  <c r="F12" i="19" s="1"/>
  <c r="G12" i="19" s="1"/>
  <c r="E23" i="10"/>
  <c r="F8" i="13"/>
  <c r="C21" i="13"/>
  <c r="C46" i="13" s="1"/>
  <c r="G44" i="13"/>
  <c r="G29" i="13"/>
  <c r="D44" i="13"/>
  <c r="G21" i="13"/>
  <c r="G46" i="13" s="1"/>
  <c r="G8" i="13"/>
  <c r="D29" i="13"/>
  <c r="E21" i="13"/>
  <c r="E46" i="13" s="1"/>
  <c r="F29" i="13"/>
  <c r="E36" i="13"/>
  <c r="E29" i="13"/>
  <c r="G36" i="13"/>
  <c r="F44" i="13"/>
  <c r="F21" i="13"/>
  <c r="F46" i="13" s="1"/>
  <c r="D21" i="13"/>
  <c r="E44" i="13"/>
  <c r="F36" i="13"/>
  <c r="Q45" i="13"/>
  <c r="Q50" i="13" s="1"/>
  <c r="Q46" i="13"/>
  <c r="R36" i="13"/>
  <c r="R29" i="13"/>
  <c r="R21" i="13"/>
  <c r="S8" i="13"/>
  <c r="CO43" i="17"/>
  <c r="S41" i="13"/>
  <c r="S44" i="13" s="1"/>
  <c r="CO36" i="17"/>
  <c r="S34" i="13"/>
  <c r="CO35" i="17"/>
  <c r="S33" i="13"/>
  <c r="CO34" i="17"/>
  <c r="S32" i="13"/>
  <c r="CO33" i="17"/>
  <c r="S31" i="13"/>
  <c r="CO28" i="17"/>
  <c r="S26" i="13"/>
  <c r="CO29" i="17"/>
  <c r="S27" i="13"/>
  <c r="CO26" i="17"/>
  <c r="S24" i="13"/>
  <c r="CO15" i="17"/>
  <c r="S13" i="13"/>
  <c r="CO12" i="17"/>
  <c r="S10" i="13"/>
  <c r="CO22" i="17"/>
  <c r="S20" i="13"/>
  <c r="CO14" i="17"/>
  <c r="S12" i="13"/>
  <c r="C12" i="18"/>
  <c r="N8" i="10"/>
  <c r="CI47" i="17"/>
  <c r="E24" i="10"/>
  <c r="F12" i="18" s="1"/>
  <c r="B48" i="10"/>
  <c r="CM10" i="17"/>
  <c r="CK10" i="17"/>
  <c r="CH47" i="17"/>
  <c r="CF47" i="17"/>
  <c r="CJ10" i="17"/>
  <c r="CL10" i="17"/>
  <c r="CO9" i="17"/>
  <c r="CN9" i="17"/>
  <c r="CO8" i="17"/>
  <c r="CN8" i="17"/>
  <c r="CO7" i="17"/>
  <c r="CN7" i="17"/>
  <c r="CK31" i="17"/>
  <c r="CO37" i="17"/>
  <c r="CK38" i="17"/>
  <c r="CO21" i="17"/>
  <c r="W98" i="17"/>
  <c r="X98" i="17" s="1"/>
  <c r="CO44" i="17"/>
  <c r="CN44" i="17"/>
  <c r="CK46" i="17"/>
  <c r="CN28" i="17"/>
  <c r="CJ31" i="17"/>
  <c r="CN19" i="17"/>
  <c r="CO27" i="17"/>
  <c r="CJ38" i="17"/>
  <c r="CN21" i="17"/>
  <c r="CN43" i="17"/>
  <c r="CN29" i="17"/>
  <c r="CN34" i="17"/>
  <c r="CJ46" i="17"/>
  <c r="CJ23" i="17"/>
  <c r="CN42" i="17"/>
  <c r="CO18" i="17"/>
  <c r="CN17" i="17"/>
  <c r="CN26" i="17"/>
  <c r="CO42" i="17"/>
  <c r="CO45" i="17"/>
  <c r="CN25" i="17"/>
  <c r="CN33" i="17"/>
  <c r="CN30" i="17"/>
  <c r="CN37" i="17"/>
  <c r="CN15" i="17"/>
  <c r="CL31" i="17"/>
  <c r="CO16" i="17"/>
  <c r="CN36" i="17"/>
  <c r="CO30" i="17"/>
  <c r="CN41" i="17"/>
  <c r="CO25" i="17"/>
  <c r="CO17" i="17"/>
  <c r="CK23" i="17"/>
  <c r="CN18" i="17"/>
  <c r="CL38" i="17"/>
  <c r="CN14" i="17"/>
  <c r="CN13" i="17"/>
  <c r="CL46" i="17"/>
  <c r="CO19" i="17"/>
  <c r="CO20" i="17"/>
  <c r="CN35" i="17"/>
  <c r="CN22" i="17"/>
  <c r="CO13" i="17"/>
  <c r="CN12" i="17"/>
  <c r="CM46" i="17"/>
  <c r="CM31" i="17"/>
  <c r="CN45" i="17"/>
  <c r="CN27" i="17"/>
  <c r="CN16" i="17"/>
  <c r="CM23" i="17"/>
  <c r="CO40" i="17"/>
  <c r="CN40" i="17"/>
  <c r="CM38" i="17"/>
  <c r="CO41" i="17"/>
  <c r="CL23" i="17"/>
  <c r="CN20" i="17"/>
  <c r="AA10" i="12"/>
  <c r="AA12" i="12" s="1"/>
  <c r="AA17" i="12" s="1"/>
  <c r="AA20" i="12" s="1"/>
  <c r="AC5" i="12"/>
  <c r="AC4" i="12"/>
  <c r="AB14" i="12"/>
  <c r="AB11" i="12"/>
  <c r="D24" i="10" l="1"/>
  <c r="E12" i="18" s="1"/>
  <c r="C45" i="13"/>
  <c r="C50" i="13" s="1"/>
  <c r="C51" i="13" s="1"/>
  <c r="D48" i="13" s="1"/>
  <c r="D46" i="13"/>
  <c r="D45" i="13"/>
  <c r="D50" i="13" s="1"/>
  <c r="F45" i="13"/>
  <c r="F50" i="13" s="1"/>
  <c r="G45" i="13"/>
  <c r="G50" i="13" s="1"/>
  <c r="E45" i="13"/>
  <c r="E50" i="13" s="1"/>
  <c r="B4" i="10"/>
  <c r="B30" i="19"/>
  <c r="C30" i="19"/>
  <c r="R45" i="13"/>
  <c r="R50" i="13" s="1"/>
  <c r="R46" i="13"/>
  <c r="S36" i="13"/>
  <c r="S29" i="13"/>
  <c r="S21" i="13"/>
  <c r="CK47" i="17"/>
  <c r="E48" i="10"/>
  <c r="E4" i="10" s="1"/>
  <c r="C16" i="18"/>
  <c r="B6" i="18"/>
  <c r="CM47" i="17"/>
  <c r="CO10" i="17"/>
  <c r="CL47" i="17"/>
  <c r="CJ47" i="17"/>
  <c r="CN10" i="17"/>
  <c r="CO38" i="17"/>
  <c r="Y98" i="17"/>
  <c r="Y97" i="17"/>
  <c r="Y96" i="17"/>
  <c r="Y95" i="17"/>
  <c r="CN31" i="17"/>
  <c r="CO31" i="17"/>
  <c r="CN38" i="17"/>
  <c r="CO46" i="17"/>
  <c r="CN46" i="17"/>
  <c r="CO23" i="17"/>
  <c r="CN23" i="17"/>
  <c r="AD4" i="12"/>
  <c r="AD5" i="12"/>
  <c r="AB10" i="12"/>
  <c r="AB12" i="12" s="1"/>
  <c r="AB17" i="12" s="1"/>
  <c r="AB20" i="12" s="1"/>
  <c r="AC14" i="12"/>
  <c r="AC11" i="12"/>
  <c r="D51" i="13" l="1"/>
  <c r="E48" i="13" s="1"/>
  <c r="E51" i="13" s="1"/>
  <c r="F48" i="13" s="1"/>
  <c r="F51" i="13" s="1"/>
  <c r="G48" i="13" s="1"/>
  <c r="G51" i="13" s="1"/>
  <c r="H48" i="13" s="1"/>
  <c r="H51" i="13" s="1"/>
  <c r="I48" i="13" s="1"/>
  <c r="I51" i="13" s="1"/>
  <c r="J48" i="13" s="1"/>
  <c r="J51" i="13" s="1"/>
  <c r="K48" i="13" s="1"/>
  <c r="K51" i="13" s="1"/>
  <c r="L48" i="13" s="1"/>
  <c r="L51" i="13" s="1"/>
  <c r="M48" i="13" s="1"/>
  <c r="M51" i="13" s="1"/>
  <c r="N48" i="13" s="1"/>
  <c r="N51" i="13" s="1"/>
  <c r="O48" i="13" s="1"/>
  <c r="O51" i="13" s="1"/>
  <c r="P48" i="13" s="1"/>
  <c r="P51" i="13" s="1"/>
  <c r="Q48" i="13" s="1"/>
  <c r="Q51" i="13" s="1"/>
  <c r="R48" i="13" s="1"/>
  <c r="R51" i="13" s="1"/>
  <c r="S48" i="13" s="1"/>
  <c r="D48" i="10"/>
  <c r="S45" i="13"/>
  <c r="S50" i="13" s="1"/>
  <c r="S46" i="13"/>
  <c r="CO47" i="17"/>
  <c r="E6" i="18"/>
  <c r="F16" i="18"/>
  <c r="CN47" i="17"/>
  <c r="AE4" i="12"/>
  <c r="AE5" i="12"/>
  <c r="AC10" i="12"/>
  <c r="AC12" i="12" s="1"/>
  <c r="AC17" i="12" s="1"/>
  <c r="AC20" i="12" s="1"/>
  <c r="AD11" i="12"/>
  <c r="AD14" i="12"/>
  <c r="E16" i="18" l="1"/>
  <c r="D4" i="10"/>
  <c r="D6" i="18"/>
  <c r="S51" i="13"/>
  <c r="AD10" i="12"/>
  <c r="AD12" i="12" s="1"/>
  <c r="AD17" i="12" s="1"/>
  <c r="AD20" i="12" s="1"/>
  <c r="AE14" i="12"/>
  <c r="AE11" i="12"/>
  <c r="AF4" i="12"/>
  <c r="AF5" i="12"/>
  <c r="AF11" i="12" l="1"/>
  <c r="AF14" i="12"/>
  <c r="AG4" i="12"/>
  <c r="AG5" i="12"/>
  <c r="AE10" i="12"/>
  <c r="AE12" i="12" s="1"/>
  <c r="AE17" i="12" s="1"/>
  <c r="AE20" i="12" s="1"/>
  <c r="AG11" i="12" l="1"/>
  <c r="AG14" i="12"/>
  <c r="AH4" i="12"/>
  <c r="AH5" i="12"/>
  <c r="AF10" i="12"/>
  <c r="AF12" i="12" s="1"/>
  <c r="AF17" i="12" s="1"/>
  <c r="AF20" i="12" s="1"/>
  <c r="AH11" i="12" l="1"/>
  <c r="AH14" i="12"/>
  <c r="AI4" i="12"/>
  <c r="AI5" i="12"/>
  <c r="AG10" i="12"/>
  <c r="AG12" i="12" s="1"/>
  <c r="AG17" i="12" s="1"/>
  <c r="AG20" i="12" s="1"/>
  <c r="AI11" i="12" l="1"/>
  <c r="AI14" i="12"/>
  <c r="AH10" i="12"/>
  <c r="AH12" i="12" s="1"/>
  <c r="AH17" i="12" s="1"/>
  <c r="AH20" i="12" s="1"/>
  <c r="AJ5" i="12"/>
  <c r="AJ4" i="12"/>
  <c r="AI10" i="12" l="1"/>
  <c r="AI12" i="12" s="1"/>
  <c r="AI17" i="12" s="1"/>
  <c r="AI20" i="12" s="1"/>
  <c r="AK5" i="12"/>
  <c r="AK4" i="12"/>
  <c r="AJ14" i="12"/>
  <c r="AJ11" i="12"/>
  <c r="AJ10" i="12" l="1"/>
  <c r="AJ12" i="12" s="1"/>
  <c r="AJ17" i="12" s="1"/>
  <c r="AJ20" i="12" s="1"/>
  <c r="AK14" i="12"/>
  <c r="AK11" i="12"/>
  <c r="AL4" i="12"/>
  <c r="AL5" i="12"/>
  <c r="AM4" i="12" l="1"/>
  <c r="AM5" i="12"/>
  <c r="AL14" i="12"/>
  <c r="AL10" i="12"/>
  <c r="AL11" i="12"/>
  <c r="AK10" i="12"/>
  <c r="AK12" i="12" s="1"/>
  <c r="AK17" i="12" s="1"/>
  <c r="AK20" i="12" s="1"/>
  <c r="AL12" i="12" l="1"/>
  <c r="AL17" i="12" s="1"/>
  <c r="AL20" i="12" s="1"/>
  <c r="AM14" i="12"/>
  <c r="AM10" i="12"/>
  <c r="AM11" i="12"/>
  <c r="AN4" i="12"/>
  <c r="AN5" i="12"/>
  <c r="AM12" i="12" l="1"/>
  <c r="AM17" i="12" s="1"/>
  <c r="AM20" i="12" s="1"/>
  <c r="AN11" i="12"/>
  <c r="AN14" i="12"/>
  <c r="AO4" i="12"/>
  <c r="AO5" i="12"/>
  <c r="AP4" i="12" l="1"/>
  <c r="AP5" i="12"/>
  <c r="AO14" i="12"/>
  <c r="AO11" i="12"/>
  <c r="AN10" i="12"/>
  <c r="AN12" i="12" s="1"/>
  <c r="AN17" i="12" s="1"/>
  <c r="AN20" i="12" s="1"/>
  <c r="AO10" i="12" l="1"/>
  <c r="AO12" i="12" s="1"/>
  <c r="AO17" i="12" s="1"/>
  <c r="AO20" i="12" s="1"/>
  <c r="AP11" i="12"/>
  <c r="AP14" i="12"/>
  <c r="AQ4" i="12"/>
  <c r="AQ5" i="12"/>
  <c r="AQ11" i="12" l="1"/>
  <c r="AQ14" i="12"/>
  <c r="AP10" i="12"/>
  <c r="AP12" i="12" s="1"/>
  <c r="AP17" i="12" s="1"/>
  <c r="AP20" i="12" s="1"/>
  <c r="AR5" i="12"/>
  <c r="AR4" i="12"/>
  <c r="AQ10" i="12" l="1"/>
  <c r="AQ12" i="12" s="1"/>
  <c r="AQ17" i="12" s="1"/>
  <c r="AQ20" i="12" s="1"/>
  <c r="AS5" i="12"/>
  <c r="AS4" i="12"/>
  <c r="AR14" i="12"/>
  <c r="AR11" i="12"/>
  <c r="AR10" i="12" l="1"/>
  <c r="AR12" i="12" s="1"/>
  <c r="AR17" i="12" s="1"/>
  <c r="AR20" i="12" s="1"/>
  <c r="AT4" i="12"/>
  <c r="AU3" i="12"/>
  <c r="AT5" i="12"/>
  <c r="AS14" i="12"/>
  <c r="AS11" i="12"/>
  <c r="AS10" i="12" l="1"/>
  <c r="AS12" i="12" s="1"/>
  <c r="AS17" i="12" s="1"/>
  <c r="AS20" i="12" s="1"/>
  <c r="AU4" i="12"/>
  <c r="AU5" i="12"/>
  <c r="AT11" i="12"/>
  <c r="AT14" i="12"/>
  <c r="AU14" i="12" l="1"/>
  <c r="AU11" i="12"/>
  <c r="AT10" i="12"/>
  <c r="AT12" i="12" s="1"/>
  <c r="AT17" i="12" s="1"/>
  <c r="AT20" i="12" s="1"/>
  <c r="AU10" i="12" l="1"/>
  <c r="AU1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San Juan</author>
  </authors>
  <commentList>
    <comment ref="H51" authorId="0" shapeId="0" xr:uid="{AD3E0393-ADDB-4271-9C32-FD1B589DCBFB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Automático: ingresos − egresos acumulados de los meses anteriores al mes seleccionado. La cuenta abrió en marzo 2026 desde $0.</t>
        </r>
      </text>
    </comment>
    <comment ref="H55" authorId="0" shapeId="0" xr:uid="{AD5BA812-7A10-4062-AC9B-4BFBA16CF658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Automático: se toma de la tabla SALDO BANCO FIN DE MES (J7:K11) según el mes seleccionado.</t>
        </r>
      </text>
    </comment>
    <comment ref="K55" authorId="0" shapeId="0" xr:uid="{80778755-553F-4AFC-B719-35CD65D66936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Saldo app banco al 16/07/2026 (parcial, mes en curso). Actualizar con cada nuevo corte.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San Juan</author>
  </authors>
  <commentList>
    <comment ref="C8" authorId="0" shapeId="0" xr:uid="{F234FB77-125C-489D-A828-481A73A64246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Costo base $5.638.974 + IVA 19%</t>
        </r>
      </text>
    </comment>
    <comment ref="D8" authorId="0" shapeId="0" xr:uid="{6F6D17DB-B9F0-4372-8137-2A8D1BFB9DA4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Costo base $6.975.949 + IVA 19%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Andres San Juan</author>
  </authors>
  <commentList>
    <comment ref="G3" authorId="0" shapeId="0" xr:uid="{75D436B8-05D5-48E3-8733-86D6172A60C4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E670155732, 25/02/2026 (PDF adjunto). Precio unitario sin IVA: Raider $5.638.974, Sport 100 $4.157.461</t>
        </r>
      </text>
    </comment>
    <comment ref="I3" authorId="0" shapeId="0" xr:uid="{8C693798-E4E5-4A6D-8AAE-644A666D2D6A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IVA 19% sobre (subtotal + seguro). Fuente: Factura E670155732</t>
        </r>
      </text>
    </comment>
    <comment ref="G4" authorId="0" shapeId="0" xr:uid="{519AE66E-C56F-4B38-A4AC-477255F15C94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E670156766, 05/03/2026 (PDF adjunto)</t>
        </r>
      </text>
    </comment>
    <comment ref="G5" authorId="0" shapeId="0" xr:uid="{55D23A73-1640-4530-A4BE-EC2DB8884B28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Repuestos E650636709, 16/04/2026 (PDF adjunto)</t>
        </r>
      </text>
    </comment>
    <comment ref="G6" authorId="0" shapeId="0" xr:uid="{F9837F98-AA21-47DB-B0C7-70C86502E51B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E670161540, 25/04/2026 (PDF adjunto)</t>
        </r>
      </text>
    </comment>
    <comment ref="G7" authorId="0" shapeId="0" xr:uid="{E9A780FC-265C-4D0B-90D8-23837F73DAC2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E670162095, 29/04/2026 (PDF adjunto)</t>
        </r>
      </text>
    </comment>
    <comment ref="G8" authorId="0" shapeId="0" xr:uid="{2397D7FD-F72A-49B9-A5F0-374BAF52CB4A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E670165520, 29/05/2026 (PDF adjunto)</t>
        </r>
      </text>
    </comment>
    <comment ref="G9" authorId="0" shapeId="0" xr:uid="{6BBEA649-CAC3-4C86-BBF1-1959440C77E3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E670166361, 09/06/2026 (PDF adjunto)</t>
        </r>
      </text>
    </comment>
    <comment ref="G10" authorId="0" shapeId="0" xr:uid="{80ED6999-A47F-4E44-84E1-D10BED957893}">
      <text>
        <r>
          <rPr>
            <b/>
            <sz val="9"/>
            <color indexed="81"/>
            <rFont val="Tahoma"/>
            <family val="2"/>
          </rPr>
          <t>Andres San Juan:</t>
        </r>
        <r>
          <rPr>
            <sz val="9"/>
            <color indexed="81"/>
            <rFont val="Tahoma"/>
            <family val="2"/>
          </rPr>
          <t xml:space="preserve">
Fuente: Factura Auteco E670167401, 20/06/2026 (PDF adjunto). Precio unitario sin IVA Apache: $6.975.949</t>
        </r>
      </text>
    </comment>
  </commentList>
</comments>
</file>

<file path=xl/sharedStrings.xml><?xml version="1.0" encoding="utf-8"?>
<sst xmlns="http://schemas.openxmlformats.org/spreadsheetml/2006/main" count="3452" uniqueCount="1267">
  <si>
    <t>Colfenix</t>
  </si>
  <si>
    <t>Irreverente</t>
  </si>
  <si>
    <t>Catalina</t>
  </si>
  <si>
    <t>Fundamenta</t>
  </si>
  <si>
    <t>Hacienda Bogota</t>
  </si>
  <si>
    <t>Clara</t>
  </si>
  <si>
    <t>Luis Moreno</t>
  </si>
  <si>
    <t>Miguel Guaque</t>
  </si>
  <si>
    <t>Valor total</t>
  </si>
  <si>
    <t>Cuota</t>
  </si>
  <si>
    <t>Ivan Echeverri</t>
  </si>
  <si>
    <t>Fabian Carlos</t>
  </si>
  <si>
    <t>Andrés Sanjuan</t>
  </si>
  <si>
    <t>Liz</t>
  </si>
  <si>
    <t>Alexa</t>
  </si>
  <si>
    <t>Paula Naranjo</t>
  </si>
  <si>
    <t>David Martinez</t>
  </si>
  <si>
    <t>Andres Cano</t>
  </si>
  <si>
    <t>Arriendos</t>
  </si>
  <si>
    <t>Servicios</t>
  </si>
  <si>
    <t>Hunter</t>
  </si>
  <si>
    <t>Raul</t>
  </si>
  <si>
    <t>Maya</t>
  </si>
  <si>
    <t>Cuotas semanales</t>
  </si>
  <si>
    <t>Cuotas iniciales</t>
  </si>
  <si>
    <t>Otros</t>
  </si>
  <si>
    <t>Contadores</t>
  </si>
  <si>
    <t>Caja final</t>
  </si>
  <si>
    <t>Sueldos</t>
  </si>
  <si>
    <t>Empresas</t>
  </si>
  <si>
    <t>Sofia</t>
  </si>
  <si>
    <t>Luis Becerra Credito</t>
  </si>
  <si>
    <t>Luis Becerra Finca</t>
  </si>
  <si>
    <t>Fecha</t>
  </si>
  <si>
    <t>Descripción</t>
  </si>
  <si>
    <t>Débito</t>
  </si>
  <si>
    <t>Compra en Peaje fusca</t>
  </si>
  <si>
    <t>Compra en Mcdonalds variante chi</t>
  </si>
  <si>
    <t>GMF (4x1.000)</t>
  </si>
  <si>
    <t>Comisión envío</t>
  </si>
  <si>
    <t>Impuesto IVA</t>
  </si>
  <si>
    <t>Envío a Andres sanjuan</t>
  </si>
  <si>
    <t>Envío a Ivan echeverri gomez</t>
  </si>
  <si>
    <t>Envío a cuenta bancaria - Fabian Enrique (Pago Fabian)</t>
  </si>
  <si>
    <t>Envío a cuenta bancaria - Luis Miguel (Pagos intereses prestamo Luis Miguel Becerra)</t>
  </si>
  <si>
    <t>Envío a Luis miguel moreno gomez (Pago deuda Luis Moreno)</t>
  </si>
  <si>
    <t>Compra en Mongodbcloud roddos</t>
  </si>
  <si>
    <t>Compra en Uber rides*dl</t>
  </si>
  <si>
    <t>Compra en Payu*uber</t>
  </si>
  <si>
    <t>Compra en Anthropic</t>
  </si>
  <si>
    <t>Compra en Of prpal dunkin donuts</t>
  </si>
  <si>
    <t>Compra en Uber rides</t>
  </si>
  <si>
    <t>Compra en Rbm* almacenes exito</t>
  </si>
  <si>
    <t>Compra en Render.com</t>
  </si>
  <si>
    <t>Envío a Ivan echeverri gomez (ANTICIPO SOCIO IVAN)</t>
  </si>
  <si>
    <t>Envío a cuenta bancaria - SOLUCIONES TECNOLOGICAS AUTOSEGURO S.A.S (PAGO INSTALACIONES Y REVISIONES GPS)</t>
  </si>
  <si>
    <t>Compra en Pws*eds sta sofia</t>
  </si>
  <si>
    <t>Compra en Dlo*spotify</t>
  </si>
  <si>
    <t>Envío a David martinez aldea (PAGO INTERESES SOCIOS)</t>
  </si>
  <si>
    <t>Envío a cuenta bancaria - Andres Javier (INTERESES SOCIOS)</t>
  </si>
  <si>
    <t>Envío a Mary alexandra suarez villamarin (NOMINA JUNIO Y PRIMA PRIMER SEMESTRE)</t>
  </si>
  <si>
    <t>Envío a Lizbeth rincon rojas (NOMINA JUNIO Y PRIMA PRIMER SEMESTRE)</t>
  </si>
  <si>
    <t>Compra en Notaria sexta eric tre</t>
  </si>
  <si>
    <t>Compra en Rappi colombia*dl</t>
  </si>
  <si>
    <t>Compra en Redh antares</t>
  </si>
  <si>
    <t>Envío a Lizbeth rincon rojas (bonificacion lavadora)</t>
  </si>
  <si>
    <t>Envío a Ivan echeverri gomez (Anticipo nómina socio)</t>
  </si>
  <si>
    <t>Envío a Ivan echeverri gomez (Anticipo nomina)</t>
  </si>
  <si>
    <t>Envío a Andres sanjuan (Anticipo nomina socio)</t>
  </si>
  <si>
    <t>Envío a Ivan echeverri gomez (Gasolina motos)</t>
  </si>
  <si>
    <t>Envío a cuenta bancaria - Camilo (pago socio andres)</t>
  </si>
  <si>
    <t>Envío a Ivan echeverri gomez (ANTICIPO NOMINA SOCIO)</t>
  </si>
  <si>
    <t>Envío a Andres sanjuan (ANTICIPO NOMINA SOCIO)</t>
  </si>
  <si>
    <t>Categoría</t>
  </si>
  <si>
    <t>Valor</t>
  </si>
  <si>
    <t>Mes</t>
  </si>
  <si>
    <t>Por clasificar</t>
  </si>
  <si>
    <t>Transporte/peajes/combustible/parqueo</t>
  </si>
  <si>
    <t>Gastos bancarios</t>
  </si>
  <si>
    <t>Sueldos directivos</t>
  </si>
  <si>
    <t>Tecnología y software</t>
  </si>
  <si>
    <t>Mercado y aseo</t>
  </si>
  <si>
    <t>Sueldos empleados</t>
  </si>
  <si>
    <t>CONTROL DE EGRESOS VS PRESUPUESTO</t>
  </si>
  <si>
    <t>Presupuesto</t>
  </si>
  <si>
    <t>Ejecutado</t>
  </si>
  <si>
    <t>Disponible</t>
  </si>
  <si>
    <t>% Ejecutado</t>
  </si>
  <si>
    <t>Servicios públicos y telecom</t>
  </si>
  <si>
    <t>Garantía cupo</t>
  </si>
  <si>
    <t>Deudas impuestos</t>
  </si>
  <si>
    <t>Deudas proveedores anteriores</t>
  </si>
  <si>
    <t>Planillas nuevas</t>
  </si>
  <si>
    <t>Planillas anteriores</t>
  </si>
  <si>
    <t>Renting</t>
  </si>
  <si>
    <t>Otros gastos</t>
  </si>
  <si>
    <t>TOTAL</t>
  </si>
  <si>
    <t>Bonificaciones</t>
  </si>
  <si>
    <t>Deudas tarjetas de crédito</t>
  </si>
  <si>
    <t>Tarjeta de Credito Clara</t>
  </si>
  <si>
    <t>Prestamo Maya</t>
  </si>
  <si>
    <t>Prestamo Paula Naranjo</t>
  </si>
  <si>
    <t>Pico y placa</t>
  </si>
  <si>
    <t>ID banco</t>
  </si>
  <si>
    <t>14784610</t>
  </si>
  <si>
    <t>14795613</t>
  </si>
  <si>
    <t>14795969</t>
  </si>
  <si>
    <t>14801287</t>
  </si>
  <si>
    <t>14803014</t>
  </si>
  <si>
    <t>14803075</t>
  </si>
  <si>
    <t>14803077</t>
  </si>
  <si>
    <t>14803076</t>
  </si>
  <si>
    <t>14807532</t>
  </si>
  <si>
    <t>14807531</t>
  </si>
  <si>
    <t>14807530</t>
  </si>
  <si>
    <t>14807594</t>
  </si>
  <si>
    <t>14807593</t>
  </si>
  <si>
    <t>14807592</t>
  </si>
  <si>
    <t>14807799</t>
  </si>
  <si>
    <t>14807798</t>
  </si>
  <si>
    <t>14808390</t>
  </si>
  <si>
    <t>14808391</t>
  </si>
  <si>
    <t>14808447</t>
  </si>
  <si>
    <t>14808446</t>
  </si>
  <si>
    <t>9250953</t>
  </si>
  <si>
    <t>9252071</t>
  </si>
  <si>
    <t>13443484</t>
  </si>
  <si>
    <t>13446604</t>
  </si>
  <si>
    <t>13446657</t>
  </si>
  <si>
    <t>14816618</t>
  </si>
  <si>
    <t>14816617</t>
  </si>
  <si>
    <t>14819200</t>
  </si>
  <si>
    <t>14819201</t>
  </si>
  <si>
    <t>14822840</t>
  </si>
  <si>
    <t>14829341</t>
  </si>
  <si>
    <t>14829340</t>
  </si>
  <si>
    <t>14831294</t>
  </si>
  <si>
    <t>14831293</t>
  </si>
  <si>
    <t>14833394</t>
  </si>
  <si>
    <t>14833882</t>
  </si>
  <si>
    <t>14833885</t>
  </si>
  <si>
    <t>14839423</t>
  </si>
  <si>
    <t>14839424</t>
  </si>
  <si>
    <t>14847039</t>
  </si>
  <si>
    <t>14847038</t>
  </si>
  <si>
    <t>14854080</t>
  </si>
  <si>
    <t>14854079</t>
  </si>
  <si>
    <t>14854541</t>
  </si>
  <si>
    <t>14854540</t>
  </si>
  <si>
    <t>14854693</t>
  </si>
  <si>
    <t>14854694</t>
  </si>
  <si>
    <t>14854868</t>
  </si>
  <si>
    <t>14854867</t>
  </si>
  <si>
    <t>14855129</t>
  </si>
  <si>
    <t>14855128</t>
  </si>
  <si>
    <t>14857638</t>
  </si>
  <si>
    <t>14857639</t>
  </si>
  <si>
    <t>14857711</t>
  </si>
  <si>
    <t>14857710</t>
  </si>
  <si>
    <t>14863218</t>
  </si>
  <si>
    <t>14863217</t>
  </si>
  <si>
    <t>14866222</t>
  </si>
  <si>
    <t>14866223</t>
  </si>
  <si>
    <t>14868816</t>
  </si>
  <si>
    <t>14868817</t>
  </si>
  <si>
    <t>14870169</t>
  </si>
  <si>
    <t>14870168</t>
  </si>
  <si>
    <t>14871182</t>
  </si>
  <si>
    <t>14871183</t>
  </si>
  <si>
    <t>14871509</t>
  </si>
  <si>
    <t>14871508</t>
  </si>
  <si>
    <t>14906685</t>
  </si>
  <si>
    <t>14906684</t>
  </si>
  <si>
    <t>14910720</t>
  </si>
  <si>
    <t>14910719</t>
  </si>
  <si>
    <t>14920029</t>
  </si>
  <si>
    <t>14920028</t>
  </si>
  <si>
    <t>14920255</t>
  </si>
  <si>
    <t>14920256</t>
  </si>
  <si>
    <t>14923604</t>
  </si>
  <si>
    <t>14923605</t>
  </si>
  <si>
    <t>14927171</t>
  </si>
  <si>
    <t>14927172</t>
  </si>
  <si>
    <t>14929422</t>
  </si>
  <si>
    <t>14929420</t>
  </si>
  <si>
    <t>14932325</t>
  </si>
  <si>
    <t>14932544</t>
  </si>
  <si>
    <t>14932543</t>
  </si>
  <si>
    <t>14932542</t>
  </si>
  <si>
    <t>9332846</t>
  </si>
  <si>
    <t>13513824</t>
  </si>
  <si>
    <t>14957548</t>
  </si>
  <si>
    <t>14957549</t>
  </si>
  <si>
    <t>14963843</t>
  </si>
  <si>
    <t>14963844</t>
  </si>
  <si>
    <t>14969112</t>
  </si>
  <si>
    <t>14969113</t>
  </si>
  <si>
    <t>14973936</t>
  </si>
  <si>
    <t>14973935</t>
  </si>
  <si>
    <t>14980088</t>
  </si>
  <si>
    <t>14980089</t>
  </si>
  <si>
    <t>14987199</t>
  </si>
  <si>
    <t>14987200</t>
  </si>
  <si>
    <t>14989688</t>
  </si>
  <si>
    <t>14989689</t>
  </si>
  <si>
    <t>15009147</t>
  </si>
  <si>
    <t>15009149</t>
  </si>
  <si>
    <t>15039370</t>
  </si>
  <si>
    <t>15039369</t>
  </si>
  <si>
    <t>15039368</t>
  </si>
  <si>
    <t>15041474</t>
  </si>
  <si>
    <t>15041473</t>
  </si>
  <si>
    <t>15041576</t>
  </si>
  <si>
    <t>15041578</t>
  </si>
  <si>
    <t>15041577</t>
  </si>
  <si>
    <t>15041798</t>
  </si>
  <si>
    <t>15041797</t>
  </si>
  <si>
    <t>15041799</t>
  </si>
  <si>
    <t>15041933</t>
  </si>
  <si>
    <t>15041932</t>
  </si>
  <si>
    <t>15041934</t>
  </si>
  <si>
    <t>15042332</t>
  </si>
  <si>
    <t>15042331</t>
  </si>
  <si>
    <t>15043506</t>
  </si>
  <si>
    <t>15043505</t>
  </si>
  <si>
    <t>15048469</t>
  </si>
  <si>
    <t>15048470</t>
  </si>
  <si>
    <t>15049372</t>
  </si>
  <si>
    <t>15049373</t>
  </si>
  <si>
    <t>13567799</t>
  </si>
  <si>
    <t>13569698</t>
  </si>
  <si>
    <t>13569882</t>
  </si>
  <si>
    <t>13569988</t>
  </si>
  <si>
    <t>15055848</t>
  </si>
  <si>
    <t>15055846</t>
  </si>
  <si>
    <t>15057804</t>
  </si>
  <si>
    <t>15057805</t>
  </si>
  <si>
    <t>15068134</t>
  </si>
  <si>
    <t>15068133</t>
  </si>
  <si>
    <t>15070444</t>
  </si>
  <si>
    <t>15070443</t>
  </si>
  <si>
    <t>15071136</t>
  </si>
  <si>
    <t>15071135</t>
  </si>
  <si>
    <t>15077632</t>
  </si>
  <si>
    <t>15077631</t>
  </si>
  <si>
    <t>15078339</t>
  </si>
  <si>
    <t>15078340</t>
  </si>
  <si>
    <t>15079967</t>
  </si>
  <si>
    <t>15079966</t>
  </si>
  <si>
    <t>15081553</t>
  </si>
  <si>
    <t>15081552</t>
  </si>
  <si>
    <t>15098702</t>
  </si>
  <si>
    <t>15098703</t>
  </si>
  <si>
    <t>15103853</t>
  </si>
  <si>
    <t>15103854</t>
  </si>
  <si>
    <t>15120135</t>
  </si>
  <si>
    <t>15120134</t>
  </si>
  <si>
    <t>15120133</t>
  </si>
  <si>
    <t>13626642</t>
  </si>
  <si>
    <t>15131738</t>
  </si>
  <si>
    <t>15131737</t>
  </si>
  <si>
    <t>15133178</t>
  </si>
  <si>
    <t>15133428</t>
  </si>
  <si>
    <t>15136346</t>
  </si>
  <si>
    <t>15136347</t>
  </si>
  <si>
    <t>15138706</t>
  </si>
  <si>
    <t>15138705</t>
  </si>
  <si>
    <t>15139749</t>
  </si>
  <si>
    <t>15139748</t>
  </si>
  <si>
    <t>15142565</t>
  </si>
  <si>
    <t>15142564</t>
  </si>
  <si>
    <t>15146097</t>
  </si>
  <si>
    <t>9474574</t>
  </si>
  <si>
    <t>9474850</t>
  </si>
  <si>
    <t>15155810</t>
  </si>
  <si>
    <t>15155809</t>
  </si>
  <si>
    <t>9484071</t>
  </si>
  <si>
    <t>15170028</t>
  </si>
  <si>
    <t>15177432</t>
  </si>
  <si>
    <t>15177433</t>
  </si>
  <si>
    <t>9502456</t>
  </si>
  <si>
    <t>15190250</t>
  </si>
  <si>
    <t>15190249</t>
  </si>
  <si>
    <t>15221594</t>
  </si>
  <si>
    <t>15221596</t>
  </si>
  <si>
    <t>15221595</t>
  </si>
  <si>
    <t>15221716</t>
  </si>
  <si>
    <t>15222122</t>
  </si>
  <si>
    <t>13692323</t>
  </si>
  <si>
    <t>9551020</t>
  </si>
  <si>
    <t>9551444</t>
  </si>
  <si>
    <t>Gastos notariales</t>
  </si>
  <si>
    <t>Arriendo local junio por problemas de plataforma</t>
  </si>
  <si>
    <t>Abono</t>
  </si>
  <si>
    <t>Reversa compra con tarjeta</t>
  </si>
  <si>
    <t>Reembolso</t>
  </si>
  <si>
    <t>Recibido de Wava technologie</t>
  </si>
  <si>
    <t>Intereses abonados</t>
  </si>
  <si>
    <t>14782428</t>
  </si>
  <si>
    <t>14921459</t>
  </si>
  <si>
    <t>14921460</t>
  </si>
  <si>
    <t>14969911</t>
  </si>
  <si>
    <t>14978253</t>
  </si>
  <si>
    <t>14987594</t>
  </si>
  <si>
    <t>14987595</t>
  </si>
  <si>
    <t>14993916</t>
  </si>
  <si>
    <t>15117668</t>
  </si>
  <si>
    <t>15176725</t>
  </si>
  <si>
    <t>36646536</t>
  </si>
  <si>
    <t>36646539</t>
  </si>
  <si>
    <t>Pago PSE en Bancolombia (pico y placa)</t>
  </si>
  <si>
    <t>Pago PSE en SOI ACH (seguridad social)</t>
  </si>
  <si>
    <t>Compra en Mercado Pago*Mercadoli</t>
  </si>
  <si>
    <t>Envío a York Marvin Quintero Jaimes</t>
  </si>
  <si>
    <t>Cargo por servicio</t>
  </si>
  <si>
    <t>14978586</t>
  </si>
  <si>
    <t>15240610</t>
  </si>
  <si>
    <t>36637320</t>
  </si>
  <si>
    <t>15241206</t>
  </si>
  <si>
    <t>14987326</t>
  </si>
  <si>
    <t>15249820</t>
  </si>
  <si>
    <t>36666302</t>
  </si>
  <si>
    <t>15252388</t>
  </si>
  <si>
    <t>36666694</t>
  </si>
  <si>
    <t>15252572</t>
  </si>
  <si>
    <t>14990532</t>
  </si>
  <si>
    <t>15252937</t>
  </si>
  <si>
    <t>14995746</t>
  </si>
  <si>
    <t>15258111</t>
  </si>
  <si>
    <t>14996607</t>
  </si>
  <si>
    <t>15258972</t>
  </si>
  <si>
    <t>13722135</t>
  </si>
  <si>
    <t>15262444</t>
  </si>
  <si>
    <t>15262445</t>
  </si>
  <si>
    <t>15262446</t>
  </si>
  <si>
    <t>15000657</t>
  </si>
  <si>
    <t>15263315</t>
  </si>
  <si>
    <t>15006264</t>
  </si>
  <si>
    <t>15269660</t>
  </si>
  <si>
    <t>CAJA DEL MES</t>
  </si>
  <si>
    <t>Mobiliario/planta/equipo</t>
  </si>
  <si>
    <t>Envío a cuenta bancaria - Ana Maria (Cierre prestamo Ana)</t>
  </si>
  <si>
    <t>Envío a Ivan echeverri gomez (Nomina Ivan)</t>
  </si>
  <si>
    <t>Envío a Andres sanjuan (Nomina Andres)</t>
  </si>
  <si>
    <t>Envío a cuenta bancaria - Fabian Enrique (Nomina Fabian)</t>
  </si>
  <si>
    <t>Envío a Transitemos sas (RECARGA TRANSITO TRASPASOS Y MATRICULAS MOSQUERA)</t>
  </si>
  <si>
    <t>Envío a cuenta bancaria - Fabian Enrique (Deuda Fondo Fabian)</t>
  </si>
  <si>
    <t>15295968</t>
  </si>
  <si>
    <t>15295969</t>
  </si>
  <si>
    <t>Costo inventario</t>
  </si>
  <si>
    <t>INGRESO TOTAL</t>
  </si>
  <si>
    <t>CI</t>
  </si>
  <si>
    <t>TOTAL CS</t>
  </si>
  <si>
    <t>Cuota inicial</t>
  </si>
  <si>
    <t>Semana 4</t>
  </si>
  <si>
    <t>Cuota semanal</t>
  </si>
  <si>
    <t>Semana 3</t>
  </si>
  <si>
    <t>Costo moto</t>
  </si>
  <si>
    <t>Semana 2</t>
  </si>
  <si>
    <t>Precio venta</t>
  </si>
  <si>
    <t>Semana 1</t>
  </si>
  <si>
    <t>Apache</t>
  </si>
  <si>
    <t>Raider</t>
  </si>
  <si>
    <t>Sport</t>
  </si>
  <si>
    <t>Plazo de pago</t>
  </si>
  <si>
    <t>Motos mes</t>
  </si>
  <si>
    <t>% recaudo ingreso</t>
  </si>
  <si>
    <t>Caja inicio de mes</t>
  </si>
  <si>
    <t>Gastos base IVA descontable</t>
  </si>
  <si>
    <t>Nov-26 = facturas 09/06 + 20/06</t>
  </si>
  <si>
    <t>Oct-26 = factura 29/05</t>
  </si>
  <si>
    <t>Sep-26 = facturas 25/04 + 29/04</t>
  </si>
  <si>
    <t>Diferencia</t>
  </si>
  <si>
    <t>Valor en Ingresos</t>
  </si>
  <si>
    <t>Suma facturas</t>
  </si>
  <si>
    <t>Cruce con 'Costo inventario' (Ingresos, fila 13)</t>
  </si>
  <si>
    <t>20 Apache</t>
  </si>
  <si>
    <t>E670167401</t>
  </si>
  <si>
    <t>13 Raider</t>
  </si>
  <si>
    <t>E670166361</t>
  </si>
  <si>
    <t>22 Raider</t>
  </si>
  <si>
    <t>E670165520</t>
  </si>
  <si>
    <t>10 Raider</t>
  </si>
  <si>
    <t>E670162095</t>
  </si>
  <si>
    <t>10 Raider + 2 Sport 100</t>
  </si>
  <si>
    <t>E670161540</t>
  </si>
  <si>
    <t>Repuestos</t>
  </si>
  <si>
    <t>E650636709</t>
  </si>
  <si>
    <t>E670156766</t>
  </si>
  <si>
    <t>10 Raider + 13 Sport 100</t>
  </si>
  <si>
    <t>E670155732</t>
  </si>
  <si>
    <t>Mes de pago</t>
  </si>
  <si>
    <t>Fecha pago (+150d)</t>
  </si>
  <si>
    <t>Total factura ($)</t>
  </si>
  <si>
    <t>IVA 19% ($)</t>
  </si>
  <si>
    <t>Seguro ($)</t>
  </si>
  <si>
    <t>Subtotal ($)</t>
  </si>
  <si>
    <t>Und. Apache</t>
  </si>
  <si>
    <t>Und. Sport</t>
  </si>
  <si>
    <t>Und. Raider</t>
  </si>
  <si>
    <t>Detalle</t>
  </si>
  <si>
    <t>Factura No.</t>
  </si>
  <si>
    <t>Facturas Auteco — RODDOS SAS</t>
  </si>
  <si>
    <t>OPERACIÓN</t>
  </si>
  <si>
    <t>Subtotal Operación</t>
  </si>
  <si>
    <t>NÓMINA</t>
  </si>
  <si>
    <t>Subtotal Nómina</t>
  </si>
  <si>
    <t>DEUDAS Y OBLIGACIONES</t>
  </si>
  <si>
    <t>Subtotal Deudas</t>
  </si>
  <si>
    <t>Subtotal Otros</t>
  </si>
  <si>
    <t>%</t>
  </si>
  <si>
    <t>OTROS Y VARIOS</t>
  </si>
  <si>
    <t>Mes de control</t>
  </si>
  <si>
    <t>Presupuesto del mes</t>
  </si>
  <si>
    <t>Saldo inicial del mes</t>
  </si>
  <si>
    <t>(+) Ingresos del mes</t>
  </si>
  <si>
    <t>(-) Egresos del mes</t>
  </si>
  <si>
    <t>Diferencia vs banco</t>
  </si>
  <si>
    <t>Caja disponible</t>
  </si>
  <si>
    <t>Caja disponible (auto)</t>
  </si>
  <si>
    <t>Compra en Mongodbcloud pm 0th...</t>
  </si>
  <si>
    <t>Compra en Vercel inc.</t>
  </si>
  <si>
    <t>Compra en Jumbo chia bazar</t>
  </si>
  <si>
    <t>Compra en Sopa y parrilla</t>
  </si>
  <si>
    <t>Compra en Bold*accenorte sas</t>
  </si>
  <si>
    <t>Compra en Bold*juice place</t>
  </si>
  <si>
    <t>Compra en Spotify</t>
  </si>
  <si>
    <t>Costo tipo de cambio 0.0</t>
  </si>
  <si>
    <t>Compra en Comercial papelera sta</t>
  </si>
  <si>
    <t>Compra en Carulla santa barbara</t>
  </si>
  <si>
    <t>Compra en Texaco eds las margar</t>
  </si>
  <si>
    <t>Compra en Reburger</t>
  </si>
  <si>
    <t>Compra en Www.artlist.io</t>
  </si>
  <si>
    <t>Compra en Facebk *3u2v</t>
  </si>
  <si>
    <t>Envío a cuenta bancaria</t>
  </si>
  <si>
    <t>Envío a David martinez aldea</t>
  </si>
  <si>
    <t>Envío a Lizbeth rincon rojas</t>
  </si>
  <si>
    <t>Envío a Andres sanjuan 7510541 0 9</t>
  </si>
  <si>
    <t>Envío a Andres sanjuan 7510980</t>
  </si>
  <si>
    <t>Compra en Facebk *8seeth9q42</t>
  </si>
  <si>
    <t>Compra en Foodie centro comercia</t>
  </si>
  <si>
    <t>Compra en Legrand helados fontan</t>
  </si>
  <si>
    <t>Compra en Payu*soluciones alegra</t>
  </si>
  <si>
    <t>Envío a Andres sanjuan 7570158 2 5</t>
  </si>
  <si>
    <t>Compra en Dunkin donuts</t>
  </si>
  <si>
    <t>Compra en Tienda d1 cajica badal</t>
  </si>
  <si>
    <t>Compra en Notaria 5</t>
  </si>
  <si>
    <t>Compra en Parqueaderos terminal</t>
  </si>
  <si>
    <t>Compra en Smart fit milla de oro</t>
  </si>
  <si>
    <t>Compra en Sto 688 cajica fontana</t>
  </si>
  <si>
    <t>Compra en Anthropic claude team</t>
  </si>
  <si>
    <t>Envío a Andres sanjuan 7652153 6 7.65</t>
  </si>
  <si>
    <t>Envío a Andres sanjuan 7655044 0 4.01</t>
  </si>
  <si>
    <t>Compra en Payments way</t>
  </si>
  <si>
    <t>Compra en Redh s sofia 127</t>
  </si>
  <si>
    <t>Compra en Sporty city sas7888</t>
  </si>
  <si>
    <t>Compra en Github, inc.</t>
  </si>
  <si>
    <t>Compra en Eds motomart fr</t>
  </si>
  <si>
    <t>Envío a Liliana amado ovalle</t>
  </si>
  <si>
    <t>Compra en Lugano 82</t>
  </si>
  <si>
    <t>Compra en City parking</t>
  </si>
  <si>
    <t>Compra en Peaje andes</t>
  </si>
  <si>
    <t>Compra en San roque propiedad ho</t>
  </si>
  <si>
    <t>Compra en Microsoft#g153716677</t>
  </si>
  <si>
    <t>Compra en H de hamburguesa cajic</t>
  </si>
  <si>
    <t>Compra en Comercial papelera mer</t>
  </si>
  <si>
    <t>Compra en Creem.io*mirofish-my</t>
  </si>
  <si>
    <t>Compra en Openai</t>
  </si>
  <si>
    <t>Compra en Hoteles de la recoleta</t>
  </si>
  <si>
    <t>Compra en Autolavado detailing</t>
  </si>
  <si>
    <t>Compra en Mercately.com</t>
  </si>
  <si>
    <t>Envío a Andres sanjuan 7880618 0 8.23</t>
  </si>
  <si>
    <t>Envío a Andres sanjuan 7905044 .00 3.43</t>
  </si>
  <si>
    <t>Envío a Sofia csd sas</t>
  </si>
  <si>
    <t>GMF 4x1.000 (total abril 2026)</t>
  </si>
  <si>
    <t>Impuesto IVA (total abril 2026)</t>
  </si>
  <si>
    <t>Comisión envíos (total abril 2026)</t>
  </si>
  <si>
    <t>Reversa compra con tarjeta 0 6909</t>
  </si>
  <si>
    <t>Reversa compra con tarjeta 0</t>
  </si>
  <si>
    <t>Recibido de Fabian enrique c</t>
  </si>
  <si>
    <t>Compra en Google *workspace_rodd</t>
  </si>
  <si>
    <t>Compra en Google *workspace_amsj</t>
  </si>
  <si>
    <t>Compra en Semilla bread</t>
  </si>
  <si>
    <t>Compra en Panamericana lib y pap</t>
  </si>
  <si>
    <t>Compra en Tienda d1 cc centro ch</t>
  </si>
  <si>
    <t>Compra en Rappi* verif</t>
  </si>
  <si>
    <t>Compra en Delaware corp &amp; tax we</t>
  </si>
  <si>
    <t>Compra en Facebk *23rq</t>
  </si>
  <si>
    <t>Compra en Rappi</t>
  </si>
  <si>
    <t>Compra en Mehera sas</t>
  </si>
  <si>
    <t>Compra en Nectaria</t>
  </si>
  <si>
    <t>Compra en Farmatodo chia</t>
  </si>
  <si>
    <t>Compra en Tienda d1 santa barbar</t>
  </si>
  <si>
    <t>Compra en Bold sa*happy hi</t>
  </si>
  <si>
    <t>Compra en Facebk *g7mtbm9q42</t>
  </si>
  <si>
    <t>Compra en Moonshot ai</t>
  </si>
  <si>
    <t>Compra en Burger king fontanar b</t>
  </si>
  <si>
    <t>Compra en Dollarcity fontanar</t>
  </si>
  <si>
    <t>Compra en Fontanar cco/parqueade</t>
  </si>
  <si>
    <t>Compra en Dlo*godaddycom,l</t>
  </si>
  <si>
    <t>Compra en Higgsfield inc.</t>
  </si>
  <si>
    <t>Compra en Veccina av19</t>
  </si>
  <si>
    <t>Compra en Libreria nal fontanar</t>
  </si>
  <si>
    <t>Compra en Eds el rodeo</t>
  </si>
  <si>
    <t>Compra en Jeronimo martins colom</t>
  </si>
  <si>
    <t>Compra en Microsoft#g159863939</t>
  </si>
  <si>
    <t>Compra en Panaderia y pasteleria</t>
  </si>
  <si>
    <t>Envío a Cesar andres ospina acero</t>
  </si>
  <si>
    <t>Compra en Amazon prime</t>
  </si>
  <si>
    <t>Compra en Prime video dl</t>
  </si>
  <si>
    <t>Compra en Apple.com/bill</t>
  </si>
  <si>
    <t>Compra en Masa fontanar</t>
  </si>
  <si>
    <t>Compra en Decathlon fontanar</t>
  </si>
  <si>
    <t>Compra en Garden market sas</t>
  </si>
  <si>
    <t>GMF 4x1.000 (total mayo 2026)</t>
  </si>
  <si>
    <t>Impuesto IVA (total mayo 2026)</t>
  </si>
  <si>
    <t>Comisión envíos (total mayo 2026)</t>
  </si>
  <si>
    <t>12581935</t>
  </si>
  <si>
    <t>12582178</t>
  </si>
  <si>
    <t>12583183</t>
  </si>
  <si>
    <t>12604319</t>
  </si>
  <si>
    <t>12643290</t>
  </si>
  <si>
    <t>32098925</t>
  </si>
  <si>
    <t>32100197</t>
  </si>
  <si>
    <t>12670826</t>
  </si>
  <si>
    <t>32106054</t>
  </si>
  <si>
    <t>32114398</t>
  </si>
  <si>
    <t>32115687</t>
  </si>
  <si>
    <t>32124078</t>
  </si>
  <si>
    <t>12677477</t>
  </si>
  <si>
    <t>32126538</t>
  </si>
  <si>
    <t>32135659</t>
  </si>
  <si>
    <t>32136418</t>
  </si>
  <si>
    <t>32137151</t>
  </si>
  <si>
    <t>12710207</t>
  </si>
  <si>
    <t>12710347</t>
  </si>
  <si>
    <t/>
  </si>
  <si>
    <t>12729050</t>
  </si>
  <si>
    <t>12732570</t>
  </si>
  <si>
    <t>12736360</t>
  </si>
  <si>
    <t>12736365</t>
  </si>
  <si>
    <t>32281084</t>
  </si>
  <si>
    <t>12336844</t>
  </si>
  <si>
    <t>12336922</t>
  </si>
  <si>
    <t>12337030</t>
  </si>
  <si>
    <t>12337115</t>
  </si>
  <si>
    <t>32303144</t>
  </si>
  <si>
    <t>32305068</t>
  </si>
  <si>
    <t>32318603</t>
  </si>
  <si>
    <t>32319717</t>
  </si>
  <si>
    <t>12757164</t>
  </si>
  <si>
    <t>32335838</t>
  </si>
  <si>
    <t>12759701</t>
  </si>
  <si>
    <t>12764737</t>
  </si>
  <si>
    <t>32351088</t>
  </si>
  <si>
    <t>32351525</t>
  </si>
  <si>
    <t>32427229</t>
  </si>
  <si>
    <t>12775062</t>
  </si>
  <si>
    <t>12775064</t>
  </si>
  <si>
    <t>12778417</t>
  </si>
  <si>
    <t>32453679</t>
  </si>
  <si>
    <t>12788444</t>
  </si>
  <si>
    <t>12788448</t>
  </si>
  <si>
    <t>12788849</t>
  </si>
  <si>
    <t>12790315</t>
  </si>
  <si>
    <t>32533830</t>
  </si>
  <si>
    <t>32537065</t>
  </si>
  <si>
    <t>32542396</t>
  </si>
  <si>
    <t>12836193</t>
  </si>
  <si>
    <t>12839818</t>
  </si>
  <si>
    <t>12841873</t>
  </si>
  <si>
    <t>12841889</t>
  </si>
  <si>
    <t>12842220</t>
  </si>
  <si>
    <t>12842321</t>
  </si>
  <si>
    <t>12845651</t>
  </si>
  <si>
    <t>12846126</t>
  </si>
  <si>
    <t>12849534</t>
  </si>
  <si>
    <t>12850111</t>
  </si>
  <si>
    <t>12850124</t>
  </si>
  <si>
    <t>12852812</t>
  </si>
  <si>
    <t>12866304</t>
  </si>
  <si>
    <t>32623865</t>
  </si>
  <si>
    <t>12868967</t>
  </si>
  <si>
    <t>12871101</t>
  </si>
  <si>
    <t>12874823</t>
  </si>
  <si>
    <t>12875571</t>
  </si>
  <si>
    <t>32646412</t>
  </si>
  <si>
    <t>12425819</t>
  </si>
  <si>
    <t>32669227</t>
  </si>
  <si>
    <t>32680374</t>
  </si>
  <si>
    <t>12905914</t>
  </si>
  <si>
    <t>12918357</t>
  </si>
  <si>
    <t>12919095</t>
  </si>
  <si>
    <t>32736249</t>
  </si>
  <si>
    <t>12922337</t>
  </si>
  <si>
    <t>32738628</t>
  </si>
  <si>
    <t>12924244</t>
  </si>
  <si>
    <t>12925595</t>
  </si>
  <si>
    <t>32752064</t>
  </si>
  <si>
    <t>12932534</t>
  </si>
  <si>
    <t>32763764</t>
  </si>
  <si>
    <t>12945712</t>
  </si>
  <si>
    <t>12951076</t>
  </si>
  <si>
    <t>12951699</t>
  </si>
  <si>
    <t>12951757</t>
  </si>
  <si>
    <t>12954216</t>
  </si>
  <si>
    <t>12954859</t>
  </si>
  <si>
    <t>32806189</t>
  </si>
  <si>
    <t>12956536</t>
  </si>
  <si>
    <t>12957987</t>
  </si>
  <si>
    <t>12960022</t>
  </si>
  <si>
    <t>12960366</t>
  </si>
  <si>
    <t>12962046</t>
  </si>
  <si>
    <t>12962657</t>
  </si>
  <si>
    <t>12965282</t>
  </si>
  <si>
    <t>32837287</t>
  </si>
  <si>
    <t>12991898</t>
  </si>
  <si>
    <t>12994455</t>
  </si>
  <si>
    <t>32887945</t>
  </si>
  <si>
    <t>32888204</t>
  </si>
  <si>
    <t>32888476</t>
  </si>
  <si>
    <t>12995445</t>
  </si>
  <si>
    <t>12995891</t>
  </si>
  <si>
    <t>12996052</t>
  </si>
  <si>
    <t>12996381</t>
  </si>
  <si>
    <t>13000169</t>
  </si>
  <si>
    <t>13000253</t>
  </si>
  <si>
    <t>32916143</t>
  </si>
  <si>
    <t>13017207</t>
  </si>
  <si>
    <t>32923589</t>
  </si>
  <si>
    <t>13024720</t>
  </si>
  <si>
    <t>13026878</t>
  </si>
  <si>
    <t>32953753</t>
  </si>
  <si>
    <t>32954547</t>
  </si>
  <si>
    <t>13047433</t>
  </si>
  <si>
    <t>13084917</t>
  </si>
  <si>
    <t>13096548</t>
  </si>
  <si>
    <t>13105781</t>
  </si>
  <si>
    <t>13108105</t>
  </si>
  <si>
    <t>13112290</t>
  </si>
  <si>
    <t>13112755</t>
  </si>
  <si>
    <t>13114130</t>
  </si>
  <si>
    <t>13123361</t>
  </si>
  <si>
    <t>13124460</t>
  </si>
  <si>
    <t>13126189</t>
  </si>
  <si>
    <t>13130776</t>
  </si>
  <si>
    <t>13139362</t>
  </si>
  <si>
    <t>13139386</t>
  </si>
  <si>
    <t>33143405</t>
  </si>
  <si>
    <t>33144672</t>
  </si>
  <si>
    <t>12601051</t>
  </si>
  <si>
    <t>13146241</t>
  </si>
  <si>
    <t>13157192</t>
  </si>
  <si>
    <t>33180616</t>
  </si>
  <si>
    <t>33182021</t>
  </si>
  <si>
    <t>33182444</t>
  </si>
  <si>
    <t>33183126</t>
  </si>
  <si>
    <t>13166387</t>
  </si>
  <si>
    <t>13167458</t>
  </si>
  <si>
    <t>13169038</t>
  </si>
  <si>
    <t>13169873</t>
  </si>
  <si>
    <t>13172592</t>
  </si>
  <si>
    <t>13172794</t>
  </si>
  <si>
    <t>33211102</t>
  </si>
  <si>
    <t>13183022</t>
  </si>
  <si>
    <t>13188400</t>
  </si>
  <si>
    <t>13188503</t>
  </si>
  <si>
    <t>13190038</t>
  </si>
  <si>
    <t>13190775</t>
  </si>
  <si>
    <t>33234989</t>
  </si>
  <si>
    <t>13193084</t>
  </si>
  <si>
    <t>13195981</t>
  </si>
  <si>
    <t>13196052</t>
  </si>
  <si>
    <t>33246818</t>
  </si>
  <si>
    <t>13202180</t>
  </si>
  <si>
    <t>13204246</t>
  </si>
  <si>
    <t>13220077</t>
  </si>
  <si>
    <t>33278948</t>
  </si>
  <si>
    <t>13221850</t>
  </si>
  <si>
    <t>13224376</t>
  </si>
  <si>
    <t>13227198</t>
  </si>
  <si>
    <t>13227414</t>
  </si>
  <si>
    <t>13230937</t>
  </si>
  <si>
    <t>13233674</t>
  </si>
  <si>
    <t>13234643</t>
  </si>
  <si>
    <t>13235595</t>
  </si>
  <si>
    <t>13255206</t>
  </si>
  <si>
    <t>13257344</t>
  </si>
  <si>
    <t>13257886</t>
  </si>
  <si>
    <t>13264100</t>
  </si>
  <si>
    <t>13264690</t>
  </si>
  <si>
    <t>13265628</t>
  </si>
  <si>
    <t>13284146</t>
  </si>
  <si>
    <t>33364456</t>
  </si>
  <si>
    <t>33364724</t>
  </si>
  <si>
    <t>13288247</t>
  </si>
  <si>
    <t>33365926</t>
  </si>
  <si>
    <t>33369135</t>
  </si>
  <si>
    <t>13290425</t>
  </si>
  <si>
    <t>13294136</t>
  </si>
  <si>
    <t>13296037</t>
  </si>
  <si>
    <t>13307507</t>
  </si>
  <si>
    <t>13310793</t>
  </si>
  <si>
    <t>13314602</t>
  </si>
  <si>
    <t>33422111</t>
  </si>
  <si>
    <t>33424019</t>
  </si>
  <si>
    <t>13325828</t>
  </si>
  <si>
    <t>33453536</t>
  </si>
  <si>
    <t>13339414</t>
  </si>
  <si>
    <t>13341162</t>
  </si>
  <si>
    <t>13341938</t>
  </si>
  <si>
    <t>33471325</t>
  </si>
  <si>
    <t>13343258</t>
  </si>
  <si>
    <t>12713924</t>
  </si>
  <si>
    <t>33479939</t>
  </si>
  <si>
    <t>13351998</t>
  </si>
  <si>
    <t>13354193</t>
  </si>
  <si>
    <t>13357828</t>
  </si>
  <si>
    <t>13369140</t>
  </si>
  <si>
    <t>13373653</t>
  </si>
  <si>
    <t>33536694</t>
  </si>
  <si>
    <t>13376649</t>
  </si>
  <si>
    <t>33541869</t>
  </si>
  <si>
    <t>33543043</t>
  </si>
  <si>
    <t>13380418</t>
  </si>
  <si>
    <t>33546333</t>
  </si>
  <si>
    <t>33547787</t>
  </si>
  <si>
    <t>13381938</t>
  </si>
  <si>
    <t>33549822</t>
  </si>
  <si>
    <t>12742994</t>
  </si>
  <si>
    <t>13388213</t>
  </si>
  <si>
    <t>13403593</t>
  </si>
  <si>
    <t>33599809</t>
  </si>
  <si>
    <t>33600162</t>
  </si>
  <si>
    <t>33601148</t>
  </si>
  <si>
    <t>13407860</t>
  </si>
  <si>
    <t>12766109</t>
  </si>
  <si>
    <t>33622271</t>
  </si>
  <si>
    <t>13423400</t>
  </si>
  <si>
    <t>13423513</t>
  </si>
  <si>
    <t>33656252</t>
  </si>
  <si>
    <t>33656704</t>
  </si>
  <si>
    <t>13440446</t>
  </si>
  <si>
    <t>33664496</t>
  </si>
  <si>
    <t>13453066</t>
  </si>
  <si>
    <t>13453068</t>
  </si>
  <si>
    <t>13453363</t>
  </si>
  <si>
    <t>13453426</t>
  </si>
  <si>
    <t>13453461</t>
  </si>
  <si>
    <t>13453476</t>
  </si>
  <si>
    <t>13466722</t>
  </si>
  <si>
    <t>13472111</t>
  </si>
  <si>
    <t>13472856</t>
  </si>
  <si>
    <t>13473706</t>
  </si>
  <si>
    <t>13475342</t>
  </si>
  <si>
    <t>13482615</t>
  </si>
  <si>
    <t>Devolución compra con tarjeta</t>
  </si>
  <si>
    <t>32122705</t>
  </si>
  <si>
    <t>32274706</t>
  </si>
  <si>
    <t>12737588</t>
  </si>
  <si>
    <t>32347422</t>
  </si>
  <si>
    <t>32475178</t>
  </si>
  <si>
    <t>12837171</t>
  </si>
  <si>
    <t>32570928</t>
  </si>
  <si>
    <t>12842223</t>
  </si>
  <si>
    <t>12842886</t>
  </si>
  <si>
    <t>12846128</t>
  </si>
  <si>
    <t>12849095</t>
  </si>
  <si>
    <t>12851208</t>
  </si>
  <si>
    <t>12855569</t>
  </si>
  <si>
    <t>12902475</t>
  </si>
  <si>
    <t>32744920</t>
  </si>
  <si>
    <t>32755357</t>
  </si>
  <si>
    <t>12956537</t>
  </si>
  <si>
    <t>12960339</t>
  </si>
  <si>
    <t>32817829</t>
  </si>
  <si>
    <t>32817917</t>
  </si>
  <si>
    <t>12962047</t>
  </si>
  <si>
    <t>12995894</t>
  </si>
  <si>
    <t>13000254</t>
  </si>
  <si>
    <t>33061160</t>
  </si>
  <si>
    <t>33070105</t>
  </si>
  <si>
    <t>33108176</t>
  </si>
  <si>
    <t>33135270</t>
  </si>
  <si>
    <t>33135354</t>
  </si>
  <si>
    <t>13140152</t>
  </si>
  <si>
    <t>33178384</t>
  </si>
  <si>
    <t>33198499</t>
  </si>
  <si>
    <t>33215674</t>
  </si>
  <si>
    <t>13197322</t>
  </si>
  <si>
    <t>13235597</t>
  </si>
  <si>
    <t>13264691</t>
  </si>
  <si>
    <t>33353942</t>
  </si>
  <si>
    <t>33355172</t>
  </si>
  <si>
    <t>13325206</t>
  </si>
  <si>
    <t>33458635</t>
  </si>
  <si>
    <t>33546220</t>
  </si>
  <si>
    <t>33613201</t>
  </si>
  <si>
    <t>33662940</t>
  </si>
  <si>
    <t>Compra en Dollarcity santa barba</t>
  </si>
  <si>
    <t>Compra en Juan valdez autopista</t>
  </si>
  <si>
    <t>Envío a Grey bibiana cuervo del rio</t>
  </si>
  <si>
    <t>Envío a Transitemos sas</t>
  </si>
  <si>
    <t>Compra en Una barberia diferente</t>
  </si>
  <si>
    <t>Compra en Facebk *cn2fzp9q42</t>
  </si>
  <si>
    <t>Envío a Edwin andres ordonez caicedo</t>
  </si>
  <si>
    <t>Compra en Lacorpack</t>
  </si>
  <si>
    <t>Envío a Andres sanjuan 8616940 .16 .25</t>
  </si>
  <si>
    <t>Compra en Spotify*dl</t>
  </si>
  <si>
    <t>Compra en Bold sa*cava de</t>
  </si>
  <si>
    <t>Compra en Starbucks torre sapien</t>
  </si>
  <si>
    <t>Envío a Andres sanjuan 8747100</t>
  </si>
  <si>
    <t>Envío a Andres sanjuan 8748209</t>
  </si>
  <si>
    <t>Compra en Pan pa ya</t>
  </si>
  <si>
    <t>Envío a Andres sanjuan 8792962 0 .14</t>
  </si>
  <si>
    <t>Compra en Hamburguesas el corral</t>
  </si>
  <si>
    <t>Compra en Bold sa*yaja</t>
  </si>
  <si>
    <t>Compra en Sagal sas</t>
  </si>
  <si>
    <t>Envío a Andres sanjuan 8872820 0 .93</t>
  </si>
  <si>
    <t>Compra en Anthropic* claude team</t>
  </si>
  <si>
    <t>Compra en Corral fontanar</t>
  </si>
  <si>
    <t>Envío a Andres sanjuan 8909439 4 .96</t>
  </si>
  <si>
    <t>Envío a Andres sanjuan 8912905 0 .80</t>
  </si>
  <si>
    <t>Compra en Palenca</t>
  </si>
  <si>
    <t>Compra en Parking international</t>
  </si>
  <si>
    <t>Compra en Ensambladora universal</t>
  </si>
  <si>
    <t>Compra en Drogueria navel 3</t>
  </si>
  <si>
    <t>Compra en Notaria 45</t>
  </si>
  <si>
    <t>Compra en Ipark niza</t>
  </si>
  <si>
    <t>Envío a Ivan echeverri gomez 8958919</t>
  </si>
  <si>
    <t>Compra en Tienda d1 la calleja</t>
  </si>
  <si>
    <t>Envío a Ivan echeverri gomez 8997174 6 .96</t>
  </si>
  <si>
    <t>Envío a Ivan echeverri gomez 9002571</t>
  </si>
  <si>
    <t>Envío a Andres sanjuan 9002644</t>
  </si>
  <si>
    <t>Compra en Bold sa*autolava</t>
  </si>
  <si>
    <t>Envío a Andres sanjuan 9027731 4 83.19</t>
  </si>
  <si>
    <t>Compra en Mongodbcloud pm 0tl...</t>
  </si>
  <si>
    <t>Envío a Ivan echeverri gomez 9052802</t>
  </si>
  <si>
    <t>Compra en Mercado pago*samsonite</t>
  </si>
  <si>
    <t>Compra en Ppro*mcafee</t>
  </si>
  <si>
    <t>Envío a Ivan echeverri gomez 9073934 .00 23.70</t>
  </si>
  <si>
    <t>Compra en Bold sa*dr elias</t>
  </si>
  <si>
    <t>Envío a Andres sanjuan 9085491 0 05.83</t>
  </si>
  <si>
    <t>Compra en Ciudadela comercial un</t>
  </si>
  <si>
    <t>Compra en Mercado pago*mercadoli</t>
  </si>
  <si>
    <t>Compra en Anthropic* claude sub</t>
  </si>
  <si>
    <t>Envío a Ivan echeverri gomez 9113511 8 02.23</t>
  </si>
  <si>
    <t>Compra en Mercado pago*cabify262</t>
  </si>
  <si>
    <t>Compra en Mercadopago cabify*cab</t>
  </si>
  <si>
    <t>Envío a Andres sanjuan 9127967 0 17.05</t>
  </si>
  <si>
    <t>Compra en Microsoft#g166211889</t>
  </si>
  <si>
    <t>Compra en Mercado pago*jetsmartc</t>
  </si>
  <si>
    <t>Envío a Andres sanjuan 9163534 6 13.57</t>
  </si>
  <si>
    <t>Envío a Andres sanjuan 9172388 0 90.45</t>
  </si>
  <si>
    <t>Compra en Apple.com bill</t>
  </si>
  <si>
    <t>Envío a Colfenix gps sas</t>
  </si>
  <si>
    <t>Impuesto IVA (total junio 2026)</t>
  </si>
  <si>
    <t>Comisión envíos (total junio 2026)</t>
  </si>
  <si>
    <t>GMF 4x1.000 (total junio 2026)</t>
  </si>
  <si>
    <t>13495624</t>
  </si>
  <si>
    <t>13498877</t>
  </si>
  <si>
    <t>13500912</t>
  </si>
  <si>
    <t>13503476</t>
  </si>
  <si>
    <t>13503728</t>
  </si>
  <si>
    <t>13504452</t>
  </si>
  <si>
    <t>13504687</t>
  </si>
  <si>
    <t>13504959</t>
  </si>
  <si>
    <t>13505502</t>
  </si>
  <si>
    <t>13505524</t>
  </si>
  <si>
    <t>13506411</t>
  </si>
  <si>
    <t>33782840</t>
  </si>
  <si>
    <t>12827998</t>
  </si>
  <si>
    <t>12828308</t>
  </si>
  <si>
    <t>12828401</t>
  </si>
  <si>
    <t>12828498</t>
  </si>
  <si>
    <t>33792427</t>
  </si>
  <si>
    <t>33793264</t>
  </si>
  <si>
    <t>33793891</t>
  </si>
  <si>
    <t>33794148</t>
  </si>
  <si>
    <t>13524688</t>
  </si>
  <si>
    <t>12854063</t>
  </si>
  <si>
    <t>12854125</t>
  </si>
  <si>
    <t>33867679</t>
  </si>
  <si>
    <t>13542871</t>
  </si>
  <si>
    <t>13562142</t>
  </si>
  <si>
    <t>13568515</t>
  </si>
  <si>
    <t>12878678</t>
  </si>
  <si>
    <t>33939085</t>
  </si>
  <si>
    <t>13575997</t>
  </si>
  <si>
    <t>13576945</t>
  </si>
  <si>
    <t>13577184</t>
  </si>
  <si>
    <t>33981172</t>
  </si>
  <si>
    <t>13593913</t>
  </si>
  <si>
    <t>13594418</t>
  </si>
  <si>
    <t>13597668</t>
  </si>
  <si>
    <t>12897235</t>
  </si>
  <si>
    <t>12897323</t>
  </si>
  <si>
    <t>34034238</t>
  </si>
  <si>
    <t>34051353</t>
  </si>
  <si>
    <t>13612521</t>
  </si>
  <si>
    <t>13613207</t>
  </si>
  <si>
    <t>34087251</t>
  </si>
  <si>
    <t>34090209</t>
  </si>
  <si>
    <t>34123634</t>
  </si>
  <si>
    <t>12924898</t>
  </si>
  <si>
    <t>12925016</t>
  </si>
  <si>
    <t>34152184</t>
  </si>
  <si>
    <t>13637029</t>
  </si>
  <si>
    <t>13640278</t>
  </si>
  <si>
    <t>13666370</t>
  </si>
  <si>
    <t>13702512</t>
  </si>
  <si>
    <t>13703609</t>
  </si>
  <si>
    <t>13709055</t>
  </si>
  <si>
    <t>13709073</t>
  </si>
  <si>
    <t>13709480</t>
  </si>
  <si>
    <t>13726535</t>
  </si>
  <si>
    <t>34348849</t>
  </si>
  <si>
    <t>13747004</t>
  </si>
  <si>
    <t>13747049</t>
  </si>
  <si>
    <t>34366348</t>
  </si>
  <si>
    <t>13751082</t>
  </si>
  <si>
    <t>13753684</t>
  </si>
  <si>
    <t>13755662</t>
  </si>
  <si>
    <t>13760156</t>
  </si>
  <si>
    <t>13761979</t>
  </si>
  <si>
    <t>13764722</t>
  </si>
  <si>
    <t>13002182</t>
  </si>
  <si>
    <t>13002240</t>
  </si>
  <si>
    <t>13766942</t>
  </si>
  <si>
    <t>13774979</t>
  </si>
  <si>
    <t>34423789</t>
  </si>
  <si>
    <t>34445077</t>
  </si>
  <si>
    <t>13788444</t>
  </si>
  <si>
    <t>34455478</t>
  </si>
  <si>
    <t>13792380</t>
  </si>
  <si>
    <t>34461721</t>
  </si>
  <si>
    <t>13795213</t>
  </si>
  <si>
    <t>34488381</t>
  </si>
  <si>
    <t>13817115</t>
  </si>
  <si>
    <t>34509285</t>
  </si>
  <si>
    <t>13821235</t>
  </si>
  <si>
    <t>13041609</t>
  </si>
  <si>
    <t>13822675</t>
  </si>
  <si>
    <t>34529094</t>
  </si>
  <si>
    <t>34529632</t>
  </si>
  <si>
    <t>34538539</t>
  </si>
  <si>
    <t>34539207</t>
  </si>
  <si>
    <t>13840657</t>
  </si>
  <si>
    <t>13842266</t>
  </si>
  <si>
    <t>13842811</t>
  </si>
  <si>
    <t>34561582</t>
  </si>
  <si>
    <t>34574389</t>
  </si>
  <si>
    <t>13851350</t>
  </si>
  <si>
    <t>34593123</t>
  </si>
  <si>
    <t>34601859</t>
  </si>
  <si>
    <t>13867743</t>
  </si>
  <si>
    <t>34627852</t>
  </si>
  <si>
    <t>34643008</t>
  </si>
  <si>
    <t>13896260</t>
  </si>
  <si>
    <t>34673218</t>
  </si>
  <si>
    <t>13927568</t>
  </si>
  <si>
    <t>13945853</t>
  </si>
  <si>
    <t>13946372</t>
  </si>
  <si>
    <t>13947416</t>
  </si>
  <si>
    <t>13955663</t>
  </si>
  <si>
    <t>13961612</t>
  </si>
  <si>
    <t>13973948</t>
  </si>
  <si>
    <t>13975864</t>
  </si>
  <si>
    <t>13976485</t>
  </si>
  <si>
    <t>34768513</t>
  </si>
  <si>
    <t>13978909</t>
  </si>
  <si>
    <t>34777736</t>
  </si>
  <si>
    <t>13981709</t>
  </si>
  <si>
    <t>13982077</t>
  </si>
  <si>
    <t>13986616</t>
  </si>
  <si>
    <t>13987589</t>
  </si>
  <si>
    <t>13136582</t>
  </si>
  <si>
    <t>13136678</t>
  </si>
  <si>
    <t>13136813</t>
  </si>
  <si>
    <t>13991495</t>
  </si>
  <si>
    <t>13995632</t>
  </si>
  <si>
    <t>13996534</t>
  </si>
  <si>
    <t>13997601</t>
  </si>
  <si>
    <t>14017108</t>
  </si>
  <si>
    <t>34874711</t>
  </si>
  <si>
    <t>34885977</t>
  </si>
  <si>
    <t>13165858</t>
  </si>
  <si>
    <t>14034265</t>
  </si>
  <si>
    <t>13174740</t>
  </si>
  <si>
    <t>13174910</t>
  </si>
  <si>
    <t>14063075</t>
  </si>
  <si>
    <t>14063287</t>
  </si>
  <si>
    <t>14063436</t>
  </si>
  <si>
    <t>34946799</t>
  </si>
  <si>
    <t>14075442</t>
  </si>
  <si>
    <t>14079737</t>
  </si>
  <si>
    <t>14082319</t>
  </si>
  <si>
    <t>14086619</t>
  </si>
  <si>
    <t>14086736</t>
  </si>
  <si>
    <t>34990794</t>
  </si>
  <si>
    <t>14091482</t>
  </si>
  <si>
    <t>14091552</t>
  </si>
  <si>
    <t>14092709</t>
  </si>
  <si>
    <t>14092732</t>
  </si>
  <si>
    <t>14093395</t>
  </si>
  <si>
    <t>14094194</t>
  </si>
  <si>
    <t>14095176</t>
  </si>
  <si>
    <t>14098972</t>
  </si>
  <si>
    <t>14123847</t>
  </si>
  <si>
    <t>14124459</t>
  </si>
  <si>
    <t>14125820</t>
  </si>
  <si>
    <t>14128898</t>
  </si>
  <si>
    <t>14129105</t>
  </si>
  <si>
    <t>14135006</t>
  </si>
  <si>
    <t>14140530</t>
  </si>
  <si>
    <t>14155689</t>
  </si>
  <si>
    <t>14175048</t>
  </si>
  <si>
    <t>35112276</t>
  </si>
  <si>
    <t>14180950</t>
  </si>
  <si>
    <t>14182320</t>
  </si>
  <si>
    <t>14194988</t>
  </si>
  <si>
    <t>35158681</t>
  </si>
  <si>
    <t>35158837</t>
  </si>
  <si>
    <t>14197698</t>
  </si>
  <si>
    <t>13255050</t>
  </si>
  <si>
    <t>35196821</t>
  </si>
  <si>
    <t>14220240</t>
  </si>
  <si>
    <t>14220245</t>
  </si>
  <si>
    <t>14224062</t>
  </si>
  <si>
    <t>35213909</t>
  </si>
  <si>
    <t>35217499</t>
  </si>
  <si>
    <t>13271587</t>
  </si>
  <si>
    <t>14229583</t>
  </si>
  <si>
    <t>14230592</t>
  </si>
  <si>
    <t>14237394</t>
  </si>
  <si>
    <t>14237725</t>
  </si>
  <si>
    <t>35248601</t>
  </si>
  <si>
    <t>35250748</t>
  </si>
  <si>
    <t>14252344</t>
  </si>
  <si>
    <t>14260287</t>
  </si>
  <si>
    <t>35284270</t>
  </si>
  <si>
    <t>35284455</t>
  </si>
  <si>
    <t>14266082</t>
  </si>
  <si>
    <t>14268513</t>
  </si>
  <si>
    <t>14273090</t>
  </si>
  <si>
    <t>14280600</t>
  </si>
  <si>
    <t>14280628</t>
  </si>
  <si>
    <t>14284189</t>
  </si>
  <si>
    <t>13304307</t>
  </si>
  <si>
    <t>14289167</t>
  </si>
  <si>
    <t>14289287</t>
  </si>
  <si>
    <t>35333334</t>
  </si>
  <si>
    <t>14292179</t>
  </si>
  <si>
    <t>14296687</t>
  </si>
  <si>
    <t>14299747</t>
  </si>
  <si>
    <t>14299787</t>
  </si>
  <si>
    <t>14301793</t>
  </si>
  <si>
    <t>13315291</t>
  </si>
  <si>
    <t>35377843</t>
  </si>
  <si>
    <t>35387276</t>
  </si>
  <si>
    <t>14324053</t>
  </si>
  <si>
    <t>14329303</t>
  </si>
  <si>
    <t>14329306</t>
  </si>
  <si>
    <t>14329310</t>
  </si>
  <si>
    <t>14329312</t>
  </si>
  <si>
    <t>14329315</t>
  </si>
  <si>
    <t>14329318</t>
  </si>
  <si>
    <t>14329601</t>
  </si>
  <si>
    <t>14334604</t>
  </si>
  <si>
    <t>14334790</t>
  </si>
  <si>
    <t>35417520</t>
  </si>
  <si>
    <t>13334503</t>
  </si>
  <si>
    <t>13335500</t>
  </si>
  <si>
    <t>14338862</t>
  </si>
  <si>
    <t>14348747</t>
  </si>
  <si>
    <t>14360187</t>
  </si>
  <si>
    <t>14362213</t>
  </si>
  <si>
    <t>14363013</t>
  </si>
  <si>
    <t>14368128</t>
  </si>
  <si>
    <t>14369994</t>
  </si>
  <si>
    <t>14371385</t>
  </si>
  <si>
    <t>14374711</t>
  </si>
  <si>
    <t>14374998</t>
  </si>
  <si>
    <t>14376361</t>
  </si>
  <si>
    <t>14376831</t>
  </si>
  <si>
    <t>14377043</t>
  </si>
  <si>
    <t>14382656</t>
  </si>
  <si>
    <t>14388782</t>
  </si>
  <si>
    <t>14390825</t>
  </si>
  <si>
    <t>14403430</t>
  </si>
  <si>
    <t>14406967</t>
  </si>
  <si>
    <t>14409277</t>
  </si>
  <si>
    <t>14412522</t>
  </si>
  <si>
    <t>14420002</t>
  </si>
  <si>
    <t>14434455</t>
  </si>
  <si>
    <t>14435445</t>
  </si>
  <si>
    <t>14438107</t>
  </si>
  <si>
    <t>14440845</t>
  </si>
  <si>
    <t>14442085</t>
  </si>
  <si>
    <t>14447092</t>
  </si>
  <si>
    <t>14452129</t>
  </si>
  <si>
    <t>14458303</t>
  </si>
  <si>
    <t>35596236</t>
  </si>
  <si>
    <t>13405993</t>
  </si>
  <si>
    <t>14479157</t>
  </si>
  <si>
    <t>13406191</t>
  </si>
  <si>
    <t>35637842</t>
  </si>
  <si>
    <t>14484200</t>
  </si>
  <si>
    <t>14484519</t>
  </si>
  <si>
    <t>35650996</t>
  </si>
  <si>
    <t>14487958</t>
  </si>
  <si>
    <t>14490141</t>
  </si>
  <si>
    <t>14490579</t>
  </si>
  <si>
    <t>35673530</t>
  </si>
  <si>
    <t>35674083</t>
  </si>
  <si>
    <t>14495347</t>
  </si>
  <si>
    <t>Reversa compra con tarjeta 0 7127</t>
  </si>
  <si>
    <t>Intereses abonados 2101650</t>
  </si>
  <si>
    <t>Recibido de Luis miguel bece</t>
  </si>
  <si>
    <t>GMF (4x1.000) 0.0</t>
  </si>
  <si>
    <t>33778434</t>
  </si>
  <si>
    <t>33866878</t>
  </si>
  <si>
    <t>33866956</t>
  </si>
  <si>
    <t>34000750</t>
  </si>
  <si>
    <t>13597669</t>
  </si>
  <si>
    <t>13703611</t>
  </si>
  <si>
    <t>13709062</t>
  </si>
  <si>
    <t>13709481</t>
  </si>
  <si>
    <t>13748402</t>
  </si>
  <si>
    <t>34386664</t>
  </si>
  <si>
    <t>34386666</t>
  </si>
  <si>
    <t>34517683</t>
  </si>
  <si>
    <t>34519326</t>
  </si>
  <si>
    <t>34573984</t>
  </si>
  <si>
    <t>34575131</t>
  </si>
  <si>
    <t>34778903</t>
  </si>
  <si>
    <t>34778905</t>
  </si>
  <si>
    <t>13982093</t>
  </si>
  <si>
    <t>13996536</t>
  </si>
  <si>
    <t>34935288</t>
  </si>
  <si>
    <t>34945378</t>
  </si>
  <si>
    <t>34986111</t>
  </si>
  <si>
    <t>14093964</t>
  </si>
  <si>
    <t>35039759</t>
  </si>
  <si>
    <t>35086769</t>
  </si>
  <si>
    <t>35121755</t>
  </si>
  <si>
    <t>35121760</t>
  </si>
  <si>
    <t>35121929</t>
  </si>
  <si>
    <t>35142973</t>
  </si>
  <si>
    <t>35155038</t>
  </si>
  <si>
    <t>35313047</t>
  </si>
  <si>
    <t>14292932</t>
  </si>
  <si>
    <t>14329635</t>
  </si>
  <si>
    <t>14329638</t>
  </si>
  <si>
    <t>14337088</t>
  </si>
  <si>
    <t>14348815</t>
  </si>
  <si>
    <t>14363016</t>
  </si>
  <si>
    <t>14377008</t>
  </si>
  <si>
    <t>35596099</t>
  </si>
  <si>
    <t>35635132</t>
  </si>
  <si>
    <t>35635133</t>
  </si>
  <si>
    <t>35653546</t>
  </si>
  <si>
    <t>Conversión de divisas</t>
  </si>
  <si>
    <t>GMF 4x1.000 (total marzo 2026)</t>
  </si>
  <si>
    <t>Pago PSE en Bancolombia</t>
  </si>
  <si>
    <t>Impuesto 4x1000</t>
  </si>
  <si>
    <t>SALDO BANCO FIN DE MES</t>
  </si>
  <si>
    <t>Saldo según banco (fin de mes)</t>
  </si>
  <si>
    <t>PRESUPUESTO Y SEGUIMIENTO — MAR 2026 A DIC 2027</t>
  </si>
  <si>
    <t>Azul = presupuesto definido (editable). Cursiva = proyección automática (promedio + tendencia; puedes sobreescribirla). El panel izquierdo usa solo meses completos.</t>
  </si>
  <si>
    <t>Último mes completo:</t>
  </si>
  <si>
    <t>Prom. últ. 3M</t>
  </si>
  <si>
    <t>Tendencia $/mes</t>
  </si>
  <si>
    <t>Crec. %/mes</t>
  </si>
  <si>
    <t>Sugerido mes sig.</t>
  </si>
  <si>
    <t>HISTÓRICO EJECUTADO POR MES (auxiliar de tendencias)</t>
  </si>
  <si>
    <t>Pago prestamo Andrés Echeverri</t>
  </si>
  <si>
    <t>Papelería</t>
  </si>
  <si>
    <t>Marketing y publicidad</t>
  </si>
  <si>
    <t>Pago prestamo Andrés Cano</t>
  </si>
  <si>
    <t>Pago prestamo David Martinez</t>
  </si>
  <si>
    <t>Gastos financieros</t>
  </si>
  <si>
    <t>Gastos de representación</t>
  </si>
  <si>
    <t>Beneficios Heads</t>
  </si>
  <si>
    <t>Pago Auteco</t>
  </si>
  <si>
    <t>SOAT/Matrículas</t>
  </si>
  <si>
    <t>Préstamos</t>
  </si>
  <si>
    <t>Producto</t>
  </si>
  <si>
    <t>Cafetería</t>
  </si>
  <si>
    <t>Pago prestamo Alexandra Suarez</t>
  </si>
  <si>
    <t>Impuestos</t>
  </si>
  <si>
    <t>DESGLOSE IMPUESTOS (por tipo)</t>
  </si>
  <si>
    <t>Tipo</t>
  </si>
  <si>
    <t>Total</t>
  </si>
  <si>
    <t>% peso</t>
  </si>
  <si>
    <t>GMF 4x1.000</t>
  </si>
  <si>
    <t>IVA</t>
  </si>
  <si>
    <t>Otros impuestos</t>
  </si>
  <si>
    <t>TOTAL IMPUESTOS</t>
  </si>
  <si>
    <t>LISTA DE CATEGORÍAS (alimenta el desplegable de la base — no borrar)</t>
  </si>
  <si>
    <t>Pago nomina Alexa Suarez</t>
  </si>
  <si>
    <t>COSTO DE PRODUCTO</t>
  </si>
  <si>
    <t>Seguros (Hunter)</t>
  </si>
  <si>
    <t>Subtotal Costo de producto</t>
  </si>
  <si>
    <t>RODDOS — CONTROL FINANCIERO</t>
  </si>
  <si>
    <t>PRESUPUESTO DEL MES</t>
  </si>
  <si>
    <t>EJECUTADO</t>
  </si>
  <si>
    <t>DISPONIBLE</t>
  </si>
  <si>
    <t>% EJECUTADO</t>
  </si>
  <si>
    <t>CAJA DISPONIBLE</t>
  </si>
  <si>
    <t>DIF. VS BANCO</t>
  </si>
  <si>
    <t>RESUMEN DEL MES POR GRUPO</t>
  </si>
  <si>
    <t>Grupo</t>
  </si>
  <si>
    <t>% Ejec.</t>
  </si>
  <si>
    <t>Costo de producto</t>
  </si>
  <si>
    <t>Operación</t>
  </si>
  <si>
    <t>Nómina</t>
  </si>
  <si>
    <t>Deudas y obligaciones</t>
  </si>
  <si>
    <t>Otros y varios</t>
  </si>
  <si>
    <t>PENDIENTES POR CLASIFICAR</t>
  </si>
  <si>
    <t>Movimientos:</t>
  </si>
  <si>
    <t>Valor total:</t>
  </si>
  <si>
    <t>IR A:</t>
  </si>
  <si>
    <t>Control</t>
  </si>
  <si>
    <t>Egresos</t>
  </si>
  <si>
    <t>Ingresos</t>
  </si>
  <si>
    <t>Costo prod.</t>
  </si>
  <si>
    <t>Deudas</t>
  </si>
  <si>
    <t>Caja fin de mes</t>
  </si>
  <si>
    <t>FLUJO DE CAJA — JUL 2026 A DIC 2027</t>
  </si>
  <si>
    <t>Julio = ejecutado real (vivo desde la base) · Ago-26 en adelante = presupuesto vigente de la hoja Presupuesto · Ingresos proyectados × % recaudo</t>
  </si>
  <si>
    <t>(+) Ingresos</t>
  </si>
  <si>
    <t>(−) Gastos</t>
  </si>
  <si>
    <t>Caja final de mes</t>
  </si>
  <si>
    <t>PROYECCIÓN DE INGRESOS — VENTA DE MOTOS (JUL-26 → DIC-29)</t>
  </si>
  <si>
    <t>Motos nuevas (mes)</t>
  </si>
  <si>
    <t>REAL VS PROYECTADO</t>
  </si>
  <si>
    <t>Ingreso proyectado (×%rec)</t>
  </si>
  <si>
    <t>Ingreso real (base)</t>
  </si>
  <si>
    <t>% cumplimiento</t>
  </si>
  <si>
    <t>INGRESO REAL (MES)</t>
  </si>
  <si>
    <t>INGRESO PROYECTADO</t>
  </si>
  <si>
    <t>% CUMPLIMIENTO</t>
  </si>
  <si>
    <t>PAGOS DE LA PRÓXIMA SEMANA — IMPACTO EN CAJA Y PRESUPUESTO</t>
  </si>
  <si>
    <t>Caja disponible hoy</t>
  </si>
  <si>
    <t>Pago / concepto</t>
  </si>
  <si>
    <t>Disponible categoría (mes)</t>
  </si>
  <si>
    <t>Restante en categoría</t>
  </si>
  <si>
    <t>¿Se ajusta al presupuesto?</t>
  </si>
  <si>
    <t>Caja después del pago</t>
  </si>
  <si>
    <t>IMPACTO PROYECTADO</t>
  </si>
  <si>
    <t>Total pagos planeados</t>
  </si>
  <si>
    <t>Caja hoy</t>
  </si>
  <si>
    <t>(+) Ingresos esperados semana</t>
  </si>
  <si>
    <t>(−) Pagos planeados</t>
  </si>
  <si>
    <t>Presupuesto general del mes tras estos pagos</t>
  </si>
  <si>
    <t>Caja proyectada tras pagos</t>
  </si>
  <si>
    <t>(+) Ingresos esperados semana (promedio real del mes, editable)</t>
  </si>
  <si>
    <t>Pago deuda Raul</t>
  </si>
  <si>
    <t>Pago deuda Luis Moreno</t>
  </si>
  <si>
    <t>Compra maleta RODDOS</t>
  </si>
  <si>
    <t>Pago deuda mama</t>
  </si>
  <si>
    <t>SOAT/Matricula</t>
  </si>
  <si>
    <t>Arriendo</t>
  </si>
  <si>
    <t>Pasantes</t>
  </si>
  <si>
    <t>Palenca</t>
  </si>
  <si>
    <t>Pago deuda Maya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</si>
</sst>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$-240A]\ #,##0"/>
    <numFmt numFmtId="165" formatCode="dd/mm/yyyy"/>
    <numFmt numFmtId="166" formatCode="0.0%"/>
    <numFmt numFmtId="167" formatCode="&quot;$&quot;#,##0;\(&quot;$&quot;#,##0\);&quot;-&quot;"/>
    <numFmt numFmtId="168" formatCode="&quot;$&quot;#,##0"/>
    <numFmt numFmtId="169" formatCode="[$$-240A]\ #,##0;[Red][$$-240A]\ \(#,##0\);&quot;-&quot;"/>
    <numFmt numFmtId="170" formatCode="[$$-240A]\ #,##0.00"/>
  </numFmts>
  <fonts count="6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008000"/>
      <name val="Arial"/>
      <family val="2"/>
      <charset val="1"/>
    </font>
    <font>
      <b/>
      <sz val="10"/>
      <color theme="1"/>
      <name val="Arial"/>
      <family val="2"/>
    </font>
    <font>
      <b/>
      <sz val="10"/>
      <color rgb="FFFFFFFF"/>
      <name val="Arial"/>
      <family val="2"/>
      <charset val="1"/>
    </font>
    <font>
      <sz val="11"/>
      <color rgb="FF00800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808080"/>
      <name val="Aptos Narrow"/>
      <family val="2"/>
      <scheme val="minor"/>
    </font>
    <font>
      <b/>
      <sz val="11"/>
      <color rgb="FF808080"/>
      <name val="Aptos Narrow"/>
      <family val="2"/>
      <scheme val="minor"/>
    </font>
    <font>
      <b/>
      <sz val="18"/>
      <color rgb="FF202124"/>
      <name val="Aptos Narrow"/>
      <family val="2"/>
      <scheme val="minor"/>
    </font>
    <font>
      <b/>
      <sz val="11"/>
      <color rgb="FF5F6368"/>
      <name val="Aptos Narrow"/>
      <family val="2"/>
      <scheme val="minor"/>
    </font>
    <font>
      <b/>
      <sz val="9"/>
      <color rgb="FF5F6368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3"/>
      <color rgb="FF202124"/>
      <name val="Aptos Narrow"/>
      <family val="2"/>
      <scheme val="minor"/>
    </font>
    <font>
      <b/>
      <sz val="13"/>
      <color rgb="FFB45309"/>
      <name val="Aptos Narrow"/>
      <family val="2"/>
      <scheme val="minor"/>
    </font>
    <font>
      <sz val="11"/>
      <color rgb="FF3C4043"/>
      <name val="Aptos Narrow"/>
      <family val="2"/>
      <scheme val="minor"/>
    </font>
    <font>
      <b/>
      <sz val="11"/>
      <color rgb="FF006064"/>
      <name val="Aptos Narrow"/>
      <family val="2"/>
      <scheme val="minor"/>
    </font>
    <font>
      <b/>
      <sz val="11"/>
      <color rgb="FF174EA6"/>
      <name val="Aptos Narrow"/>
      <family val="2"/>
      <scheme val="minor"/>
    </font>
    <font>
      <b/>
      <sz val="11"/>
      <color rgb="FF4A148C"/>
      <name val="Aptos Narrow"/>
      <family val="2"/>
      <scheme val="minor"/>
    </font>
    <font>
      <b/>
      <sz val="11"/>
      <color rgb="FFB45309"/>
      <name val="Aptos Narrow"/>
      <family val="2"/>
      <scheme val="minor"/>
    </font>
    <font>
      <b/>
      <sz val="11"/>
      <color rgb="FF3C4043"/>
      <name val="Aptos Narrow"/>
      <family val="2"/>
      <scheme val="minor"/>
    </font>
    <font>
      <b/>
      <sz val="11"/>
      <color rgb="FF202124"/>
      <name val="Aptos Narrow"/>
      <family val="2"/>
      <scheme val="minor"/>
    </font>
    <font>
      <b/>
      <sz val="10"/>
      <color rgb="FF5F6368"/>
      <name val="Aptos Narrow"/>
      <family val="2"/>
      <scheme val="minor"/>
    </font>
    <font>
      <sz val="11"/>
      <color rgb="FF5F6368"/>
      <name val="Aptos Narrow"/>
      <family val="2"/>
      <scheme val="minor"/>
    </font>
    <font>
      <i/>
      <sz val="11"/>
      <color rgb="FF5F6368"/>
      <name val="Aptos Narrow"/>
      <family val="2"/>
      <scheme val="minor"/>
    </font>
    <font>
      <sz val="11"/>
      <color rgb="FF202124"/>
      <name val="Aptos Narrow"/>
      <family val="2"/>
      <scheme val="minor"/>
    </font>
    <font>
      <i/>
      <sz val="11"/>
      <color rgb="FFB45309"/>
      <name val="Aptos Narrow"/>
      <family val="2"/>
      <scheme val="minor"/>
    </font>
    <font>
      <sz val="11"/>
      <color rgb="FFB45309"/>
      <name val="Aptos Narrow"/>
      <family val="2"/>
      <scheme val="minor"/>
    </font>
    <font>
      <b/>
      <i/>
      <sz val="11"/>
      <color rgb="FF006064"/>
      <name val="Aptos Narrow"/>
      <family val="2"/>
      <scheme val="minor"/>
    </font>
    <font>
      <b/>
      <i/>
      <sz val="11"/>
      <color rgb="FF174EA6"/>
      <name val="Aptos Narrow"/>
      <family val="2"/>
      <scheme val="minor"/>
    </font>
    <font>
      <b/>
      <i/>
      <sz val="11"/>
      <color rgb="FFFFFFFF"/>
      <name val="Aptos Narrow"/>
      <family val="2"/>
      <scheme val="minor"/>
    </font>
    <font>
      <b/>
      <i/>
      <sz val="11"/>
      <color rgb="FF4A148C"/>
      <name val="Aptos Narrow"/>
      <family val="2"/>
      <scheme val="minor"/>
    </font>
    <font>
      <b/>
      <i/>
      <sz val="11"/>
      <color rgb="FFB45309"/>
      <name val="Aptos Narrow"/>
      <family val="2"/>
      <scheme val="minor"/>
    </font>
    <font>
      <sz val="9"/>
      <color rgb="FF9AA0A6"/>
      <name val="Aptos Narrow"/>
      <family val="2"/>
      <scheme val="minor"/>
    </font>
    <font>
      <b/>
      <sz val="9"/>
      <color rgb="FF9AA0A6"/>
      <name val="Aptos Narrow"/>
      <family val="2"/>
      <scheme val="minor"/>
    </font>
    <font>
      <b/>
      <sz val="20"/>
      <color rgb="FF202124"/>
      <name val="Aptos Narrow"/>
      <family val="2"/>
      <scheme val="minor"/>
    </font>
    <font>
      <b/>
      <sz val="11"/>
      <color rgb="FF00838F"/>
      <name val="Aptos Narrow"/>
      <family val="2"/>
      <scheme val="minor"/>
    </font>
    <font>
      <b/>
      <sz val="11"/>
      <color rgb="FF1A73E8"/>
      <name val="Aptos Narrow"/>
      <family val="2"/>
      <scheme val="minor"/>
    </font>
    <font>
      <b/>
      <sz val="11"/>
      <color rgb="FF7B1FA2"/>
      <name val="Aptos Narrow"/>
      <family val="2"/>
      <scheme val="minor"/>
    </font>
    <font>
      <b/>
      <sz val="11"/>
      <color rgb="FFE8710A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8"/>
      <color rgb="FF9AA0A6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B45309"/>
      <name val="Aptos Narrow"/>
      <family val="2"/>
      <scheme val="minor"/>
    </font>
    <font>
      <i/>
      <sz val="9"/>
      <color rgb="FF5F6368"/>
      <name val="Aptos Narrow"/>
      <family val="2"/>
      <scheme val="minor"/>
    </font>
    <font>
      <sz val="10"/>
      <color rgb="FFB45309"/>
      <name val="Arial"/>
      <family val="2"/>
      <charset val="1"/>
    </font>
    <font>
      <b/>
      <sz val="10"/>
      <color rgb="FF3C4043"/>
      <name val="Arial"/>
      <family val="2"/>
      <charset val="1"/>
    </font>
    <font>
      <i/>
      <sz val="10"/>
      <color rgb="FF5F6368"/>
      <name val="Arial"/>
      <family val="2"/>
      <charset val="1"/>
    </font>
    <font>
      <b/>
      <sz val="14"/>
      <color rgb="FF202124"/>
      <name val="Calibri"/>
      <family val="2"/>
      <charset val="1"/>
    </font>
    <font>
      <b/>
      <sz val="11"/>
      <color rgb="FF202124"/>
      <name val="Calibri"/>
      <family val="2"/>
      <charset val="1"/>
    </font>
    <font>
      <sz val="11"/>
      <color rgb="FF5F6368"/>
      <name val="Calibri"/>
      <family val="2"/>
      <charset val="1"/>
    </font>
    <font>
      <b/>
      <sz val="11"/>
      <color rgb="FF5F6368"/>
      <name val="Calibri"/>
      <family val="2"/>
      <charset val="1"/>
    </font>
    <font>
      <b/>
      <sz val="11"/>
      <color rgb="FFB45309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9AA0A6"/>
      <name val="Calibri"/>
      <family val="2"/>
      <charset val="1"/>
    </font>
    <font>
      <b/>
      <sz val="12"/>
      <color rgb="FFB45309"/>
      <name val="Aptos Narrow"/>
      <family val="2"/>
      <scheme val="minor"/>
    </font>
    <font>
      <b/>
      <sz val="12"/>
      <color rgb="FF202124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1A73E8"/>
        <bgColor indexed="64"/>
      </patternFill>
    </fill>
    <fill>
      <patternFill patternType="solid">
        <fgColor rgb="FFE8F0FE"/>
        <bgColor indexed="64"/>
      </patternFill>
    </fill>
    <fill>
      <patternFill patternType="solid">
        <fgColor rgb="FF7B1FA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710A"/>
        <bgColor indexed="64"/>
      </patternFill>
    </fill>
    <fill>
      <patternFill patternType="solid">
        <fgColor rgb="FFFDF0E5"/>
        <bgColor indexed="64"/>
      </patternFill>
    </fill>
    <fill>
      <patternFill patternType="solid">
        <fgColor rgb="FF5F6368"/>
        <bgColor indexed="64"/>
      </patternFill>
    </fill>
    <fill>
      <patternFill patternType="solid">
        <fgColor rgb="FFF1F3F4"/>
        <bgColor indexed="64"/>
      </patternFill>
    </fill>
    <fill>
      <patternFill patternType="solid">
        <fgColor rgb="FF20212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1F4E79"/>
      </bottom>
      <diagonal/>
    </border>
    <border>
      <left style="thin">
        <color rgb="FF1F4E79"/>
      </left>
      <right/>
      <top style="thin">
        <color rgb="FFD9D9D9"/>
      </top>
      <bottom style="thin">
        <color rgb="FFD9D9D9"/>
      </bottom>
      <diagonal/>
    </border>
    <border>
      <left style="thin">
        <color rgb="FF1F4E79"/>
      </left>
      <right/>
      <top style="thin">
        <color rgb="FFD9D9D9"/>
      </top>
      <bottom style="thin">
        <color rgb="FF1F4E79"/>
      </bottom>
      <diagonal/>
    </border>
    <border>
      <left/>
      <right style="thin">
        <color rgb="FF1F4E79"/>
      </right>
      <top style="thin">
        <color rgb="FFD9D9D9"/>
      </top>
      <bottom style="thin">
        <color rgb="FFD9D9D9"/>
      </bottom>
      <diagonal/>
    </border>
    <border>
      <left/>
      <right style="thin">
        <color rgb="FF1F4E79"/>
      </right>
      <top style="thin">
        <color rgb="FFD9D9D9"/>
      </top>
      <bottom style="thin">
        <color rgb="FF1F4E79"/>
      </bottom>
      <diagonal/>
    </border>
    <border>
      <left/>
      <right/>
      <top style="double">
        <color rgb="FF000000"/>
      </top>
      <bottom/>
      <diagonal/>
    </border>
    <border>
      <left style="thin">
        <color rgb="FF1F4E79"/>
      </left>
      <right/>
      <top/>
      <bottom style="thin">
        <color rgb="FFD9D9D9"/>
      </bottom>
      <diagonal/>
    </border>
    <border>
      <left/>
      <right style="thin">
        <color rgb="FF1F4E79"/>
      </right>
      <top/>
      <bottom style="thin">
        <color rgb="FFD9D9D9"/>
      </bottom>
      <diagonal/>
    </border>
    <border>
      <left style="thin">
        <color rgb="FF1F4E79"/>
      </left>
      <right/>
      <top style="thin">
        <color rgb="FF1F4E79"/>
      </top>
      <bottom style="medium">
        <color rgb="FF202124"/>
      </bottom>
      <diagonal/>
    </border>
    <border>
      <left/>
      <right/>
      <top style="thin">
        <color rgb="FF1F4E79"/>
      </top>
      <bottom style="medium">
        <color rgb="FF202124"/>
      </bottom>
      <diagonal/>
    </border>
    <border>
      <left/>
      <right style="thin">
        <color rgb="FF1F4E79"/>
      </right>
      <top style="thin">
        <color rgb="FF1F4E79"/>
      </top>
      <bottom style="medium">
        <color rgb="FF202124"/>
      </bottom>
      <diagonal/>
    </border>
    <border>
      <left/>
      <right/>
      <top/>
      <bottom style="medium">
        <color rgb="FF202124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19">
    <xf numFmtId="0" fontId="0" fillId="0" borderId="0" xfId="0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center"/>
    </xf>
    <xf numFmtId="0" fontId="1" fillId="0" borderId="0" xfId="0" applyFont="1"/>
    <xf numFmtId="164" fontId="0" fillId="2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17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1" fillId="5" borderId="0" xfId="0" applyFont="1" applyFill="1"/>
    <xf numFmtId="166" fontId="1" fillId="5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0" fontId="5" fillId="0" borderId="0" xfId="2" applyAlignment="1">
      <alignment horizontal="center"/>
    </xf>
    <xf numFmtId="164" fontId="5" fillId="0" borderId="0" xfId="2" applyNumberFormat="1" applyAlignment="1">
      <alignment horizontal="center"/>
    </xf>
    <xf numFmtId="0" fontId="8" fillId="0" borderId="0" xfId="2" applyFont="1"/>
    <xf numFmtId="0" fontId="9" fillId="0" borderId="0" xfId="2" applyFont="1"/>
    <xf numFmtId="0" fontId="11" fillId="0" borderId="0" xfId="2" applyFont="1"/>
    <xf numFmtId="0" fontId="5" fillId="0" borderId="0" xfId="2"/>
    <xf numFmtId="167" fontId="5" fillId="0" borderId="0" xfId="2" applyNumberFormat="1"/>
    <xf numFmtId="168" fontId="13" fillId="0" borderId="0" xfId="2" applyNumberFormat="1" applyFont="1"/>
    <xf numFmtId="168" fontId="5" fillId="0" borderId="0" xfId="2" applyNumberFormat="1"/>
    <xf numFmtId="0" fontId="14" fillId="0" borderId="0" xfId="2" applyFont="1"/>
    <xf numFmtId="168" fontId="14" fillId="0" borderId="0" xfId="2" applyNumberFormat="1" applyFont="1"/>
    <xf numFmtId="3" fontId="14" fillId="0" borderId="0" xfId="2" applyNumberFormat="1" applyFont="1"/>
    <xf numFmtId="17" fontId="5" fillId="0" borderId="0" xfId="2" applyNumberFormat="1"/>
    <xf numFmtId="165" fontId="5" fillId="0" borderId="0" xfId="2" applyNumberFormat="1"/>
    <xf numFmtId="3" fontId="5" fillId="0" borderId="0" xfId="2" applyNumberFormat="1"/>
    <xf numFmtId="0" fontId="14" fillId="5" borderId="0" xfId="2" applyFont="1" applyFill="1"/>
    <xf numFmtId="0" fontId="15" fillId="0" borderId="0" xfId="2" applyFont="1"/>
    <xf numFmtId="169" fontId="0" fillId="0" borderId="0" xfId="0" applyNumberFormat="1"/>
    <xf numFmtId="169" fontId="1" fillId="5" borderId="0" xfId="0" applyNumberFormat="1" applyFont="1" applyFill="1"/>
    <xf numFmtId="169" fontId="17" fillId="0" borderId="0" xfId="0" applyNumberFormat="1" applyFont="1"/>
    <xf numFmtId="169" fontId="19" fillId="0" borderId="0" xfId="0" applyNumberFormat="1" applyFont="1"/>
    <xf numFmtId="169" fontId="1" fillId="0" borderId="0" xfId="0" applyNumberFormat="1" applyFont="1"/>
    <xf numFmtId="0" fontId="20" fillId="0" borderId="0" xfId="0" applyFont="1"/>
    <xf numFmtId="0" fontId="19" fillId="0" borderId="0" xfId="0" applyFont="1"/>
    <xf numFmtId="0" fontId="21" fillId="0" borderId="0" xfId="0" applyFont="1"/>
    <xf numFmtId="0" fontId="23" fillId="7" borderId="0" xfId="0" applyFont="1" applyFill="1" applyAlignment="1">
      <alignment horizontal="center"/>
    </xf>
    <xf numFmtId="169" fontId="25" fillId="8" borderId="1" xfId="0" applyNumberFormat="1" applyFont="1" applyFill="1" applyBorder="1" applyAlignment="1">
      <alignment horizontal="center"/>
    </xf>
    <xf numFmtId="166" fontId="25" fillId="8" borderId="1" xfId="0" applyNumberFormat="1" applyFont="1" applyFill="1" applyBorder="1" applyAlignment="1">
      <alignment horizontal="center"/>
    </xf>
    <xf numFmtId="17" fontId="26" fillId="9" borderId="1" xfId="0" applyNumberFormat="1" applyFont="1" applyFill="1" applyBorder="1" applyAlignment="1">
      <alignment horizontal="center"/>
    </xf>
    <xf numFmtId="0" fontId="22" fillId="7" borderId="12" xfId="0" applyFont="1" applyFill="1" applyBorder="1" applyAlignment="1">
      <alignment horizontal="left"/>
    </xf>
    <xf numFmtId="0" fontId="22" fillId="7" borderId="13" xfId="0" applyFont="1" applyFill="1" applyBorder="1" applyAlignment="1">
      <alignment horizontal="center"/>
    </xf>
    <xf numFmtId="0" fontId="22" fillId="7" borderId="14" xfId="0" applyFont="1" applyFill="1" applyBorder="1" applyAlignment="1">
      <alignment horizontal="center"/>
    </xf>
    <xf numFmtId="0" fontId="4" fillId="10" borderId="10" xfId="0" applyFont="1" applyFill="1" applyBorder="1"/>
    <xf numFmtId="169" fontId="4" fillId="10" borderId="2" xfId="0" applyNumberFormat="1" applyFont="1" applyFill="1" applyBorder="1"/>
    <xf numFmtId="166" fontId="4" fillId="10" borderId="11" xfId="0" applyNumberFormat="1" applyFont="1" applyFill="1" applyBorder="1" applyAlignment="1">
      <alignment horizontal="center"/>
    </xf>
    <xf numFmtId="0" fontId="27" fillId="0" borderId="5" xfId="0" applyFont="1" applyBorder="1" applyAlignment="1">
      <alignment indent="1"/>
    </xf>
    <xf numFmtId="169" fontId="27" fillId="0" borderId="3" xfId="0" applyNumberFormat="1" applyFont="1" applyBorder="1"/>
    <xf numFmtId="166" fontId="27" fillId="0" borderId="7" xfId="0" applyNumberFormat="1" applyFont="1" applyBorder="1" applyAlignment="1">
      <alignment horizontal="center"/>
    </xf>
    <xf numFmtId="0" fontId="28" fillId="11" borderId="5" xfId="0" applyFont="1" applyFill="1" applyBorder="1" applyAlignment="1">
      <alignment indent="1"/>
    </xf>
    <xf numFmtId="169" fontId="28" fillId="11" borderId="3" xfId="0" applyNumberFormat="1" applyFont="1" applyFill="1" applyBorder="1"/>
    <xf numFmtId="166" fontId="28" fillId="11" borderId="7" xfId="0" applyNumberFormat="1" applyFont="1" applyFill="1" applyBorder="1" applyAlignment="1">
      <alignment horizontal="center"/>
    </xf>
    <xf numFmtId="0" fontId="4" fillId="12" borderId="5" xfId="0" applyFont="1" applyFill="1" applyBorder="1"/>
    <xf numFmtId="169" fontId="4" fillId="12" borderId="3" xfId="0" applyNumberFormat="1" applyFont="1" applyFill="1" applyBorder="1"/>
    <xf numFmtId="166" fontId="4" fillId="12" borderId="7" xfId="0" applyNumberFormat="1" applyFont="1" applyFill="1" applyBorder="1" applyAlignment="1">
      <alignment horizontal="center"/>
    </xf>
    <xf numFmtId="0" fontId="29" fillId="13" borderId="5" xfId="0" applyFont="1" applyFill="1" applyBorder="1"/>
    <xf numFmtId="169" fontId="29" fillId="13" borderId="3" xfId="0" applyNumberFormat="1" applyFont="1" applyFill="1" applyBorder="1"/>
    <xf numFmtId="166" fontId="29" fillId="13" borderId="7" xfId="0" applyNumberFormat="1" applyFont="1" applyFill="1" applyBorder="1" applyAlignment="1">
      <alignment horizontal="center"/>
    </xf>
    <xf numFmtId="0" fontId="4" fillId="14" borderId="5" xfId="0" applyFont="1" applyFill="1" applyBorder="1"/>
    <xf numFmtId="169" fontId="4" fillId="14" borderId="3" xfId="0" applyNumberFormat="1" applyFont="1" applyFill="1" applyBorder="1"/>
    <xf numFmtId="166" fontId="4" fillId="14" borderId="7" xfId="0" applyNumberFormat="1" applyFont="1" applyFill="1" applyBorder="1" applyAlignment="1">
      <alignment horizontal="center"/>
    </xf>
    <xf numFmtId="0" fontId="30" fillId="15" borderId="5" xfId="0" applyFont="1" applyFill="1" applyBorder="1"/>
    <xf numFmtId="169" fontId="30" fillId="15" borderId="3" xfId="0" applyNumberFormat="1" applyFont="1" applyFill="1" applyBorder="1"/>
    <xf numFmtId="166" fontId="30" fillId="15" borderId="7" xfId="0" applyNumberFormat="1" applyFont="1" applyFill="1" applyBorder="1" applyAlignment="1">
      <alignment horizontal="center"/>
    </xf>
    <xf numFmtId="0" fontId="4" fillId="16" borderId="5" xfId="0" applyFont="1" applyFill="1" applyBorder="1"/>
    <xf numFmtId="169" fontId="4" fillId="16" borderId="3" xfId="0" applyNumberFormat="1" applyFont="1" applyFill="1" applyBorder="1"/>
    <xf numFmtId="166" fontId="4" fillId="16" borderId="7" xfId="0" applyNumberFormat="1" applyFont="1" applyFill="1" applyBorder="1" applyAlignment="1">
      <alignment horizontal="center"/>
    </xf>
    <xf numFmtId="0" fontId="31" fillId="17" borderId="5" xfId="0" applyFont="1" applyFill="1" applyBorder="1"/>
    <xf numFmtId="169" fontId="31" fillId="17" borderId="3" xfId="0" applyNumberFormat="1" applyFont="1" applyFill="1" applyBorder="1"/>
    <xf numFmtId="166" fontId="31" fillId="17" borderId="7" xfId="0" applyNumberFormat="1" applyFont="1" applyFill="1" applyBorder="1" applyAlignment="1">
      <alignment horizontal="center"/>
    </xf>
    <xf numFmtId="0" fontId="4" fillId="18" borderId="5" xfId="0" applyFont="1" applyFill="1" applyBorder="1"/>
    <xf numFmtId="169" fontId="4" fillId="18" borderId="3" xfId="0" applyNumberFormat="1" applyFont="1" applyFill="1" applyBorder="1"/>
    <xf numFmtId="166" fontId="4" fillId="18" borderId="7" xfId="0" applyNumberFormat="1" applyFont="1" applyFill="1" applyBorder="1" applyAlignment="1">
      <alignment horizontal="center"/>
    </xf>
    <xf numFmtId="0" fontId="32" fillId="19" borderId="5" xfId="0" applyFont="1" applyFill="1" applyBorder="1"/>
    <xf numFmtId="169" fontId="32" fillId="19" borderId="3" xfId="0" applyNumberFormat="1" applyFont="1" applyFill="1" applyBorder="1"/>
    <xf numFmtId="166" fontId="32" fillId="19" borderId="7" xfId="0" applyNumberFormat="1" applyFont="1" applyFill="1" applyBorder="1" applyAlignment="1">
      <alignment horizontal="center"/>
    </xf>
    <xf numFmtId="0" fontId="4" fillId="20" borderId="6" xfId="0" applyFont="1" applyFill="1" applyBorder="1"/>
    <xf numFmtId="169" fontId="4" fillId="20" borderId="4" xfId="0" applyNumberFormat="1" applyFont="1" applyFill="1" applyBorder="1"/>
    <xf numFmtId="166" fontId="4" fillId="20" borderId="8" xfId="0" applyNumberFormat="1" applyFont="1" applyFill="1" applyBorder="1" applyAlignment="1">
      <alignment horizontal="center"/>
    </xf>
    <xf numFmtId="0" fontId="35" fillId="8" borderId="0" xfId="0" applyFont="1" applyFill="1"/>
    <xf numFmtId="0" fontId="36" fillId="8" borderId="0" xfId="0" applyFont="1" applyFill="1"/>
    <xf numFmtId="169" fontId="37" fillId="8" borderId="0" xfId="0" applyNumberFormat="1" applyFont="1" applyFill="1"/>
    <xf numFmtId="0" fontId="28" fillId="11" borderId="0" xfId="0" applyFont="1" applyFill="1"/>
    <xf numFmtId="169" fontId="28" fillId="11" borderId="0" xfId="0" applyNumberFormat="1" applyFont="1" applyFill="1"/>
    <xf numFmtId="169" fontId="38" fillId="8" borderId="0" xfId="0" applyNumberFormat="1" applyFont="1" applyFill="1"/>
    <xf numFmtId="17" fontId="35" fillId="8" borderId="0" xfId="0" applyNumberFormat="1" applyFont="1" applyFill="1"/>
    <xf numFmtId="170" fontId="39" fillId="9" borderId="0" xfId="0" applyNumberFormat="1" applyFont="1" applyFill="1"/>
    <xf numFmtId="164" fontId="39" fillId="9" borderId="0" xfId="0" applyNumberFormat="1" applyFont="1" applyFill="1"/>
    <xf numFmtId="0" fontId="36" fillId="0" borderId="0" xfId="0" applyFont="1"/>
    <xf numFmtId="17" fontId="39" fillId="9" borderId="0" xfId="0" applyNumberFormat="1" applyFont="1" applyFill="1"/>
    <xf numFmtId="0" fontId="33" fillId="7" borderId="0" xfId="0" applyFont="1" applyFill="1"/>
    <xf numFmtId="0" fontId="22" fillId="8" borderId="15" xfId="0" applyFont="1" applyFill="1" applyBorder="1" applyAlignment="1">
      <alignment horizontal="left"/>
    </xf>
    <xf numFmtId="0" fontId="22" fillId="8" borderId="15" xfId="0" applyFont="1" applyFill="1" applyBorder="1" applyAlignment="1">
      <alignment horizontal="center"/>
    </xf>
    <xf numFmtId="0" fontId="4" fillId="10" borderId="0" xfId="0" applyFont="1" applyFill="1"/>
    <xf numFmtId="169" fontId="4" fillId="10" borderId="0" xfId="0" applyNumberFormat="1" applyFont="1" applyFill="1"/>
    <xf numFmtId="166" fontId="4" fillId="10" borderId="0" xfId="0" applyNumberFormat="1" applyFont="1" applyFill="1" applyAlignment="1">
      <alignment horizontal="center"/>
    </xf>
    <xf numFmtId="0" fontId="0" fillId="0" borderId="0" xfId="0" applyAlignment="1">
      <alignment indent="1"/>
    </xf>
    <xf numFmtId="169" fontId="3" fillId="0" borderId="0" xfId="0" applyNumberFormat="1" applyFont="1"/>
    <xf numFmtId="169" fontId="16" fillId="0" borderId="0" xfId="0" applyNumberFormat="1" applyFont="1"/>
    <xf numFmtId="166" fontId="28" fillId="11" borderId="0" xfId="0" applyNumberFormat="1" applyFont="1" applyFill="1" applyAlignment="1">
      <alignment horizontal="center"/>
    </xf>
    <xf numFmtId="169" fontId="40" fillId="11" borderId="0" xfId="0" applyNumberFormat="1" applyFont="1" applyFill="1"/>
    <xf numFmtId="0" fontId="4" fillId="12" borderId="0" xfId="0" applyFont="1" applyFill="1"/>
    <xf numFmtId="169" fontId="4" fillId="12" borderId="0" xfId="0" applyNumberFormat="1" applyFont="1" applyFill="1"/>
    <xf numFmtId="166" fontId="4" fillId="12" borderId="0" xfId="0" applyNumberFormat="1" applyFont="1" applyFill="1" applyAlignment="1">
      <alignment horizontal="center"/>
    </xf>
    <xf numFmtId="0" fontId="29" fillId="13" borderId="0" xfId="0" applyFont="1" applyFill="1"/>
    <xf numFmtId="169" fontId="29" fillId="13" borderId="0" xfId="0" applyNumberFormat="1" applyFont="1" applyFill="1"/>
    <xf numFmtId="166" fontId="29" fillId="13" borderId="0" xfId="0" applyNumberFormat="1" applyFont="1" applyFill="1" applyAlignment="1">
      <alignment horizontal="center"/>
    </xf>
    <xf numFmtId="169" fontId="41" fillId="13" borderId="0" xfId="0" applyNumberFormat="1" applyFont="1" applyFill="1"/>
    <xf numFmtId="0" fontId="4" fillId="14" borderId="0" xfId="0" applyFont="1" applyFill="1"/>
    <xf numFmtId="169" fontId="4" fillId="14" borderId="0" xfId="0" applyNumberFormat="1" applyFont="1" applyFill="1"/>
    <xf numFmtId="166" fontId="4" fillId="14" borderId="0" xfId="0" applyNumberFormat="1" applyFont="1" applyFill="1" applyAlignment="1">
      <alignment horizontal="center"/>
    </xf>
    <xf numFmtId="169" fontId="42" fillId="14" borderId="0" xfId="0" applyNumberFormat="1" applyFont="1" applyFill="1"/>
    <xf numFmtId="0" fontId="30" fillId="15" borderId="0" xfId="0" applyFont="1" applyFill="1"/>
    <xf numFmtId="169" fontId="30" fillId="15" borderId="0" xfId="0" applyNumberFormat="1" applyFont="1" applyFill="1"/>
    <xf numFmtId="166" fontId="30" fillId="15" borderId="0" xfId="0" applyNumberFormat="1" applyFont="1" applyFill="1" applyAlignment="1">
      <alignment horizontal="center"/>
    </xf>
    <xf numFmtId="169" fontId="43" fillId="15" borderId="0" xfId="0" applyNumberFormat="1" applyFont="1" applyFill="1"/>
    <xf numFmtId="0" fontId="4" fillId="16" borderId="0" xfId="0" applyFont="1" applyFill="1"/>
    <xf numFmtId="169" fontId="4" fillId="16" borderId="0" xfId="0" applyNumberFormat="1" applyFont="1" applyFill="1"/>
    <xf numFmtId="166" fontId="4" fillId="16" borderId="0" xfId="0" applyNumberFormat="1" applyFont="1" applyFill="1" applyAlignment="1">
      <alignment horizontal="center"/>
    </xf>
    <xf numFmtId="169" fontId="42" fillId="16" borderId="0" xfId="0" applyNumberFormat="1" applyFont="1" applyFill="1"/>
    <xf numFmtId="0" fontId="31" fillId="17" borderId="0" xfId="0" applyFont="1" applyFill="1"/>
    <xf numFmtId="169" fontId="31" fillId="17" borderId="0" xfId="0" applyNumberFormat="1" applyFont="1" applyFill="1"/>
    <xf numFmtId="166" fontId="31" fillId="17" borderId="0" xfId="0" applyNumberFormat="1" applyFont="1" applyFill="1" applyAlignment="1">
      <alignment horizontal="center"/>
    </xf>
    <xf numFmtId="169" fontId="44" fillId="17" borderId="0" xfId="0" applyNumberFormat="1" applyFont="1" applyFill="1"/>
    <xf numFmtId="0" fontId="4" fillId="18" borderId="0" xfId="0" applyFont="1" applyFill="1"/>
    <xf numFmtId="169" fontId="4" fillId="18" borderId="0" xfId="0" applyNumberFormat="1" applyFont="1" applyFill="1"/>
    <xf numFmtId="166" fontId="4" fillId="18" borderId="0" xfId="0" applyNumberFormat="1" applyFont="1" applyFill="1" applyAlignment="1">
      <alignment horizontal="center"/>
    </xf>
    <xf numFmtId="169" fontId="42" fillId="18" borderId="0" xfId="0" applyNumberFormat="1" applyFont="1" applyFill="1"/>
    <xf numFmtId="0" fontId="32" fillId="19" borderId="0" xfId="0" applyFont="1" applyFill="1"/>
    <xf numFmtId="169" fontId="32" fillId="19" borderId="0" xfId="0" applyNumberFormat="1" applyFont="1" applyFill="1"/>
    <xf numFmtId="166" fontId="32" fillId="19" borderId="0" xfId="0" applyNumberFormat="1" applyFont="1" applyFill="1" applyAlignment="1">
      <alignment horizontal="center"/>
    </xf>
    <xf numFmtId="0" fontId="4" fillId="20" borderId="9" xfId="0" applyFont="1" applyFill="1" applyBorder="1"/>
    <xf numFmtId="169" fontId="4" fillId="20" borderId="9" xfId="0" applyNumberFormat="1" applyFont="1" applyFill="1" applyBorder="1"/>
    <xf numFmtId="166" fontId="4" fillId="20" borderId="9" xfId="0" applyNumberFormat="1" applyFont="1" applyFill="1" applyBorder="1" applyAlignment="1">
      <alignment horizontal="center"/>
    </xf>
    <xf numFmtId="0" fontId="45" fillId="0" borderId="0" xfId="0" applyFont="1"/>
    <xf numFmtId="0" fontId="46" fillId="0" borderId="0" xfId="0" applyFont="1"/>
    <xf numFmtId="0" fontId="22" fillId="4" borderId="0" xfId="0" applyFont="1" applyFill="1"/>
    <xf numFmtId="0" fontId="22" fillId="6" borderId="0" xfId="0" applyFont="1" applyFill="1" applyAlignment="1">
      <alignment horizontal="center"/>
    </xf>
    <xf numFmtId="17" fontId="22" fillId="6" borderId="0" xfId="0" applyNumberFormat="1" applyFont="1" applyFill="1" applyAlignment="1">
      <alignment horizontal="center"/>
    </xf>
    <xf numFmtId="0" fontId="47" fillId="0" borderId="0" xfId="0" applyFont="1"/>
    <xf numFmtId="0" fontId="35" fillId="0" borderId="0" xfId="0" applyFont="1"/>
    <xf numFmtId="0" fontId="23" fillId="0" borderId="0" xfId="0" applyFont="1"/>
    <xf numFmtId="0" fontId="23" fillId="8" borderId="0" xfId="0" applyFont="1" applyFill="1"/>
    <xf numFmtId="0" fontId="23" fillId="8" borderId="0" xfId="0" applyFont="1" applyFill="1" applyAlignment="1">
      <alignment horizontal="center"/>
    </xf>
    <xf numFmtId="169" fontId="24" fillId="8" borderId="0" xfId="0" applyNumberFormat="1" applyFont="1" applyFill="1" applyAlignment="1">
      <alignment horizontal="center"/>
    </xf>
    <xf numFmtId="166" fontId="24" fillId="8" borderId="0" xfId="0" applyNumberFormat="1" applyFont="1" applyFill="1" applyAlignment="1">
      <alignment horizontal="center"/>
    </xf>
    <xf numFmtId="0" fontId="33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22" fillId="0" borderId="0" xfId="0" applyFont="1"/>
    <xf numFmtId="0" fontId="4" fillId="20" borderId="0" xfId="0" applyFont="1" applyFill="1"/>
    <xf numFmtId="169" fontId="4" fillId="20" borderId="0" xfId="0" applyNumberFormat="1" applyFont="1" applyFill="1"/>
    <xf numFmtId="166" fontId="4" fillId="20" borderId="0" xfId="0" applyNumberFormat="1" applyFont="1" applyFill="1" applyAlignment="1">
      <alignment horizontal="center"/>
    </xf>
    <xf numFmtId="0" fontId="31" fillId="0" borderId="0" xfId="0" applyFont="1"/>
    <xf numFmtId="169" fontId="31" fillId="0" borderId="0" xfId="0" applyNumberFormat="1" applyFont="1"/>
    <xf numFmtId="0" fontId="52" fillId="13" borderId="0" xfId="1" applyFont="1" applyFill="1" applyAlignment="1">
      <alignment horizontal="center"/>
    </xf>
    <xf numFmtId="0" fontId="53" fillId="0" borderId="0" xfId="0" applyFont="1"/>
    <xf numFmtId="17" fontId="53" fillId="0" borderId="0" xfId="0" applyNumberFormat="1" applyFont="1"/>
    <xf numFmtId="17" fontId="54" fillId="0" borderId="0" xfId="0" applyNumberFormat="1" applyFont="1"/>
    <xf numFmtId="170" fontId="55" fillId="9" borderId="0" xfId="0" applyNumberFormat="1" applyFont="1" applyFill="1"/>
    <xf numFmtId="0" fontId="56" fillId="0" borderId="0" xfId="0" applyFont="1"/>
    <xf numFmtId="0" fontId="33" fillId="8" borderId="15" xfId="0" applyFont="1" applyFill="1" applyBorder="1" applyAlignment="1">
      <alignment horizontal="left"/>
    </xf>
    <xf numFmtId="17" fontId="33" fillId="8" borderId="15" xfId="0" applyNumberFormat="1" applyFont="1" applyFill="1" applyBorder="1" applyAlignment="1">
      <alignment horizontal="center"/>
    </xf>
    <xf numFmtId="169" fontId="8" fillId="0" borderId="0" xfId="2" applyNumberFormat="1" applyFont="1"/>
    <xf numFmtId="9" fontId="57" fillId="9" borderId="0" xfId="2" applyNumberFormat="1" applyFont="1" applyFill="1"/>
    <xf numFmtId="169" fontId="58" fillId="19" borderId="0" xfId="2" applyNumberFormat="1" applyFont="1" applyFill="1"/>
    <xf numFmtId="169" fontId="12" fillId="20" borderId="0" xfId="2" applyNumberFormat="1" applyFont="1" applyFill="1"/>
    <xf numFmtId="0" fontId="59" fillId="0" borderId="0" xfId="2" applyFont="1"/>
    <xf numFmtId="169" fontId="59" fillId="0" borderId="0" xfId="2" applyNumberFormat="1" applyFont="1"/>
    <xf numFmtId="169" fontId="10" fillId="0" borderId="0" xfId="2" applyNumberFormat="1" applyFont="1"/>
    <xf numFmtId="0" fontId="9" fillId="8" borderId="0" xfId="2" applyFont="1" applyFill="1"/>
    <xf numFmtId="169" fontId="9" fillId="8" borderId="0" xfId="2" applyNumberFormat="1" applyFont="1" applyFill="1"/>
    <xf numFmtId="0" fontId="14" fillId="0" borderId="0" xfId="2" applyFont="1" applyAlignment="1">
      <alignment horizontal="center"/>
    </xf>
    <xf numFmtId="0" fontId="60" fillId="0" borderId="0" xfId="2" applyFont="1" applyAlignment="1">
      <alignment horizontal="center"/>
    </xf>
    <xf numFmtId="17" fontId="61" fillId="8" borderId="15" xfId="2" applyNumberFormat="1" applyFont="1" applyFill="1" applyBorder="1" applyAlignment="1">
      <alignment horizontal="center"/>
    </xf>
    <xf numFmtId="0" fontId="63" fillId="0" borderId="0" xfId="2" applyFont="1" applyAlignment="1">
      <alignment horizontal="center"/>
    </xf>
    <xf numFmtId="0" fontId="64" fillId="9" borderId="0" xfId="2" applyFont="1" applyFill="1" applyAlignment="1">
      <alignment horizontal="center"/>
    </xf>
    <xf numFmtId="164" fontId="5" fillId="9" borderId="0" xfId="2" applyNumberFormat="1" applyFill="1" applyAlignment="1">
      <alignment horizontal="center"/>
    </xf>
    <xf numFmtId="164" fontId="64" fillId="9" borderId="0" xfId="2" applyNumberFormat="1" applyFont="1" applyFill="1" applyAlignment="1">
      <alignment horizontal="center"/>
    </xf>
    <xf numFmtId="0" fontId="65" fillId="20" borderId="0" xfId="2" applyFont="1" applyFill="1" applyAlignment="1">
      <alignment horizontal="center"/>
    </xf>
    <xf numFmtId="164" fontId="65" fillId="20" borderId="0" xfId="2" applyNumberFormat="1" applyFont="1" applyFill="1" applyAlignment="1">
      <alignment horizontal="center"/>
    </xf>
    <xf numFmtId="0" fontId="63" fillId="19" borderId="0" xfId="2" applyFont="1" applyFill="1" applyAlignment="1">
      <alignment horizontal="center"/>
    </xf>
    <xf numFmtId="164" fontId="14" fillId="19" borderId="0" xfId="2" applyNumberFormat="1" applyFont="1" applyFill="1" applyAlignment="1">
      <alignment horizontal="center"/>
    </xf>
    <xf numFmtId="169" fontId="62" fillId="0" borderId="0" xfId="2" applyNumberFormat="1" applyFont="1" applyAlignment="1">
      <alignment horizontal="center"/>
    </xf>
    <xf numFmtId="169" fontId="13" fillId="0" borderId="0" xfId="2" applyNumberFormat="1" applyFont="1" applyAlignment="1">
      <alignment horizontal="center"/>
    </xf>
    <xf numFmtId="0" fontId="64" fillId="0" borderId="0" xfId="2" applyFont="1" applyAlignment="1">
      <alignment horizontal="center"/>
    </xf>
    <xf numFmtId="0" fontId="66" fillId="0" borderId="0" xfId="2" applyFont="1" applyAlignment="1">
      <alignment horizontal="center"/>
    </xf>
    <xf numFmtId="0" fontId="61" fillId="0" borderId="0" xfId="2" applyFont="1" applyAlignment="1">
      <alignment horizontal="center"/>
    </xf>
    <xf numFmtId="169" fontId="5" fillId="0" borderId="0" xfId="2" applyNumberFormat="1" applyAlignment="1">
      <alignment horizontal="center"/>
    </xf>
    <xf numFmtId="169" fontId="14" fillId="0" borderId="0" xfId="2" applyNumberFormat="1" applyFont="1" applyAlignment="1">
      <alignment horizontal="center"/>
    </xf>
    <xf numFmtId="0" fontId="63" fillId="8" borderId="0" xfId="2" applyFont="1" applyFill="1" applyAlignment="1">
      <alignment horizontal="center"/>
    </xf>
    <xf numFmtId="166" fontId="14" fillId="8" borderId="0" xfId="2" applyNumberFormat="1" applyFont="1" applyFill="1" applyAlignment="1">
      <alignment horizontal="center"/>
    </xf>
    <xf numFmtId="169" fontId="24" fillId="8" borderId="0" xfId="0" applyNumberFormat="1" applyFont="1" applyFill="1"/>
    <xf numFmtId="166" fontId="24" fillId="8" borderId="0" xfId="0" applyNumberFormat="1" applyFont="1" applyFill="1"/>
    <xf numFmtId="169" fontId="0" fillId="9" borderId="0" xfId="0" applyNumberFormat="1" applyFill="1" applyAlignment="1">
      <alignment horizontal="center"/>
    </xf>
    <xf numFmtId="1" fontId="64" fillId="9" borderId="0" xfId="2" applyNumberFormat="1" applyFont="1" applyFill="1" applyAlignment="1">
      <alignment horizontal="center"/>
    </xf>
    <xf numFmtId="1" fontId="61" fillId="8" borderId="0" xfId="2" applyNumberFormat="1" applyFont="1" applyFill="1" applyAlignment="1">
      <alignment horizontal="center"/>
    </xf>
    <xf numFmtId="1" fontId="5" fillId="0" borderId="0" xfId="2" applyNumberFormat="1" applyAlignment="1">
      <alignment horizontal="center"/>
    </xf>
    <xf numFmtId="17" fontId="18" fillId="0" borderId="0" xfId="0" applyNumberFormat="1" applyFont="1"/>
    <xf numFmtId="164" fontId="18" fillId="0" borderId="0" xfId="0" applyNumberFormat="1" applyFont="1"/>
    <xf numFmtId="164" fontId="67" fillId="9" borderId="0" xfId="0" applyNumberFormat="1" applyFont="1" applyFill="1"/>
    <xf numFmtId="0" fontId="0" fillId="9" borderId="16" xfId="0" applyFill="1" applyBorder="1"/>
    <xf numFmtId="165" fontId="0" fillId="9" borderId="16" xfId="0" applyNumberFormat="1" applyFill="1" applyBorder="1"/>
    <xf numFmtId="169" fontId="0" fillId="9" borderId="16" xfId="0" applyNumberFormat="1" applyFill="1" applyBorder="1"/>
    <xf numFmtId="169" fontId="0" fillId="0" borderId="16" xfId="0" applyNumberFormat="1" applyBorder="1"/>
    <xf numFmtId="0" fontId="0" fillId="0" borderId="16" xfId="0" applyBorder="1" applyAlignment="1">
      <alignment horizontal="center"/>
    </xf>
    <xf numFmtId="0" fontId="4" fillId="20" borderId="16" xfId="0" applyFont="1" applyFill="1" applyBorder="1" applyAlignment="1">
      <alignment horizontal="center" wrapText="1"/>
    </xf>
    <xf numFmtId="169" fontId="18" fillId="8" borderId="0" xfId="0" applyNumberFormat="1" applyFont="1" applyFill="1"/>
    <xf numFmtId="0" fontId="68" fillId="8" borderId="0" xfId="0" applyFont="1" applyFill="1"/>
    <xf numFmtId="0" fontId="34" fillId="8" borderId="0" xfId="0" applyFont="1" applyFill="1" applyAlignment="1">
      <alignment horizontal="center"/>
    </xf>
    <xf numFmtId="0" fontId="36" fillId="0" borderId="0" xfId="0" applyFont="1" applyAlignment="1">
      <alignment horizontal="left"/>
    </xf>
    <xf numFmtId="17" fontId="33" fillId="7" borderId="0" xfId="0" applyNumberFormat="1" applyFont="1" applyFill="1" applyAlignment="1">
      <alignment horizontal="center"/>
    </xf>
  </cellXfs>
  <cellStyles count="3">
    <cellStyle name="Hipervínculo" xfId="1" builtinId="8"/>
    <cellStyle name="Normal" xfId="0" builtinId="0"/>
    <cellStyle name="Normal 2" xfId="2" xr:uid="{288BF880-68C8-42C2-A302-7594A56A618B}"/>
  </cellStyles>
  <dxfs count="16">
    <dxf>
      <fill>
        <patternFill patternType="solid">
          <fgColor indexed="64"/>
          <bgColor rgb="FFD9EAD3"/>
        </patternFill>
      </fill>
    </dxf>
    <dxf>
      <font>
        <color rgb="FFC5221F"/>
      </font>
      <fill>
        <patternFill patternType="solid">
          <fgColor indexed="64"/>
          <bgColor rgb="FFFCE8E6"/>
        </patternFill>
      </fill>
    </dxf>
    <dxf>
      <font>
        <color rgb="FFC5221F"/>
      </font>
      <fill>
        <patternFill patternType="solid">
          <fgColor indexed="64"/>
          <bgColor rgb="FFFCE8E6"/>
        </patternFill>
      </fill>
    </dxf>
    <dxf>
      <font>
        <color rgb="FF137333"/>
      </font>
      <fill>
        <patternFill patternType="solid">
          <fgColor indexed="64"/>
          <bgColor rgb="FFD9EAD3"/>
        </patternFill>
      </fill>
    </dxf>
    <dxf>
      <font>
        <color rgb="FFC5221F"/>
      </font>
      <fill>
        <patternFill patternType="solid">
          <fgColor indexed="64"/>
          <bgColor rgb="FFFCE8E6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numFmt numFmtId="30" formatCode="@"/>
      <alignment horizontal="center"/>
    </dxf>
    <dxf>
      <numFmt numFmtId="22" formatCode="mmm\-yy"/>
      <alignment horizontal="center"/>
    </dxf>
    <dxf>
      <numFmt numFmtId="164" formatCode="[$$-240A]\ #,##0"/>
      <alignment horizontal="center"/>
    </dxf>
    <dxf>
      <numFmt numFmtId="165" formatCode="dd/mm/yyyy"/>
    </dxf>
    <dxf>
      <numFmt numFmtId="22" formatCode="mmm\-yy"/>
      <alignment horizontal="center"/>
    </dxf>
    <dxf>
      <numFmt numFmtId="22" formatCode="mmm\-yy"/>
      <alignment horizontal="center"/>
    </dxf>
    <dxf>
      <numFmt numFmtId="164" formatCode="[$$-240A]\ #,##0"/>
      <alignment horizontal="center"/>
    </dxf>
    <dxf>
      <numFmt numFmtId="165" formatCode="dd/mm/yyyy"/>
    </dxf>
  </dxfs>
  <tableStyles count="0" defaultTableStyle="TableStyleMedium2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Presupuesto vs Ejecutado por grupo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Control!$N$6</c:f>
              <c:strCache>
                <c:ptCount val="1"/>
                <c:pt idx="0">
                  <c:v>Presupuesto</c:v>
                </c:pt>
              </c:strCache>
            </c:strRef>
          </c:tx>
          <c:spPr>
            <a:solidFill>
              <a:srgbClr val="DADCE0"/>
            </a:solidFill>
            <a:ln>
              <a:noFill/>
            </a:ln>
            <a:effectLst/>
          </c:spPr>
          <c:invertIfNegative val="0"/>
          <c:cat>
            <c:strRef>
              <c:f>Control!$M$7:$M$11</c:f>
              <c:strCache>
                <c:ptCount val="5"/>
                <c:pt idx="0">
                  <c:v>Costo prod.</c:v>
                </c:pt>
                <c:pt idx="1">
                  <c:v>Operación</c:v>
                </c:pt>
                <c:pt idx="2">
                  <c:v>Nómina</c:v>
                </c:pt>
                <c:pt idx="3">
                  <c:v>Deudas</c:v>
                </c:pt>
                <c:pt idx="4">
                  <c:v>Otros</c:v>
                </c:pt>
              </c:strCache>
            </c:strRef>
          </c:cat>
          <c:val>
            <c:numRef>
              <c:f>Control!$N$7:$N$11</c:f>
              <c:numCache>
                <c:formatCode>General</c:formatCode>
                <c:ptCount val="5"/>
                <c:pt idx="0">
                  <c:v>2200000</c:v>
                </c:pt>
                <c:pt idx="1">
                  <c:v>27500000</c:v>
                </c:pt>
                <c:pt idx="2">
                  <c:v>167771151.18000001</c:v>
                </c:pt>
                <c:pt idx="3">
                  <c:v>73200000</c:v>
                </c:pt>
                <c:pt idx="4">
                  <c:v>19000000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6-4C4F-B49D-12CF3F3B66A9}"/>
            </c:ext>
          </c:extLst>
        </c:ser>
        <c:ser>
          <c:idx val="1"/>
          <c:order val="1"/>
          <c:tx>
            <c:strRef>
              <c:f>Control!$O$6</c:f>
              <c:strCache>
                <c:ptCount val="1"/>
                <c:pt idx="0">
                  <c:v>Ejecutado</c:v>
                </c:pt>
              </c:strCache>
            </c:strRef>
          </c:tx>
          <c:spPr>
            <a:solidFill>
              <a:srgbClr val="1A73E8"/>
            </a:solidFill>
            <a:ln>
              <a:noFill/>
            </a:ln>
            <a:effectLst/>
          </c:spPr>
          <c:invertIfNegative val="0"/>
          <c:cat>
            <c:strRef>
              <c:f>Control!$M$7:$M$11</c:f>
              <c:strCache>
                <c:ptCount val="5"/>
                <c:pt idx="0">
                  <c:v>Costo prod.</c:v>
                </c:pt>
                <c:pt idx="1">
                  <c:v>Operación</c:v>
                </c:pt>
                <c:pt idx="2">
                  <c:v>Nómina</c:v>
                </c:pt>
                <c:pt idx="3">
                  <c:v>Deudas</c:v>
                </c:pt>
                <c:pt idx="4">
                  <c:v>Otros</c:v>
                </c:pt>
              </c:strCache>
            </c:strRef>
          </c:cat>
          <c:val>
            <c:numRef>
              <c:f>Control!$O$7:$O$11</c:f>
              <c:numCache>
                <c:formatCode>General</c:formatCode>
                <c:ptCount val="5"/>
                <c:pt idx="0">
                  <c:v>10465679.98</c:v>
                </c:pt>
                <c:pt idx="1">
                  <c:v>6365783.3799999999</c:v>
                </c:pt>
                <c:pt idx="2">
                  <c:v>149241428.35000002</c:v>
                </c:pt>
                <c:pt idx="3">
                  <c:v>36853260.730000004</c:v>
                </c:pt>
                <c:pt idx="4">
                  <c:v>14766335.609999999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6-4C4F-B49D-12CF3F3B6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305104"/>
        <c:axId val="1965293392"/>
      </c:barChart>
      <c:catAx>
        <c:axId val="68030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293392"/>
        <c:crosses val="autoZero"/>
        <c:auto val="1"/>
        <c:lblAlgn val="ctr"/>
        <c:lblOffset val="100"/>
        <c:noMultiLvlLbl val="0"/>
      </c:catAx>
      <c:valAx>
        <c:axId val="196529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305104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de caja (fin de mes)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Control!$N$14</c:f>
              <c:strCache>
                <c:ptCount val="1"/>
                <c:pt idx="0">
                  <c:v>Caja fin de mes</c:v>
                </c:pt>
              </c:strCache>
            </c:strRef>
          </c:tx>
          <c:spPr>
            <a:ln w="28575" cap="rnd">
              <a:solidFill>
                <a:srgbClr val="00838F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Control!$M$15:$M$19</c:f>
              <c:numCache>
                <c:formatCode>mmm\-yy</c:formatCode>
                <c:ptCount val="5"/>
                <c:pt idx="0">
                  <c:v>46082</c:v>
                </c:pt>
                <c:pt idx="1">
                  <c:v>46113</c:v>
                </c:pt>
                <c:pt idx="2">
                  <c:v>46143</c:v>
                </c:pt>
                <c:pt idx="3">
                  <c:v>46174</c:v>
                </c:pt>
                <c:pt idx="4">
                  <c:v>46204</c:v>
                </c:pt>
              </c:numCache>
            </c:numRef>
          </c:cat>
          <c:val>
            <c:numRef>
              <c:f>Control!$N$15:$N$19</c:f>
              <c:numCache>
                <c:formatCode>General</c:formatCode>
                <c:ptCount val="5"/>
                <c:pt idx="0">
                  <c:v>1241164.0999999996</c:v>
                </c:pt>
                <c:pt idx="1">
                  <c:v>21955334.509999931</c:v>
                </c:pt>
                <c:pt idx="2">
                  <c:v>7358445.7299998403</c:v>
                </c:pt>
                <c:pt idx="3">
                  <c:v>814796138.92999995</c:v>
                </c:pt>
                <c:pt idx="4">
                  <c:v>675967053.19000006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65-4750-8208-A57B3D1C9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0457296"/>
        <c:axId val="1965047152"/>
      </c:lineChart>
      <c:dateAx>
        <c:axId val="680457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047152"/>
        <c:crosses val="autoZero"/>
        <c:auto val="1"/>
        <c:lblOffset val="100"/>
        <c:baseTimeUnit val="months"/>
      </c:dateAx>
      <c:valAx>
        <c:axId val="196504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.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045729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74</xdr:row>
      <xdr:rowOff>0</xdr:rowOff>
    </xdr:from>
    <xdr:to>
      <xdr:col>5</xdr:col>
      <xdr:colOff>0</xdr:colOff>
      <xdr:row>88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BA045E-FEE5-3F9D-4294-316C78110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74</xdr:row>
      <xdr:rowOff>0</xdr:rowOff>
    </xdr:from>
    <xdr:to>
      <xdr:col>11</xdr:col>
      <xdr:colOff>0</xdr:colOff>
      <xdr:row>88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7DB5384-B43A-4709-E528-9F2856A03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D6422-B25F-4699-BA93-F9FA772D2942}" name="TablaEgresos" displayName="TablaEgresos" ref="A1:F988" totalsRowShown="0">
  <autoFilter ref="A1:F988" xr:uid="{207D6422-B25F-4699-BA93-F9FA772D2942}"/>
  <tableColumns count="6">
    <tableColumn id="1" xr3:uid="{0BA201DF-05F0-4B28-9B1B-3823BA321CAE}" name="Fecha" dataDxfId="15"/>
    <tableColumn id="2" xr3:uid="{05418BC9-F6E5-46E7-B521-041291F037D6}" name="Descripción"/>
    <tableColumn id="3" xr3:uid="{7F00CB36-362F-422D-817D-E008278F7D68}" name="Categoría"/>
    <tableColumn id="4" xr3:uid="{0E980BD9-311F-4A7C-9AFD-81BCFE213AC4}" name="Valor" dataDxfId="14"/>
    <tableColumn id="5" xr3:uid="{A562258C-5ECB-4F74-B737-48EF7497873F}" name="Mes" dataDxfId="13">
      <calculatedColumnFormula>EOMONTH(TablaEgresos[[#This Row],[Fecha]],-1)+1</calculatedColumnFormula>
    </tableColumn>
    <tableColumn id="6" xr3:uid="{C99D2D73-57B2-436A-8156-E3E51FAAD921}" name="ID banco" dataDxfId="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72E3AC-5FF7-4229-8C7A-35C076AB6C6B}" name="TablaIngresos" displayName="TablaIngresos" ref="A1:E189" totalsRowShown="0">
  <autoFilter ref="A1:E189" xr:uid="{2572E3AC-5FF7-4229-8C7A-35C076AB6C6B}"/>
  <sortState xmlns:xlrd2="http://schemas.microsoft.com/office/spreadsheetml/2017/richdata2" ref="A2:E193">
    <sortCondition ref="A2:A193"/>
  </sortState>
  <tableColumns count="5">
    <tableColumn id="1" xr3:uid="{26E6547E-1BE5-4B94-916C-D74CC23F8458}" name="Fecha" dataDxfId="11"/>
    <tableColumn id="2" xr3:uid="{0644B801-E367-4FC4-96D1-B2E2D3ADF21E}" name="Descripción"/>
    <tableColumn id="3" xr3:uid="{5C2796BC-644F-4621-9058-15CDD9E3A747}" name="Valor" dataDxfId="10"/>
    <tableColumn id="4" xr3:uid="{4E9479A5-1351-475D-8DA9-C47AD0689395}" name="Mes" dataDxfId="9">
      <calculatedColumnFormula>EOMONTH(TablaIngresos[[#This Row],[Fecha]],-1)+1</calculatedColumnFormula>
    </tableColumn>
    <tableColumn id="5" xr3:uid="{D0ED92B7-5E0D-474C-8854-DD426D635556}" name="ID banco" dataDxfId="8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EC0335-E00E-45A9-938C-A56B0E9D700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f0041c2-6526-4fe7-a4ac-fb42ed296a0a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DF79-3B2C-437C-9494-EAB995B3397A}">
  <sheetPr>
    <tabColor rgb="FF202124"/>
  </sheetPr>
  <dimension ref="B2:G24"/>
  <sheetViews>
    <sheetView showGridLines="0" topLeftCell="A2" workbookViewId="0">
      <selection activeCell="B3" sqref="B3"/>
    </sheetView>
  </sheetViews>
  <sheetFormatPr baseColWidth="10" defaultRowHeight="14.4" x14ac:dyDescent="0.3"/>
  <cols>
    <col min="1" max="1" width="3.33203125" customWidth="1"/>
    <col min="2" max="7" width="20.33203125" customWidth="1"/>
    <col min="8" max="8" width="3.33203125" customWidth="1"/>
  </cols>
  <sheetData>
    <row r="2" spans="2:7" ht="25.8" x14ac:dyDescent="0.5">
      <c r="B2" s="144" t="s">
        <v>1204</v>
      </c>
    </row>
    <row r="3" spans="2:7" x14ac:dyDescent="0.3">
      <c r="B3" s="145" t="str">
        <f>"Mes de control: "&amp;TEXT(Control!A4,"mmmm yyyy")</f>
        <v>Mes de control: julio 2026</v>
      </c>
    </row>
    <row r="5" spans="2:7" x14ac:dyDescent="0.3">
      <c r="B5" s="148" t="s">
        <v>1205</v>
      </c>
      <c r="C5" s="148" t="s">
        <v>1206</v>
      </c>
      <c r="D5" s="148" t="s">
        <v>1207</v>
      </c>
      <c r="E5" s="148" t="s">
        <v>1208</v>
      </c>
      <c r="F5" s="148" t="s">
        <v>1209</v>
      </c>
      <c r="G5" s="148" t="s">
        <v>1210</v>
      </c>
    </row>
    <row r="6" spans="2:7" ht="17.399999999999999" x14ac:dyDescent="0.35">
      <c r="B6" s="149">
        <f>Control!B48</f>
        <v>289671151.18000001</v>
      </c>
      <c r="C6" s="149">
        <f>Control!C48</f>
        <v>217692488.05000007</v>
      </c>
      <c r="D6" s="149">
        <f>Control!D48</f>
        <v>71978663.12999998</v>
      </c>
      <c r="E6" s="150">
        <f>Control!E48</f>
        <v>0.75151594200254757</v>
      </c>
      <c r="F6" s="149">
        <f>Control!H54</f>
        <v>675967053.18999994</v>
      </c>
      <c r="G6" s="149">
        <f>Control!H56</f>
        <v>-13.189999938011169</v>
      </c>
    </row>
    <row r="7" spans="2:7" x14ac:dyDescent="0.3">
      <c r="B7" s="146" t="s">
        <v>1240</v>
      </c>
      <c r="C7" s="146" t="s">
        <v>1241</v>
      </c>
      <c r="D7" s="146" t="s">
        <v>1242</v>
      </c>
    </row>
    <row r="8" spans="2:7" ht="17.399999999999999" x14ac:dyDescent="0.35">
      <c r="B8" s="199">
        <f>SUMIFS(TablaIngresos[[Valor]:[Valor]],TablaIngresos[[Mes]:[Mes]],Control!$A$4)</f>
        <v>78863402.310000002</v>
      </c>
      <c r="C8" s="199">
        <f>IFERROR(INDEX('Proyeccion ingresos'!$F$17:$AT$17,MATCH(Control!$A$4,'Proyeccion ingresos'!$F$1:$AT$1,0)),"")</f>
        <v>91413182.194499999</v>
      </c>
      <c r="D8" s="200">
        <f>IF(OR(C8="",C8=0),"",B8/C8)</f>
        <v>0.8627136745136188</v>
      </c>
    </row>
    <row r="9" spans="2:7" x14ac:dyDescent="0.3">
      <c r="B9" s="151" t="s">
        <v>1211</v>
      </c>
    </row>
    <row r="10" spans="2:7" x14ac:dyDescent="0.3">
      <c r="B10" s="147" t="s">
        <v>1212</v>
      </c>
      <c r="C10" s="147" t="s">
        <v>84</v>
      </c>
      <c r="D10" s="147" t="s">
        <v>85</v>
      </c>
      <c r="E10" s="147" t="s">
        <v>86</v>
      </c>
      <c r="F10" s="147" t="s">
        <v>1213</v>
      </c>
    </row>
    <row r="11" spans="2:7" x14ac:dyDescent="0.3">
      <c r="B11" s="152" t="s">
        <v>1214</v>
      </c>
      <c r="C11" s="33">
        <f>Control!B11</f>
        <v>2200000</v>
      </c>
      <c r="D11" s="33">
        <f>Control!C11</f>
        <v>10465679.98</v>
      </c>
      <c r="E11" s="33">
        <f>Control!D11</f>
        <v>-8265679.9800000004</v>
      </c>
      <c r="F11" s="11">
        <f>Control!E11</f>
        <v>4.757127263636364</v>
      </c>
    </row>
    <row r="12" spans="2:7" x14ac:dyDescent="0.3">
      <c r="B12" s="153" t="s">
        <v>1215</v>
      </c>
      <c r="C12" s="33">
        <f>Control!B24</f>
        <v>27500000</v>
      </c>
      <c r="D12" s="33">
        <f>Control!C24</f>
        <v>6365783.3799999999</v>
      </c>
      <c r="E12" s="33">
        <f>Control!D24</f>
        <v>21134216.620000001</v>
      </c>
      <c r="F12" s="11">
        <f>Control!E24</f>
        <v>0.23148303200000001</v>
      </c>
    </row>
    <row r="13" spans="2:7" x14ac:dyDescent="0.3">
      <c r="B13" s="154" t="s">
        <v>1216</v>
      </c>
      <c r="C13" s="33">
        <f>Control!B32</f>
        <v>167771151.18000001</v>
      </c>
      <c r="D13" s="33">
        <f>Control!C32</f>
        <v>149241428.35000002</v>
      </c>
      <c r="E13" s="33">
        <f>Control!D32</f>
        <v>18529722.829999991</v>
      </c>
      <c r="F13" s="11">
        <f>Control!E32</f>
        <v>0.88955358117487293</v>
      </c>
    </row>
    <row r="14" spans="2:7" x14ac:dyDescent="0.3">
      <c r="B14" s="155" t="s">
        <v>1217</v>
      </c>
      <c r="C14" s="33">
        <f>Control!B39</f>
        <v>73200000</v>
      </c>
      <c r="D14" s="33">
        <f>Control!C39</f>
        <v>36853260.730000004</v>
      </c>
      <c r="E14" s="33">
        <f>Control!D39</f>
        <v>36346739.269999996</v>
      </c>
      <c r="F14" s="11">
        <f>Control!E39</f>
        <v>0.50345984603825145</v>
      </c>
    </row>
    <row r="15" spans="2:7" x14ac:dyDescent="0.3">
      <c r="B15" s="156" t="s">
        <v>1218</v>
      </c>
      <c r="C15" s="33">
        <f>Control!B47</f>
        <v>19000000</v>
      </c>
      <c r="D15" s="33">
        <f>Control!C47</f>
        <v>14766335.609999999</v>
      </c>
      <c r="E15" s="33">
        <f>Control!D47</f>
        <v>4233664.3900000006</v>
      </c>
      <c r="F15" s="11">
        <f>Control!E47</f>
        <v>0.77717555842105257</v>
      </c>
    </row>
    <row r="16" spans="2:7" x14ac:dyDescent="0.3">
      <c r="B16" s="157" t="s">
        <v>96</v>
      </c>
      <c r="C16" s="158">
        <f>Control!B48</f>
        <v>289671151.18000001</v>
      </c>
      <c r="D16" s="158">
        <f>Control!C48</f>
        <v>217692488.05000007</v>
      </c>
      <c r="E16" s="158">
        <f>Control!D48</f>
        <v>71978663.12999998</v>
      </c>
      <c r="F16" s="159">
        <f>Control!E48</f>
        <v>0.75151594200254757</v>
      </c>
    </row>
    <row r="19" spans="2:6" x14ac:dyDescent="0.3">
      <c r="B19" s="5" t="s">
        <v>1219</v>
      </c>
    </row>
    <row r="20" spans="2:6" x14ac:dyDescent="0.3">
      <c r="B20" s="145" t="s">
        <v>1220</v>
      </c>
      <c r="C20" s="160">
        <f>COUNTIF(TablaEgresos[Categoría],"Por clasificar")</f>
        <v>72</v>
      </c>
    </row>
    <row r="21" spans="2:6" x14ac:dyDescent="0.3">
      <c r="B21" s="145" t="s">
        <v>1221</v>
      </c>
      <c r="C21" s="161">
        <f>SUMIF(TablaEgresos[Categoría],"Por clasificar",TablaEgresos[Valor])</f>
        <v>74512397.789999992</v>
      </c>
    </row>
    <row r="24" spans="2:6" x14ac:dyDescent="0.3">
      <c r="B24" s="5" t="s">
        <v>1222</v>
      </c>
      <c r="C24" s="162" t="s">
        <v>1223</v>
      </c>
      <c r="D24" s="162" t="s">
        <v>84</v>
      </c>
      <c r="E24" s="162" t="s">
        <v>1224</v>
      </c>
      <c r="F24" s="162" t="s">
        <v>1225</v>
      </c>
    </row>
  </sheetData>
  <hyperlinks>
    <hyperlink ref="C24" location="Control!A1" display="Control" xr:uid="{264A4C4B-5ABA-4B4D-897B-3FF4B24941E0}"/>
    <hyperlink ref="D24" location="Presupuesto!A1" display="Presupuesto" xr:uid="{9F4FE4BB-A5A5-4A25-96EC-7A12386CF8B5}"/>
    <hyperlink ref="E24" location="'Base real egresos'!A1" display="Egresos" xr:uid="{2B795CE2-F8D9-45A5-8227-CD3D2B7A5C0E}"/>
    <hyperlink ref="F24" location="'Base real ingresos'!A1" display="Ingresos" xr:uid="{7341A616-B15D-40A5-8EE7-F4ADC2E7656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E1E29-9DB4-4B0A-99EF-85407CED99AF}">
  <sheetPr>
    <tabColor rgb="FF1A73E8"/>
  </sheetPr>
  <dimension ref="A1:P72"/>
  <sheetViews>
    <sheetView showGridLines="0" workbookViewId="0">
      <pane xSplit="1" ySplit="6" topLeftCell="B32" activePane="bottomRight" state="frozen"/>
      <selection pane="topRight" activeCell="B1" sqref="B1"/>
      <selection pane="bottomLeft" activeCell="A7" sqref="A7"/>
      <selection pane="bottomRight" activeCell="G38" sqref="G38"/>
    </sheetView>
  </sheetViews>
  <sheetFormatPr baseColWidth="10" defaultRowHeight="14.4" outlineLevelRow="1" outlineLevelCol="1" x14ac:dyDescent="0.3"/>
  <cols>
    <col min="1" max="1" width="38.88671875" customWidth="1"/>
    <col min="2" max="6" width="17.5546875" customWidth="1"/>
    <col min="7" max="7" width="33.33203125" customWidth="1"/>
    <col min="8" max="8" width="20.33203125" customWidth="1"/>
    <col min="9" max="9" width="16.6640625" customWidth="1"/>
    <col min="10" max="10" width="13" customWidth="1"/>
    <col min="11" max="11" width="20.33203125" customWidth="1"/>
    <col min="12" max="12" width="16.6640625" customWidth="1"/>
    <col min="13" max="13" width="16.6640625" hidden="1" customWidth="1" outlineLevel="1"/>
    <col min="14" max="15" width="0" hidden="1" customWidth="1" outlineLevel="1"/>
    <col min="16" max="16" width="11.5546875" collapsed="1"/>
  </cols>
  <sheetData>
    <row r="1" spans="1:15" ht="23.4" x14ac:dyDescent="0.45">
      <c r="A1" s="40" t="s">
        <v>83</v>
      </c>
    </row>
    <row r="3" spans="1:15" x14ac:dyDescent="0.3">
      <c r="A3" s="41" t="s">
        <v>412</v>
      </c>
      <c r="B3" s="41" t="s">
        <v>413</v>
      </c>
      <c r="C3" s="41" t="s">
        <v>85</v>
      </c>
      <c r="D3" s="41" t="s">
        <v>86</v>
      </c>
      <c r="E3" s="41" t="s">
        <v>87</v>
      </c>
      <c r="F3" s="41" t="s">
        <v>418</v>
      </c>
    </row>
    <row r="4" spans="1:15" ht="17.399999999999999" x14ac:dyDescent="0.35">
      <c r="A4" s="44">
        <v>46204</v>
      </c>
      <c r="B4" s="42">
        <f>B48</f>
        <v>289671151.18000001</v>
      </c>
      <c r="C4" s="42">
        <f>C48</f>
        <v>217692488.05000007</v>
      </c>
      <c r="D4" s="42">
        <f>D48</f>
        <v>71978663.12999998</v>
      </c>
      <c r="E4" s="43">
        <f>E48</f>
        <v>0.75151594200254757</v>
      </c>
      <c r="F4" s="42">
        <f>H54</f>
        <v>675967053.18999994</v>
      </c>
    </row>
    <row r="6" spans="1:15" ht="15" thickBot="1" x14ac:dyDescent="0.35">
      <c r="A6" s="45" t="s">
        <v>73</v>
      </c>
      <c r="B6" s="46" t="s">
        <v>84</v>
      </c>
      <c r="C6" s="46" t="s">
        <v>85</v>
      </c>
      <c r="D6" s="46" t="s">
        <v>86</v>
      </c>
      <c r="E6" s="47" t="s">
        <v>87</v>
      </c>
      <c r="M6" s="163" t="s">
        <v>1212</v>
      </c>
      <c r="N6" s="163" t="s">
        <v>84</v>
      </c>
      <c r="O6" s="163" t="s">
        <v>85</v>
      </c>
    </row>
    <row r="7" spans="1:15" x14ac:dyDescent="0.3">
      <c r="A7" s="48" t="s">
        <v>1201</v>
      </c>
      <c r="B7" s="49"/>
      <c r="C7" s="49"/>
      <c r="D7" s="49"/>
      <c r="E7" s="50"/>
      <c r="M7" s="163" t="s">
        <v>1226</v>
      </c>
      <c r="N7" s="163">
        <f>B11</f>
        <v>2200000</v>
      </c>
      <c r="O7" s="163">
        <f>C11</f>
        <v>10465679.98</v>
      </c>
    </row>
    <row r="8" spans="1:15" outlineLevel="1" x14ac:dyDescent="0.3">
      <c r="A8" s="51" t="s">
        <v>1187</v>
      </c>
      <c r="B8" s="52">
        <f>IFERROR(INDEX(Presupuesto!$F$7:$CO$46,MATCH($A8,Presupuesto!$A$7:$A$46,0),MATCH($A$4,Presupuesto!$F$4:$CO$4,0)),0)</f>
        <v>0</v>
      </c>
      <c r="C8" s="52">
        <f>SUMIFS(TablaEgresos[Valor],TablaEgresos[Categoría],$A8,TablaEgresos[Mes],$A$4)</f>
        <v>0</v>
      </c>
      <c r="D8" s="52">
        <f t="shared" ref="D8:D10" si="0">B8-C8</f>
        <v>0</v>
      </c>
      <c r="E8" s="53" t="str">
        <f t="shared" ref="E8:E10" si="1">IF(B8=0,"",C8/B8)</f>
        <v/>
      </c>
      <c r="M8" s="163" t="s">
        <v>1215</v>
      </c>
      <c r="N8" s="163">
        <f>B24</f>
        <v>27500000</v>
      </c>
      <c r="O8" s="163">
        <f>C24</f>
        <v>6365783.3799999999</v>
      </c>
    </row>
    <row r="9" spans="1:15" outlineLevel="1" x14ac:dyDescent="0.3">
      <c r="A9" s="51" t="s">
        <v>1185</v>
      </c>
      <c r="B9" s="52">
        <f>IFERROR(INDEX(Presupuesto!$F$7:$CO$46,MATCH($A9,Presupuesto!$A$7:$A$46,0),MATCH($A$4,Presupuesto!$F$4:$CO$4,0)),0)</f>
        <v>0</v>
      </c>
      <c r="C9" s="52">
        <f>SUMIFS(TablaEgresos[Valor],TablaEgresos[Categoría],$A9,TablaEgresos[Mes],$A$4)</f>
        <v>10465679.98</v>
      </c>
      <c r="D9" s="52">
        <f t="shared" si="0"/>
        <v>-10465679.98</v>
      </c>
      <c r="E9" s="53" t="str">
        <f t="shared" si="1"/>
        <v/>
      </c>
      <c r="M9" s="163" t="s">
        <v>1216</v>
      </c>
      <c r="N9" s="163">
        <f>B32</f>
        <v>167771151.18000001</v>
      </c>
      <c r="O9" s="163">
        <f>C32</f>
        <v>149241428.35000002</v>
      </c>
    </row>
    <row r="10" spans="1:15" outlineLevel="1" x14ac:dyDescent="0.3">
      <c r="A10" s="51" t="s">
        <v>1202</v>
      </c>
      <c r="B10" s="52">
        <f>IFERROR(INDEX(Presupuesto!$F$7:$CO$46,MATCH($A10,Presupuesto!$A$7:$A$46,0),MATCH($A$4,Presupuesto!$F$4:$CO$4,0)),0)</f>
        <v>2200000</v>
      </c>
      <c r="C10" s="52">
        <f>SUMIFS(TablaEgresos[Valor],TablaEgresos[Categoría],$A10,TablaEgresos[Mes],$A$4)</f>
        <v>0</v>
      </c>
      <c r="D10" s="52">
        <f t="shared" si="0"/>
        <v>2200000</v>
      </c>
      <c r="E10" s="53">
        <f t="shared" si="1"/>
        <v>0</v>
      </c>
      <c r="M10" s="163" t="s">
        <v>1227</v>
      </c>
      <c r="N10" s="163">
        <f>B39</f>
        <v>73200000</v>
      </c>
      <c r="O10" s="163">
        <f>C39</f>
        <v>36853260.730000004</v>
      </c>
    </row>
    <row r="11" spans="1:15" x14ac:dyDescent="0.3">
      <c r="A11" s="54" t="s">
        <v>1203</v>
      </c>
      <c r="B11" s="55">
        <f>SUM(B8:B10)</f>
        <v>2200000</v>
      </c>
      <c r="C11" s="55">
        <f>SUM(C8:C10)</f>
        <v>10465679.98</v>
      </c>
      <c r="D11" s="55">
        <f>SUM(D8:D10)</f>
        <v>-8265679.9800000004</v>
      </c>
      <c r="E11" s="56">
        <f>IF(B11=0,"",C11/B11)</f>
        <v>4.757127263636364</v>
      </c>
      <c r="M11" s="163" t="s">
        <v>25</v>
      </c>
      <c r="N11" s="163">
        <f>B47</f>
        <v>19000000</v>
      </c>
      <c r="O11" s="163">
        <f>C47</f>
        <v>14766335.609999999</v>
      </c>
    </row>
    <row r="12" spans="1:15" x14ac:dyDescent="0.3">
      <c r="A12" s="57" t="s">
        <v>403</v>
      </c>
      <c r="B12" s="58"/>
      <c r="C12" s="58"/>
      <c r="D12" s="58"/>
      <c r="E12" s="59"/>
      <c r="M12" s="163"/>
      <c r="N12" s="163"/>
      <c r="O12" s="163"/>
    </row>
    <row r="13" spans="1:15" outlineLevel="1" x14ac:dyDescent="0.3">
      <c r="A13" s="51" t="s">
        <v>18</v>
      </c>
      <c r="B13" s="52">
        <f>IFERROR(INDEX(Presupuesto!$F$7:$CO$46,MATCH($A13,Presupuesto!$A$7:$A$46,0),MATCH($A$4,Presupuesto!$F$4:$CO$4,0)),0)</f>
        <v>8000000</v>
      </c>
      <c r="C13" s="52">
        <f>SUMIFS(TablaEgresos[Valor],TablaEgresos[Categoría],$A13,TablaEgresos[Mes],$A$4)</f>
        <v>0</v>
      </c>
      <c r="D13" s="52">
        <f>B13-C13</f>
        <v>8000000</v>
      </c>
      <c r="E13" s="53">
        <f>IF(B13=0,"",C13/B13)</f>
        <v>0</v>
      </c>
      <c r="M13" s="163"/>
      <c r="N13" s="163"/>
      <c r="O13" s="163"/>
    </row>
    <row r="14" spans="1:15" outlineLevel="1" x14ac:dyDescent="0.3">
      <c r="A14" s="51" t="s">
        <v>80</v>
      </c>
      <c r="B14" s="52">
        <f>IFERROR(INDEX(Presupuesto!$F$7:$CO$46,MATCH($A14,Presupuesto!$A$7:$A$46,0),MATCH($A$4,Presupuesto!$F$4:$CO$4,0)),0)</f>
        <v>4000000</v>
      </c>
      <c r="C14" s="52">
        <f>SUMIFS(TablaEgresos[Valor],TablaEgresos[Categoría],$A14,TablaEgresos[Mes],$A$4)</f>
        <v>4808607.42</v>
      </c>
      <c r="D14" s="52">
        <f t="shared" ref="D14:D23" si="2">B14-C14</f>
        <v>-808607.41999999993</v>
      </c>
      <c r="E14" s="53">
        <f t="shared" ref="E14:E23" si="3">IF(B14=0,"",C14/B14)</f>
        <v>1.2021518549999999</v>
      </c>
      <c r="M14" s="163" t="s">
        <v>75</v>
      </c>
      <c r="N14" s="163" t="s">
        <v>1228</v>
      </c>
      <c r="O14" s="163"/>
    </row>
    <row r="15" spans="1:15" outlineLevel="1" x14ac:dyDescent="0.3">
      <c r="A15" s="51" t="s">
        <v>340</v>
      </c>
      <c r="B15" s="52">
        <f>IFERROR(INDEX(Presupuesto!$F$7:$CO$46,MATCH($A15,Presupuesto!$A$7:$A$46,0),MATCH($A$4,Presupuesto!$F$4:$CO$4,0)),0)</f>
        <v>0</v>
      </c>
      <c r="C15" s="52">
        <f>SUMIFS(TablaEgresos[Valor],TablaEgresos[Categoría],$A15,TablaEgresos[Mes],$A$4)</f>
        <v>71100</v>
      </c>
      <c r="D15" s="52">
        <f t="shared" si="2"/>
        <v>-71100</v>
      </c>
      <c r="E15" s="53" t="str">
        <f t="shared" si="3"/>
        <v/>
      </c>
      <c r="M15" s="164">
        <f>J51</f>
        <v>46082</v>
      </c>
      <c r="N15" s="163">
        <f>SUMIFS(TablaIngresos[Valor],TablaIngresos[Mes],"&lt;="&amp;$M15)-SUMIFS(TablaEgresos[Valor],TablaEgresos[Mes],"&lt;="&amp;$M15)</f>
        <v>1241164.0999999996</v>
      </c>
      <c r="O15" s="163"/>
    </row>
    <row r="16" spans="1:15" outlineLevel="1" x14ac:dyDescent="0.3">
      <c r="A16" s="51" t="s">
        <v>88</v>
      </c>
      <c r="B16" s="52">
        <f>IFERROR(INDEX(Presupuesto!$F$7:$CO$46,MATCH($A16,Presupuesto!$A$7:$A$46,0),MATCH($A$4,Presupuesto!$F$4:$CO$4,0)),0)</f>
        <v>900000</v>
      </c>
      <c r="C16" s="52">
        <f>SUMIFS(TablaEgresos[Valor],TablaEgresos[Categoría],$A16,TablaEgresos[Mes],$A$4)</f>
        <v>0</v>
      </c>
      <c r="D16" s="52">
        <f t="shared" si="2"/>
        <v>900000</v>
      </c>
      <c r="E16" s="53">
        <f t="shared" si="3"/>
        <v>0</v>
      </c>
      <c r="M16" s="164">
        <f>J52</f>
        <v>46113</v>
      </c>
      <c r="N16" s="163">
        <f>SUMIFS(TablaIngresos[Valor],TablaIngresos[Mes],"&lt;="&amp;$M16)-SUMIFS(TablaEgresos[Valor],TablaEgresos[Mes],"&lt;="&amp;$M16)</f>
        <v>21955334.509999931</v>
      </c>
      <c r="O16" s="163"/>
    </row>
    <row r="17" spans="1:15" outlineLevel="1" x14ac:dyDescent="0.3">
      <c r="A17" s="51" t="s">
        <v>81</v>
      </c>
      <c r="B17" s="52">
        <f>IFERROR(INDEX(Presupuesto!$F$7:$CO$46,MATCH($A17,Presupuesto!$A$7:$A$46,0),MATCH($A$4,Presupuesto!$F$4:$CO$4,0)),0)</f>
        <v>600000</v>
      </c>
      <c r="C17" s="52">
        <f>SUMIFS(TablaEgresos[Valor],TablaEgresos[Categoría],$A17,TablaEgresos[Mes],$A$4)</f>
        <v>106278</v>
      </c>
      <c r="D17" s="52">
        <f t="shared" si="2"/>
        <v>493722</v>
      </c>
      <c r="E17" s="53">
        <f t="shared" si="3"/>
        <v>0.17713000000000001</v>
      </c>
      <c r="M17" s="164">
        <f>J53</f>
        <v>46143</v>
      </c>
      <c r="N17" s="163">
        <f>SUMIFS(TablaIngresos[Valor],TablaIngresos[Mes],"&lt;="&amp;$M17)-SUMIFS(TablaEgresos[Valor],TablaEgresos[Mes],"&lt;="&amp;$M17)</f>
        <v>7358445.7299998403</v>
      </c>
      <c r="O17" s="163"/>
    </row>
    <row r="18" spans="1:15" outlineLevel="1" x14ac:dyDescent="0.3">
      <c r="A18" s="51" t="s">
        <v>1188</v>
      </c>
      <c r="B18" s="52">
        <f>IFERROR(INDEX(Presupuesto!$F$7:$CO$46,MATCH($A18,Presupuesto!$A$7:$A$46,0),MATCH($A$4,Presupuesto!$F$4:$CO$4,0)),0)</f>
        <v>500000</v>
      </c>
      <c r="C18" s="52">
        <f>SUMIFS(TablaEgresos[Valor],TablaEgresos[Categoría],$A18,TablaEgresos[Mes],$A$4)</f>
        <v>176200</v>
      </c>
      <c r="D18" s="52">
        <f t="shared" si="2"/>
        <v>323800</v>
      </c>
      <c r="E18" s="53">
        <f t="shared" si="3"/>
        <v>0.35239999999999999</v>
      </c>
      <c r="M18" s="164">
        <f>J54</f>
        <v>46174</v>
      </c>
      <c r="N18" s="163">
        <f>SUMIFS(TablaIngresos[Valor],TablaIngresos[Mes],"&lt;="&amp;$M18)-SUMIFS(TablaEgresos[Valor],TablaEgresos[Mes],"&lt;="&amp;$M18)</f>
        <v>814796138.92999995</v>
      </c>
      <c r="O18" s="163"/>
    </row>
    <row r="19" spans="1:15" outlineLevel="1" x14ac:dyDescent="0.3">
      <c r="A19" s="51" t="s">
        <v>77</v>
      </c>
      <c r="B19" s="52">
        <f>IFERROR(INDEX(Presupuesto!$F$7:$CO$46,MATCH($A19,Presupuesto!$A$7:$A$46,0),MATCH($A$4,Presupuesto!$F$4:$CO$4,0)),0)</f>
        <v>1500000</v>
      </c>
      <c r="C19" s="52">
        <f>SUMIFS(TablaEgresos[Valor],TablaEgresos[Categoría],$A19,TablaEgresos[Mes],$A$4)</f>
        <v>1203597.96</v>
      </c>
      <c r="D19" s="52">
        <f t="shared" si="2"/>
        <v>296402.04000000004</v>
      </c>
      <c r="E19" s="53">
        <f t="shared" si="3"/>
        <v>0.80239863999999994</v>
      </c>
      <c r="M19" s="164">
        <f>J55</f>
        <v>46204</v>
      </c>
      <c r="N19" s="163">
        <f>SUMIFS(TablaIngresos[Valor],TablaIngresos[Mes],"&lt;="&amp;$M19)-SUMIFS(TablaEgresos[Valor],TablaEgresos[Mes],"&lt;="&amp;$M19)</f>
        <v>675967053.19000006</v>
      </c>
      <c r="O19" s="163"/>
    </row>
    <row r="20" spans="1:15" outlineLevel="1" x14ac:dyDescent="0.3">
      <c r="A20" s="51" t="s">
        <v>1177</v>
      </c>
      <c r="B20" s="52">
        <f>IFERROR(INDEX(Presupuesto!$F$7:$CO$46,MATCH($A20,Presupuesto!$A$7:$A$46,0),MATCH($A$4,Presupuesto!$F$4:$CO$4,0)),0)</f>
        <v>0</v>
      </c>
      <c r="C20" s="52">
        <f>SUMIFS(TablaEgresos[Valor],TablaEgresos[Categoría],$A20,TablaEgresos[Mes],$A$4)</f>
        <v>0</v>
      </c>
      <c r="D20" s="52">
        <f t="shared" ref="D20" si="4">B20-C20</f>
        <v>0</v>
      </c>
      <c r="E20" s="53" t="str">
        <f t="shared" ref="E20" si="5">IF(B20=0,"",C20/B20)</f>
        <v/>
      </c>
    </row>
    <row r="21" spans="1:15" outlineLevel="1" x14ac:dyDescent="0.3">
      <c r="A21" s="51" t="s">
        <v>1178</v>
      </c>
      <c r="B21" s="52">
        <f>IFERROR(INDEX(Presupuesto!$F$7:$CO$46,MATCH($A21,Presupuesto!$A$7:$A$46,0),MATCH($A$4,Presupuesto!$F$4:$CO$4,0)),0)</f>
        <v>0</v>
      </c>
      <c r="C21" s="52">
        <f>SUMIFS(TablaEgresos[Valor],TablaEgresos[Categoría],$A21,TablaEgresos[Mes],$A$4)</f>
        <v>0</v>
      </c>
      <c r="D21" s="52">
        <f t="shared" ref="D21" si="6">B21-C21</f>
        <v>0</v>
      </c>
      <c r="E21" s="53" t="str">
        <f t="shared" ref="E21" si="7">IF(B21=0,"",C21/B21)</f>
        <v/>
      </c>
    </row>
    <row r="22" spans="1:15" outlineLevel="1" x14ac:dyDescent="0.3">
      <c r="A22" s="51" t="s">
        <v>1182</v>
      </c>
      <c r="B22" s="52">
        <f>IFERROR(INDEX(Presupuesto!$F$7:$CO$46,MATCH($A22,Presupuesto!$A$7:$A$46,0),MATCH($A$4,Presupuesto!$F$4:$CO$4,0)),0)</f>
        <v>0</v>
      </c>
      <c r="C22" s="52">
        <f>SUMIFS(TablaEgresos[Valor],TablaEgresos[Categoría],$A22,TablaEgresos[Mes],$A$4)</f>
        <v>0</v>
      </c>
      <c r="D22" s="52">
        <f t="shared" ref="D22" si="8">B22-C22</f>
        <v>0</v>
      </c>
      <c r="E22" s="53" t="str">
        <f t="shared" ref="E22" si="9">IF(B22=0,"",C22/B22)</f>
        <v/>
      </c>
    </row>
    <row r="23" spans="1:15" outlineLevel="1" x14ac:dyDescent="0.3">
      <c r="A23" s="51" t="s">
        <v>94</v>
      </c>
      <c r="B23" s="52">
        <f>IFERROR(INDEX(Presupuesto!$F$7:$CO$46,MATCH($A23,Presupuesto!$A$7:$A$46,0),MATCH($A$4,Presupuesto!$F$4:$CO$4,0)),0)</f>
        <v>12000000</v>
      </c>
      <c r="C23" s="52">
        <f>SUMIFS(TablaEgresos[Valor],TablaEgresos[Categoría],$A23,TablaEgresos[Mes],$A$4)</f>
        <v>0</v>
      </c>
      <c r="D23" s="52">
        <f t="shared" si="2"/>
        <v>12000000</v>
      </c>
      <c r="E23" s="53">
        <f t="shared" si="3"/>
        <v>0</v>
      </c>
    </row>
    <row r="24" spans="1:15" x14ac:dyDescent="0.3">
      <c r="A24" s="60" t="s">
        <v>404</v>
      </c>
      <c r="B24" s="61">
        <f>SUM(B13:B23)</f>
        <v>27500000</v>
      </c>
      <c r="C24" s="61">
        <f>SUM(C13:C23)</f>
        <v>6365783.3799999999</v>
      </c>
      <c r="D24" s="61">
        <f>SUM(D13:D23)</f>
        <v>21134216.620000001</v>
      </c>
      <c r="E24" s="62">
        <f>IF(B24=0,"",C24/B24)</f>
        <v>0.23148303200000001</v>
      </c>
    </row>
    <row r="25" spans="1:15" x14ac:dyDescent="0.3">
      <c r="A25" s="63" t="s">
        <v>405</v>
      </c>
      <c r="B25" s="64"/>
      <c r="C25" s="64"/>
      <c r="D25" s="64"/>
      <c r="E25" s="65"/>
    </row>
    <row r="26" spans="1:15" outlineLevel="1" x14ac:dyDescent="0.3">
      <c r="A26" s="51" t="s">
        <v>82</v>
      </c>
      <c r="B26" s="52">
        <f>IFERROR(INDEX(Presupuesto!$F$7:$CO$46,MATCH($A26,Presupuesto!$A$7:$A$46,0),MATCH($A$4,Presupuesto!$F$4:$CO$4,0)),0)</f>
        <v>10000000</v>
      </c>
      <c r="C26" s="52">
        <f>SUMIFS(TablaEgresos[Valor],TablaEgresos[Categoría],$A26,TablaEgresos[Mes],$A$4)</f>
        <v>9656272.7599999998</v>
      </c>
      <c r="D26" s="52">
        <f t="shared" ref="D26:D31" si="10">B26-C26</f>
        <v>343727.24000000022</v>
      </c>
      <c r="E26" s="53">
        <f t="shared" ref="E26:E31" si="11">IF(B26=0,"",C26/B26)</f>
        <v>0.96562727599999998</v>
      </c>
    </row>
    <row r="27" spans="1:15" outlineLevel="1" x14ac:dyDescent="0.3">
      <c r="A27" s="51" t="s">
        <v>79</v>
      </c>
      <c r="B27" s="52">
        <f>IFERROR(INDEX(Presupuesto!$F$7:$CO$46,MATCH($A27,Presupuesto!$A$7:$A$46,0),MATCH($A$4,Presupuesto!$F$4:$CO$4,0)),0)</f>
        <v>36791951.18</v>
      </c>
      <c r="C27" s="52">
        <f>SUMIFS(TablaEgresos[Valor],TablaEgresos[Categoría],$A27,TablaEgresos[Mes],$A$4)</f>
        <v>20291951.18</v>
      </c>
      <c r="D27" s="52">
        <f t="shared" si="10"/>
        <v>16500000</v>
      </c>
      <c r="E27" s="53">
        <f t="shared" si="11"/>
        <v>0.5515323468636979</v>
      </c>
    </row>
    <row r="28" spans="1:15" outlineLevel="1" x14ac:dyDescent="0.3">
      <c r="A28" s="51" t="s">
        <v>97</v>
      </c>
      <c r="B28" s="52">
        <f>IFERROR(INDEX(Presupuesto!$F$7:$CO$46,MATCH($A28,Presupuesto!$A$7:$A$46,0),MATCH($A$4,Presupuesto!$F$4:$CO$4,0)),0)</f>
        <v>82000000</v>
      </c>
      <c r="C28" s="52">
        <f>SUMIFS(TablaEgresos[Valor],TablaEgresos[Categoría],$A28,TablaEgresos[Mes],$A$4)</f>
        <v>80314004.410000011</v>
      </c>
      <c r="D28" s="52">
        <f t="shared" si="10"/>
        <v>1685995.5899999887</v>
      </c>
      <c r="E28" s="53">
        <f t="shared" si="11"/>
        <v>0.97943907817073184</v>
      </c>
    </row>
    <row r="29" spans="1:15" outlineLevel="1" x14ac:dyDescent="0.3">
      <c r="A29" s="51" t="s">
        <v>1183</v>
      </c>
      <c r="B29" s="52">
        <f>IFERROR(INDEX(Presupuesto!$F$7:$CO$46,MATCH($A29,Presupuesto!$A$7:$A$46,0),MATCH($A$4,Presupuesto!$F$4:$CO$4,0)),0)</f>
        <v>0</v>
      </c>
      <c r="C29" s="52">
        <f>SUMIFS(TablaEgresos[Valor],TablaEgresos[Categoría],$A29,TablaEgresos[Mes],$A$4)</f>
        <v>0</v>
      </c>
      <c r="D29" s="52">
        <f t="shared" ref="D29" si="12">B29-C29</f>
        <v>0</v>
      </c>
      <c r="E29" s="53" t="str">
        <f t="shared" ref="E29" si="13">IF(B29=0,"",C29/B29)</f>
        <v/>
      </c>
    </row>
    <row r="30" spans="1:15" outlineLevel="1" x14ac:dyDescent="0.3">
      <c r="A30" s="51" t="s">
        <v>92</v>
      </c>
      <c r="B30" s="52">
        <f>IFERROR(INDEX(Presupuesto!$F$7:$CO$46,MATCH($A30,Presupuesto!$A$7:$A$46,0),MATCH($A$4,Presupuesto!$F$4:$CO$4,0)),0)</f>
        <v>0</v>
      </c>
      <c r="C30" s="52">
        <f>SUMIFS(TablaEgresos[Valor],TablaEgresos[Categoría],$A30,TablaEgresos[Mes],$A$4)</f>
        <v>0</v>
      </c>
      <c r="D30" s="52">
        <f t="shared" si="10"/>
        <v>0</v>
      </c>
      <c r="E30" s="53" t="str">
        <f t="shared" si="11"/>
        <v/>
      </c>
    </row>
    <row r="31" spans="1:15" outlineLevel="1" x14ac:dyDescent="0.3">
      <c r="A31" s="51" t="s">
        <v>93</v>
      </c>
      <c r="B31" s="52">
        <f>IFERROR(INDEX(Presupuesto!$F$7:$CO$46,MATCH($A31,Presupuesto!$A$7:$A$46,0),MATCH($A$4,Presupuesto!$F$4:$CO$4,0)),0)</f>
        <v>38979200</v>
      </c>
      <c r="C31" s="52">
        <f>SUMIFS(TablaEgresos[Valor],TablaEgresos[Categoría],$A31,TablaEgresos[Mes],$A$4)</f>
        <v>38979200</v>
      </c>
      <c r="D31" s="52">
        <f t="shared" si="10"/>
        <v>0</v>
      </c>
      <c r="E31" s="53">
        <f t="shared" si="11"/>
        <v>1</v>
      </c>
    </row>
    <row r="32" spans="1:15" x14ac:dyDescent="0.3">
      <c r="A32" s="66" t="s">
        <v>406</v>
      </c>
      <c r="B32" s="67">
        <f>SUM(B26:B31)</f>
        <v>167771151.18000001</v>
      </c>
      <c r="C32" s="67">
        <f>SUM(C26:C31)</f>
        <v>149241428.35000002</v>
      </c>
      <c r="D32" s="67">
        <f>SUM(D26:D31)</f>
        <v>18529722.829999991</v>
      </c>
      <c r="E32" s="68">
        <f>IF(B32=0,"",C32/B32)</f>
        <v>0.88955358117487293</v>
      </c>
    </row>
    <row r="33" spans="1:5" x14ac:dyDescent="0.3">
      <c r="A33" s="69" t="s">
        <v>407</v>
      </c>
      <c r="B33" s="70"/>
      <c r="C33" s="70"/>
      <c r="D33" s="70"/>
      <c r="E33" s="71"/>
    </row>
    <row r="34" spans="1:5" outlineLevel="1" x14ac:dyDescent="0.3">
      <c r="A34" s="51" t="s">
        <v>1186</v>
      </c>
      <c r="B34" s="52">
        <f>IFERROR(INDEX(Presupuesto!$F$7:$CO$46,MATCH($A34,Presupuesto!$A$7:$A$46,0),MATCH($A$4,Presupuesto!$F$4:$CO$4,0)),0)</f>
        <v>21000000</v>
      </c>
      <c r="C34" s="52">
        <f>SUMIFS(TablaEgresos[Valor],TablaEgresos[Categoría],$A34,TablaEgresos[Mes],$A$4)</f>
        <v>17653260.960000001</v>
      </c>
      <c r="D34" s="52">
        <f t="shared" ref="D34:D38" si="14">B34-C34</f>
        <v>3346739.0399999991</v>
      </c>
      <c r="E34" s="53">
        <f t="shared" ref="E34:E38" si="15">IF(B34=0,"",C34/B34)</f>
        <v>0.84063147428571428</v>
      </c>
    </row>
    <row r="35" spans="1:5" outlineLevel="1" x14ac:dyDescent="0.3">
      <c r="A35" s="51" t="s">
        <v>98</v>
      </c>
      <c r="B35" s="52">
        <f>IFERROR(INDEX(Presupuesto!$F$7:$CO$46,MATCH($A35,Presupuesto!$A$7:$A$46,0),MATCH($A$4,Presupuesto!$F$4:$CO$4,0)),0)</f>
        <v>9200000</v>
      </c>
      <c r="C35" s="52">
        <f>SUMIFS(TablaEgresos[Valor],TablaEgresos[Categoría],$A35,TablaEgresos[Mes],$A$4)</f>
        <v>9200000</v>
      </c>
      <c r="D35" s="52">
        <f t="shared" si="14"/>
        <v>0</v>
      </c>
      <c r="E35" s="53">
        <f t="shared" si="15"/>
        <v>1</v>
      </c>
    </row>
    <row r="36" spans="1:5" outlineLevel="1" x14ac:dyDescent="0.3">
      <c r="A36" s="51" t="s">
        <v>89</v>
      </c>
      <c r="B36" s="52">
        <f>IFERROR(INDEX(Presupuesto!$F$7:$CO$46,MATCH($A36,Presupuesto!$A$7:$A$46,0),MATCH($A$4,Presupuesto!$F$4:$CO$4,0)),0)</f>
        <v>14000000</v>
      </c>
      <c r="C36" s="52">
        <f>SUMIFS(TablaEgresos[Valor],TablaEgresos[Categoría],$A36,TablaEgresos[Mes],$A$4)</f>
        <v>0</v>
      </c>
      <c r="D36" s="52">
        <f t="shared" si="14"/>
        <v>14000000</v>
      </c>
      <c r="E36" s="53">
        <f t="shared" si="15"/>
        <v>0</v>
      </c>
    </row>
    <row r="37" spans="1:5" outlineLevel="1" x14ac:dyDescent="0.3">
      <c r="A37" s="51" t="s">
        <v>90</v>
      </c>
      <c r="B37" s="52">
        <f>IFERROR(INDEX(Presupuesto!$F$7:$CO$46,MATCH($A37,Presupuesto!$A$7:$A$46,0),MATCH($A$4,Presupuesto!$F$4:$CO$4,0)),0)</f>
        <v>9000000</v>
      </c>
      <c r="C37" s="52">
        <f>SUMIFS(TablaEgresos[Valor],TablaEgresos[Categoría],$A37,TablaEgresos[Mes],$A$4)</f>
        <v>0</v>
      </c>
      <c r="D37" s="52">
        <f t="shared" si="14"/>
        <v>9000000</v>
      </c>
      <c r="E37" s="53">
        <f t="shared" si="15"/>
        <v>0</v>
      </c>
    </row>
    <row r="38" spans="1:5" outlineLevel="1" x14ac:dyDescent="0.3">
      <c r="A38" s="51" t="s">
        <v>91</v>
      </c>
      <c r="B38" s="52">
        <f>IFERROR(INDEX(Presupuesto!$F$7:$CO$46,MATCH($A38,Presupuesto!$A$7:$A$46,0),MATCH($A$4,Presupuesto!$F$4:$CO$4,0)),0)</f>
        <v>20000000</v>
      </c>
      <c r="C38" s="52">
        <f>SUMIFS(TablaEgresos[Valor],TablaEgresos[Categoría],$A38,TablaEgresos[Mes],$A$4)</f>
        <v>9999999.7699999996</v>
      </c>
      <c r="D38" s="52">
        <f t="shared" si="14"/>
        <v>10000000.23</v>
      </c>
      <c r="E38" s="53">
        <f t="shared" si="15"/>
        <v>0.49999998849999999</v>
      </c>
    </row>
    <row r="39" spans="1:5" x14ac:dyDescent="0.3">
      <c r="A39" s="72" t="s">
        <v>408</v>
      </c>
      <c r="B39" s="73">
        <f>SUM(B34:B38)</f>
        <v>73200000</v>
      </c>
      <c r="C39" s="73">
        <f>SUM(C34:C38)</f>
        <v>36853260.730000004</v>
      </c>
      <c r="D39" s="73">
        <f>SUM(D34:D38)</f>
        <v>36346739.269999996</v>
      </c>
      <c r="E39" s="74">
        <f>IF(B39=0,"",C39/B39)</f>
        <v>0.50345984603825145</v>
      </c>
    </row>
    <row r="40" spans="1:5" x14ac:dyDescent="0.3">
      <c r="A40" s="75" t="s">
        <v>411</v>
      </c>
      <c r="B40" s="76"/>
      <c r="C40" s="76"/>
      <c r="D40" s="76"/>
      <c r="E40" s="77"/>
    </row>
    <row r="41" spans="1:5" outlineLevel="1" x14ac:dyDescent="0.3">
      <c r="A41" s="51" t="s">
        <v>95</v>
      </c>
      <c r="B41" s="52">
        <f>IFERROR(INDEX(Presupuesto!$F$7:$CO$46,MATCH($A41,Presupuesto!$A$7:$A$46,0),MATCH($A$4,Presupuesto!$F$4:$CO$4,0)),0)</f>
        <v>19000000</v>
      </c>
      <c r="C41" s="52">
        <f>SUMIFS(TablaEgresos[Valor],TablaEgresos[Categoría],$A41,TablaEgresos[Mes],$A$4)</f>
        <v>10084789.34</v>
      </c>
      <c r="D41" s="52">
        <f t="shared" ref="D41:D43" si="16">B41-C41</f>
        <v>8915210.6600000001</v>
      </c>
      <c r="E41" s="53">
        <f t="shared" ref="E41:E43" si="17">IF(B41=0,"",C41/B41)</f>
        <v>0.53077838631578944</v>
      </c>
    </row>
    <row r="42" spans="1:5" outlineLevel="1" x14ac:dyDescent="0.3">
      <c r="A42" s="51" t="s">
        <v>291</v>
      </c>
      <c r="B42" s="52">
        <f>IFERROR(INDEX(Presupuesto!$F$7:$CO$46,MATCH($A42,Presupuesto!$A$7:$A$46,0),MATCH($A$4,Presupuesto!$F$4:$CO$4,0)),0)</f>
        <v>0</v>
      </c>
      <c r="C42" s="52">
        <f>SUMIFS(TablaEgresos[Valor],TablaEgresos[Categoría],$A42,TablaEgresos[Mes],$A$4)</f>
        <v>3686613</v>
      </c>
      <c r="D42" s="52">
        <f t="shared" si="16"/>
        <v>-3686613</v>
      </c>
      <c r="E42" s="53" t="str">
        <f t="shared" si="17"/>
        <v/>
      </c>
    </row>
    <row r="43" spans="1:5" outlineLevel="1" x14ac:dyDescent="0.3">
      <c r="A43" s="51" t="s">
        <v>78</v>
      </c>
      <c r="B43" s="52">
        <f>IFERROR(INDEX(Presupuesto!$F$7:$CO$46,MATCH($A43,Presupuesto!$A$7:$A$46,0),MATCH($A$4,Presupuesto!$F$4:$CO$4,0)),0)</f>
        <v>0</v>
      </c>
      <c r="C43" s="52">
        <f>SUMIFS(TablaEgresos[Valor],TablaEgresos[Categoría],$A43,TablaEgresos[Mes],$A$4)</f>
        <v>29701</v>
      </c>
      <c r="D43" s="52">
        <f t="shared" si="16"/>
        <v>-29701</v>
      </c>
      <c r="E43" s="53" t="str">
        <f t="shared" si="17"/>
        <v/>
      </c>
    </row>
    <row r="44" spans="1:5" outlineLevel="1" x14ac:dyDescent="0.3">
      <c r="A44" s="51" t="s">
        <v>1181</v>
      </c>
      <c r="B44" s="52">
        <f>IFERROR(INDEX(Presupuesto!$F$7:$CO$46,MATCH($A44,Presupuesto!$A$7:$A$46,0),MATCH($A$4,Presupuesto!$F$4:$CO$4,0)),0)</f>
        <v>0</v>
      </c>
      <c r="C44" s="52">
        <f>SUMIFS(TablaEgresos[Valor],TablaEgresos[Categoría],$A44,TablaEgresos[Mes],$A$4)</f>
        <v>0</v>
      </c>
      <c r="D44" s="52">
        <f t="shared" ref="D44" si="18">B44-C44</f>
        <v>0</v>
      </c>
      <c r="E44" s="53" t="str">
        <f t="shared" ref="E44" si="19">IF(B44=0,"",C44/B44)</f>
        <v/>
      </c>
    </row>
    <row r="45" spans="1:5" outlineLevel="1" x14ac:dyDescent="0.3">
      <c r="A45" s="51" t="s">
        <v>1190</v>
      </c>
      <c r="B45" s="52">
        <f>IFERROR(INDEX(Presupuesto!$F$7:$CO$46,MATCH($A45,Presupuesto!$A$7:$A$46,0),MATCH($A$4,Presupuesto!$F$4:$CO$4,0)),0)</f>
        <v>0</v>
      </c>
      <c r="C45" s="52">
        <f>SUMIFS(TablaEgresos[Valor],TablaEgresos[Categoría],$A45,TablaEgresos[Mes],$A$4)</f>
        <v>859232.2699999999</v>
      </c>
      <c r="D45" s="52">
        <f t="shared" ref="D45" si="20">B45-C45</f>
        <v>-859232.2699999999</v>
      </c>
      <c r="E45" s="53" t="str">
        <f t="shared" ref="E45" si="21">IF(B45=0,"",C45/B45)</f>
        <v/>
      </c>
    </row>
    <row r="46" spans="1:5" outlineLevel="1" x14ac:dyDescent="0.3">
      <c r="A46" s="51" t="s">
        <v>76</v>
      </c>
      <c r="B46" s="52">
        <f>IFERROR(INDEX(Presupuesto!$F$7:$CO$46,MATCH($A46,Presupuesto!$A$7:$A$46,0),MATCH($A$4,Presupuesto!$F$4:$CO$4,0)),0)</f>
        <v>0</v>
      </c>
      <c r="C46" s="52">
        <f>SUMIFS(TablaEgresos[Valor],TablaEgresos[Categoría],$A46,TablaEgresos[Mes],$A$4)</f>
        <v>106000</v>
      </c>
      <c r="D46" s="52">
        <f t="shared" ref="D46" si="22">B46-C46</f>
        <v>-106000</v>
      </c>
      <c r="E46" s="53" t="str">
        <f t="shared" ref="E46" si="23">IF(B46=0,"",C46/B46)</f>
        <v/>
      </c>
    </row>
    <row r="47" spans="1:5" x14ac:dyDescent="0.3">
      <c r="A47" s="78" t="s">
        <v>409</v>
      </c>
      <c r="B47" s="79">
        <f>SUM(B41:B46)</f>
        <v>19000000</v>
      </c>
      <c r="C47" s="79">
        <f>SUM(C41:C46)</f>
        <v>14766335.609999999</v>
      </c>
      <c r="D47" s="79">
        <f>SUM(D41:D46)</f>
        <v>4233664.3900000006</v>
      </c>
      <c r="E47" s="80">
        <f>IF(B47=0,"",C47/B47)</f>
        <v>0.77717555842105257</v>
      </c>
    </row>
    <row r="48" spans="1:5" x14ac:dyDescent="0.3">
      <c r="A48" s="81" t="s">
        <v>96</v>
      </c>
      <c r="B48" s="82">
        <f>B11+B24+B32+B39+B47</f>
        <v>289671151.18000001</v>
      </c>
      <c r="C48" s="82">
        <f>C11+C24+C32+C39+C47</f>
        <v>217692488.05000007</v>
      </c>
      <c r="D48" s="82">
        <f>D11+D24+D32+D39+D47</f>
        <v>71978663.12999998</v>
      </c>
      <c r="E48" s="83">
        <f>IF(B48=0,"",C48/B48)</f>
        <v>0.75151594200254757</v>
      </c>
    </row>
    <row r="50" spans="7:11" x14ac:dyDescent="0.3">
      <c r="G50" s="216" t="s">
        <v>339</v>
      </c>
      <c r="H50" s="216"/>
      <c r="J50" s="216" t="s">
        <v>1166</v>
      </c>
      <c r="K50" s="216"/>
    </row>
    <row r="51" spans="7:11" x14ac:dyDescent="0.3">
      <c r="G51" s="84" t="s">
        <v>414</v>
      </c>
      <c r="H51" s="86">
        <f>SUMIFS(TablaIngresos[Valor],TablaIngresos[Mes],"&lt;"&amp;$A$4)-SUMIFS(TablaEgresos[Valor],TablaEgresos[Mes],"&lt;"&amp;$A$4)</f>
        <v>814796138.92999995</v>
      </c>
      <c r="J51" s="90">
        <v>46082</v>
      </c>
      <c r="K51" s="91">
        <v>1241164.1000000001</v>
      </c>
    </row>
    <row r="52" spans="7:11" x14ac:dyDescent="0.3">
      <c r="G52" s="84" t="s">
        <v>415</v>
      </c>
      <c r="H52" s="86">
        <f>SUMIFS(TablaIngresos[Valor],TablaIngresos[Mes],$A$4)</f>
        <v>78863402.310000002</v>
      </c>
      <c r="J52" s="90">
        <v>46113</v>
      </c>
      <c r="K52" s="91">
        <v>21955333.91</v>
      </c>
    </row>
    <row r="53" spans="7:11" x14ac:dyDescent="0.3">
      <c r="G53" s="84" t="s">
        <v>416</v>
      </c>
      <c r="H53" s="86">
        <f>C48</f>
        <v>217692488.05000007</v>
      </c>
      <c r="J53" s="90">
        <v>46143</v>
      </c>
      <c r="K53" s="91">
        <v>7358444.0499999998</v>
      </c>
    </row>
    <row r="54" spans="7:11" x14ac:dyDescent="0.3">
      <c r="G54" s="87" t="s">
        <v>419</v>
      </c>
      <c r="H54" s="88">
        <f>H51+H52-H53</f>
        <v>675967053.18999994</v>
      </c>
      <c r="J54" s="90">
        <v>46174</v>
      </c>
      <c r="K54" s="91">
        <v>814796135.83000004</v>
      </c>
    </row>
    <row r="55" spans="7:11" x14ac:dyDescent="0.3">
      <c r="G55" s="84" t="s">
        <v>1167</v>
      </c>
      <c r="H55" s="86">
        <f>IFERROR(IF(INDEX($K$51:$K$72,MATCH($A$4,$J$51:$J$72,0))=0,"",INDEX($K$51:$K$72,MATCH($A$4,$J$51:$J$72,0))),"")</f>
        <v>675967040</v>
      </c>
      <c r="J55" s="90">
        <v>46204</v>
      </c>
      <c r="K55" s="92">
        <v>675967040</v>
      </c>
    </row>
    <row r="56" spans="7:11" x14ac:dyDescent="0.3">
      <c r="G56" s="85" t="s">
        <v>417</v>
      </c>
      <c r="H56" s="89">
        <f>IF(H55="","",H55-H54)</f>
        <v>-13.189999938011169</v>
      </c>
      <c r="J56" s="165">
        <v>46235</v>
      </c>
      <c r="K56" s="166"/>
    </row>
    <row r="57" spans="7:11" x14ac:dyDescent="0.3">
      <c r="J57" s="165">
        <v>46266</v>
      </c>
      <c r="K57" s="166"/>
    </row>
    <row r="58" spans="7:11" x14ac:dyDescent="0.3">
      <c r="J58" s="165">
        <v>46296</v>
      </c>
      <c r="K58" s="166"/>
    </row>
    <row r="59" spans="7:11" x14ac:dyDescent="0.3">
      <c r="J59" s="165">
        <v>46327</v>
      </c>
      <c r="K59" s="166"/>
    </row>
    <row r="60" spans="7:11" x14ac:dyDescent="0.3">
      <c r="J60" s="165">
        <v>46357</v>
      </c>
      <c r="K60" s="166"/>
    </row>
    <row r="61" spans="7:11" x14ac:dyDescent="0.3">
      <c r="J61" s="165">
        <v>46388</v>
      </c>
      <c r="K61" s="166"/>
    </row>
    <row r="62" spans="7:11" x14ac:dyDescent="0.3">
      <c r="J62" s="165">
        <v>46419</v>
      </c>
      <c r="K62" s="166"/>
    </row>
    <row r="63" spans="7:11" x14ac:dyDescent="0.3">
      <c r="J63" s="165">
        <v>46447</v>
      </c>
      <c r="K63" s="166"/>
    </row>
    <row r="64" spans="7:11" x14ac:dyDescent="0.3">
      <c r="J64" s="165">
        <v>46478</v>
      </c>
      <c r="K64" s="166"/>
    </row>
    <row r="65" spans="10:11" x14ac:dyDescent="0.3">
      <c r="J65" s="165">
        <v>46508</v>
      </c>
      <c r="K65" s="166"/>
    </row>
    <row r="66" spans="10:11" x14ac:dyDescent="0.3">
      <c r="J66" s="165">
        <v>46539</v>
      </c>
      <c r="K66" s="166"/>
    </row>
    <row r="67" spans="10:11" x14ac:dyDescent="0.3">
      <c r="J67" s="165">
        <v>46569</v>
      </c>
      <c r="K67" s="166"/>
    </row>
    <row r="68" spans="10:11" x14ac:dyDescent="0.3">
      <c r="J68" s="165">
        <v>46600</v>
      </c>
      <c r="K68" s="166"/>
    </row>
    <row r="69" spans="10:11" x14ac:dyDescent="0.3">
      <c r="J69" s="165">
        <v>46631</v>
      </c>
      <c r="K69" s="166"/>
    </row>
    <row r="70" spans="10:11" x14ac:dyDescent="0.3">
      <c r="J70" s="165">
        <v>46661</v>
      </c>
      <c r="K70" s="166"/>
    </row>
    <row r="71" spans="10:11" x14ac:dyDescent="0.3">
      <c r="J71" s="165">
        <v>46692</v>
      </c>
      <c r="K71" s="166"/>
    </row>
    <row r="72" spans="10:11" x14ac:dyDescent="0.3">
      <c r="J72" s="165">
        <v>46722</v>
      </c>
      <c r="K72" s="166"/>
    </row>
  </sheetData>
  <mergeCells count="2">
    <mergeCell ref="G50:H50"/>
    <mergeCell ref="J50:K50"/>
  </mergeCells>
  <conditionalFormatting sqref="E8:E48">
    <cfRule type="expression" dxfId="7" priority="1">
      <formula>AND(E8&lt;&gt;"",E8&gt;=1)</formula>
    </cfRule>
    <cfRule type="expression" dxfId="6" priority="2">
      <formula>AND(E8&lt;&gt;"",E8&gt;=0.85,E8&lt;1)</formula>
    </cfRule>
    <cfRule type="expression" dxfId="5" priority="3">
      <formula>AND(E8&lt;&gt;"",E8&lt;0.85)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DFE38A8-40A3-43A9-8412-DB95A487CB86}">
          <x14:formula1>
            <xm:f>Presupuesto!$B$51:$W$51</xm:f>
          </x14:formula1>
          <xm:sqref>A4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3B0A-121C-4242-9D1D-F28192604A0D}">
  <sheetPr>
    <tabColor rgb="FFC5221F"/>
  </sheetPr>
  <dimension ref="A1:H30"/>
  <sheetViews>
    <sheetView showGridLines="0" zoomScale="104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E13" sqref="E13"/>
    </sheetView>
  </sheetViews>
  <sheetFormatPr baseColWidth="10" defaultRowHeight="14.4" x14ac:dyDescent="0.3"/>
  <cols>
    <col min="1" max="1" width="46.33203125" customWidth="1"/>
    <col min="2" max="2" width="35.21875" customWidth="1"/>
    <col min="3" max="3" width="10.77734375" bestFit="1" customWidth="1"/>
    <col min="4" max="4" width="12.109375" bestFit="1" customWidth="1"/>
    <col min="5" max="5" width="18.6640625" bestFit="1" customWidth="1"/>
    <col min="6" max="6" width="19.21875" bestFit="1" customWidth="1"/>
    <col min="7" max="7" width="22.21875" customWidth="1"/>
    <col min="8" max="8" width="25.88671875" customWidth="1"/>
  </cols>
  <sheetData>
    <row r="1" spans="1:8" ht="23.4" x14ac:dyDescent="0.45">
      <c r="A1" s="40" t="s">
        <v>1243</v>
      </c>
    </row>
    <row r="3" spans="1:8" ht="15.6" x14ac:dyDescent="0.3">
      <c r="A3" s="156" t="s">
        <v>1244</v>
      </c>
      <c r="B3" s="206">
        <f>Control!$H$54</f>
        <v>675967053.18999994</v>
      </c>
    </row>
    <row r="4" spans="1:8" ht="15.6" x14ac:dyDescent="0.3">
      <c r="A4" s="156" t="s">
        <v>412</v>
      </c>
      <c r="B4" s="205">
        <f>Control!$A$4</f>
        <v>46204</v>
      </c>
    </row>
    <row r="5" spans="1:8" ht="15.6" x14ac:dyDescent="0.3">
      <c r="A5" s="156" t="s">
        <v>1257</v>
      </c>
      <c r="B5" s="207">
        <f ca="1">ROUND(SUMIFS(TablaIngresos[[Valor]:[Valor]],TablaIngresos[[Mes]:[Mes]],Control!$A$4)/MAX(1,(MIN(TODAY(),EOMONTH(Control!$A$4,0))-Control!$A$4+1)/7),-3)</f>
        <v>32473000</v>
      </c>
    </row>
    <row r="7" spans="1:8" ht="28.8" x14ac:dyDescent="0.3">
      <c r="A7" s="213" t="s">
        <v>1245</v>
      </c>
      <c r="B7" s="213" t="s">
        <v>73</v>
      </c>
      <c r="C7" s="213" t="s">
        <v>33</v>
      </c>
      <c r="D7" s="213" t="s">
        <v>74</v>
      </c>
      <c r="E7" s="213" t="s">
        <v>1246</v>
      </c>
      <c r="F7" s="213" t="s">
        <v>1247</v>
      </c>
      <c r="G7" s="213" t="s">
        <v>1248</v>
      </c>
      <c r="H7" s="213" t="s">
        <v>1249</v>
      </c>
    </row>
    <row r="8" spans="1:8" x14ac:dyDescent="0.3">
      <c r="A8" s="208" t="s">
        <v>1258</v>
      </c>
      <c r="B8" s="208" t="s">
        <v>1186</v>
      </c>
      <c r="C8" s="209">
        <v>46224</v>
      </c>
      <c r="D8" s="210">
        <v>5000000</v>
      </c>
      <c r="E8" s="211">
        <f>IF(OR($B8="",$D8=""),"",IFERROR(INDEX(Control!$D$8:$D$46,MATCH($B8,Control!$A$8:$A$46,0)),0))</f>
        <v>3346739.0399999991</v>
      </c>
      <c r="F8" s="211">
        <f>IF($E8="","",$E8-SUMIFS($D$8:$D8,$B$8:$B8,$B8))</f>
        <v>-1653260.9600000009</v>
      </c>
      <c r="G8" s="212" t="str">
        <f>IF($F8="","",IF($F8&gt;=0,"✔ Cabe","✖ Excede "&amp;TEXT(-$F8,"$#.##0")))</f>
        <v>✖ Excede $1.653.261</v>
      </c>
      <c r="H8" s="211">
        <f>IF($D8="","",$B$3-SUM($D$8:$D8))</f>
        <v>670967053.18999994</v>
      </c>
    </row>
    <row r="9" spans="1:8" x14ac:dyDescent="0.3">
      <c r="A9" s="208" t="s">
        <v>1266</v>
      </c>
      <c r="B9" s="208" t="s">
        <v>1186</v>
      </c>
      <c r="C9" s="209">
        <v>46234</v>
      </c>
      <c r="D9" s="210">
        <v>495000</v>
      </c>
      <c r="E9" s="211">
        <f>IF(OR($B9="",$D9=""),"",IFERROR(INDEX(Control!$D$8:$D$46,MATCH($B9,Control!$A$8:$A$46,0)),0))</f>
        <v>3346739.0399999991</v>
      </c>
      <c r="F9" s="211">
        <f>IF($E9="","",$E9-SUMIFS($D$8:$D9,$B$8:$B9,$B9))</f>
        <v>-2148260.9600000009</v>
      </c>
      <c r="G9" s="212" t="str">
        <f>IF($F9="","",IF($F9&gt;=0,"✔ Cabe","✖ Excede "&amp;TEXT(-$F9,"$#.##0")))</f>
        <v>✖ Excede $2.148.261</v>
      </c>
      <c r="H9" s="211">
        <f>IF($D9="","",$B$3-SUM($D$8:$D9))</f>
        <v>670472053.18999994</v>
      </c>
    </row>
    <row r="10" spans="1:8" x14ac:dyDescent="0.3">
      <c r="A10" s="208" t="s">
        <v>1259</v>
      </c>
      <c r="B10" s="208" t="s">
        <v>91</v>
      </c>
      <c r="C10" s="209">
        <v>46224</v>
      </c>
      <c r="D10" s="210">
        <v>5000000</v>
      </c>
      <c r="E10" s="211">
        <f>IF(OR($B10="",$D10=""),"",IFERROR(INDEX(Control!$D$8:$D$46,MATCH($B10,Control!$A$8:$A$46,0)),0))</f>
        <v>10000000.23</v>
      </c>
      <c r="F10" s="211">
        <f>IF($E10="","",$E10-SUMIFS($D$8:$D10,$B$8:$B10,$B10))</f>
        <v>5000000.2300000004</v>
      </c>
      <c r="G10" s="212" t="str">
        <f t="shared" ref="G10:G22" si="0">IF($F10="","",IF($F10&gt;=0,"✔ Cabe","✖ Excede "&amp;TEXT(-$F10,"$#.##0")))</f>
        <v>✔ Cabe</v>
      </c>
      <c r="H10" s="211">
        <f>IF($D10="","",$B$3-SUM($D$8:$D10))</f>
        <v>665472053.18999994</v>
      </c>
    </row>
    <row r="11" spans="1:8" x14ac:dyDescent="0.3">
      <c r="A11" s="208" t="s">
        <v>1260</v>
      </c>
      <c r="B11" s="208" t="s">
        <v>95</v>
      </c>
      <c r="C11" s="209">
        <v>46220</v>
      </c>
      <c r="D11" s="210">
        <v>250000</v>
      </c>
      <c r="E11" s="211">
        <f>IF(OR($B11="",$D11=""),"",IFERROR(INDEX(Control!$D$8:$D$46,MATCH($B11,Control!$A$8:$A$46,0)),0))</f>
        <v>8915210.6600000001</v>
      </c>
      <c r="F11" s="211">
        <f>IF($E11="","",$E11-SUMIFS($D$8:$D11,$B$8:$B11,$B11))</f>
        <v>8665210.6600000001</v>
      </c>
      <c r="G11" s="212" t="str">
        <f t="shared" si="0"/>
        <v>✔ Cabe</v>
      </c>
      <c r="H11" s="211">
        <f>IF($D11="","",$B$3-SUM($D$8:$D11))</f>
        <v>665222053.18999994</v>
      </c>
    </row>
    <row r="12" spans="1:8" x14ac:dyDescent="0.3">
      <c r="A12" s="208" t="s">
        <v>94</v>
      </c>
      <c r="B12" s="208" t="s">
        <v>94</v>
      </c>
      <c r="C12" s="209">
        <v>46224</v>
      </c>
      <c r="D12" s="210">
        <v>8900000</v>
      </c>
      <c r="E12" s="211">
        <f>IF(OR($B12="",$D12=""),"",IFERROR(INDEX(Control!$D$8:$D$46,MATCH($B12,Control!$A$8:$A$46,0)),0))</f>
        <v>12000000</v>
      </c>
      <c r="F12" s="211">
        <f>IF($E12="","",$E12-SUMIFS($D$8:$D12,$B$8:$B12,$B12))</f>
        <v>3100000</v>
      </c>
      <c r="G12" s="212" t="str">
        <f t="shared" si="0"/>
        <v>✔ Cabe</v>
      </c>
      <c r="H12" s="211">
        <f>IF($D12="","",$B$3-SUM($D$8:$D12))</f>
        <v>656322053.18999994</v>
      </c>
    </row>
    <row r="13" spans="1:8" x14ac:dyDescent="0.3">
      <c r="A13" s="208" t="s">
        <v>1261</v>
      </c>
      <c r="B13" s="208" t="s">
        <v>1186</v>
      </c>
      <c r="C13" s="209">
        <v>46220</v>
      </c>
      <c r="D13" s="210">
        <v>3000000</v>
      </c>
      <c r="E13" s="211">
        <f>IF(OR($B13="",$D13=""),"",IFERROR(INDEX(Control!$D$8:$D$46,MATCH($B13,Control!$A$8:$A$46,0)),0))</f>
        <v>3346739.0399999991</v>
      </c>
      <c r="F13" s="211">
        <f>IF($E13="","",$E13-SUMIFS($D$8:$D13,$B$8:$B13,$B13))</f>
        <v>-5148260.9600000009</v>
      </c>
      <c r="G13" s="212" t="str">
        <f t="shared" si="0"/>
        <v>✖ Excede $5.148.261</v>
      </c>
      <c r="H13" s="211">
        <f>IF($D13="","",$B$3-SUM($D$8:$D13))</f>
        <v>653322053.18999994</v>
      </c>
    </row>
    <row r="14" spans="1:8" x14ac:dyDescent="0.3">
      <c r="A14" s="208" t="s">
        <v>1262</v>
      </c>
      <c r="B14" s="208" t="s">
        <v>1185</v>
      </c>
      <c r="C14" s="209">
        <v>46226</v>
      </c>
      <c r="D14" s="210">
        <v>7500000</v>
      </c>
      <c r="E14" s="211">
        <f>IF(OR($B14="",$D14=""),"",IFERROR(INDEX(Control!$D$8:$D$46,MATCH($B14,Control!$A$8:$A$46,0)),0))</f>
        <v>-10465679.98</v>
      </c>
      <c r="F14" s="211">
        <f>IF($E14="","",$E14-SUMIFS($D$8:$D14,$B$8:$B14,$B14))</f>
        <v>-17965679.98</v>
      </c>
      <c r="G14" s="212" t="str">
        <f t="shared" si="0"/>
        <v>✖ Excede $17.965.680</v>
      </c>
      <c r="H14" s="211">
        <f>IF($D14="","",$B$3-SUM($D$8:$D14))</f>
        <v>645822053.18999994</v>
      </c>
    </row>
    <row r="15" spans="1:8" x14ac:dyDescent="0.3">
      <c r="A15" s="208" t="s">
        <v>1190</v>
      </c>
      <c r="B15" s="208" t="s">
        <v>1190</v>
      </c>
      <c r="C15" s="209">
        <v>46224</v>
      </c>
      <c r="D15" s="210">
        <v>11500000</v>
      </c>
      <c r="E15" s="211">
        <f>IF(OR($B15="",$D15=""),"",IFERROR(INDEX(Control!$D$8:$D$46,MATCH($B15,Control!$A$8:$A$46,0)),0))</f>
        <v>-859232.2699999999</v>
      </c>
      <c r="F15" s="211">
        <f>IF($E15="","",$E15-SUMIFS($D$8:$D15,$B$8:$B15,$B15))</f>
        <v>-12359232.27</v>
      </c>
      <c r="G15" s="212" t="str">
        <f t="shared" si="0"/>
        <v>✖ Excede $12.359.232</v>
      </c>
      <c r="H15" s="211">
        <f>IF($D15="","",$B$3-SUM($D$8:$D15))</f>
        <v>634322053.18999994</v>
      </c>
    </row>
    <row r="16" spans="1:8" x14ac:dyDescent="0.3">
      <c r="A16" s="208" t="s">
        <v>1263</v>
      </c>
      <c r="B16" s="208" t="s">
        <v>18</v>
      </c>
      <c r="C16" s="209">
        <v>46234</v>
      </c>
      <c r="D16" s="210">
        <v>8320000</v>
      </c>
      <c r="E16" s="211">
        <f>IF(OR($B16="",$D16=""),"",IFERROR(INDEX(Control!$D$8:$D$46,MATCH($B16,Control!$A$8:$A$46,0)),0))</f>
        <v>8000000</v>
      </c>
      <c r="F16" s="211">
        <f>IF($E16="","",$E16-SUMIFS($D$8:$D16,$B$8:$B16,$B16))</f>
        <v>-320000</v>
      </c>
      <c r="G16" s="212" t="str">
        <f t="shared" si="0"/>
        <v>✖ Excede $320.000</v>
      </c>
      <c r="H16" s="211">
        <f>IF($D16="","",$B$3-SUM($D$8:$D16))</f>
        <v>626002053.18999994</v>
      </c>
    </row>
    <row r="17" spans="1:8" x14ac:dyDescent="0.3">
      <c r="A17" s="208" t="s">
        <v>19</v>
      </c>
      <c r="B17" s="208" t="s">
        <v>88</v>
      </c>
      <c r="C17" s="209">
        <v>46234</v>
      </c>
      <c r="D17" s="210">
        <v>900000</v>
      </c>
      <c r="E17" s="211">
        <f>IF(OR($B17="",$D17=""),"",IFERROR(INDEX(Control!$D$8:$D$46,MATCH($B17,Control!$A$8:$A$46,0)),0))</f>
        <v>900000</v>
      </c>
      <c r="F17" s="211">
        <f>IF($E17="","",$E17-SUMIFS($D$8:$D17,$B$8:$B17,$B17))</f>
        <v>0</v>
      </c>
      <c r="G17" s="212" t="str">
        <f t="shared" si="0"/>
        <v>✔ Cabe</v>
      </c>
      <c r="H17" s="211">
        <f>IF($D17="","",$B$3-SUM($D$8:$D17))</f>
        <v>625102053.18999994</v>
      </c>
    </row>
    <row r="18" spans="1:8" x14ac:dyDescent="0.3">
      <c r="A18" s="208" t="s">
        <v>1264</v>
      </c>
      <c r="B18" s="208" t="s">
        <v>82</v>
      </c>
      <c r="C18" s="209">
        <v>46220</v>
      </c>
      <c r="D18" s="210">
        <v>1200000</v>
      </c>
      <c r="E18" s="211">
        <f>IF(OR($B18="",$D18=""),"",IFERROR(INDEX(Control!$D$8:$D$46,MATCH($B18,Control!$A$8:$A$46,0)),0))</f>
        <v>343727.24000000022</v>
      </c>
      <c r="F18" s="211">
        <f>IF($E18="","",$E18-SUMIFS($D$8:$D18,$B$8:$B18,$B18))</f>
        <v>-856272.75999999978</v>
      </c>
      <c r="G18" s="212" t="str">
        <f t="shared" si="0"/>
        <v>✖ Excede $856.273</v>
      </c>
      <c r="H18" s="211">
        <f>IF($D18="","",$B$3-SUM($D$8:$D18))</f>
        <v>623902053.18999994</v>
      </c>
    </row>
    <row r="19" spans="1:8" x14ac:dyDescent="0.3">
      <c r="A19" s="208" t="s">
        <v>1265</v>
      </c>
      <c r="B19" s="208" t="s">
        <v>80</v>
      </c>
      <c r="C19" s="209">
        <v>46234</v>
      </c>
      <c r="D19" s="210">
        <v>890000</v>
      </c>
      <c r="E19" s="211">
        <f>IF(OR($B19="",$D19=""),"",IFERROR(INDEX(Control!$D$8:$D$46,MATCH($B19,Control!$A$8:$A$46,0)),0))</f>
        <v>-808607.41999999993</v>
      </c>
      <c r="F19" s="211">
        <f>IF($E19="","",$E19-SUMIFS($D$8:$D19,$B$8:$B19,$B19))</f>
        <v>-1698607.42</v>
      </c>
      <c r="G19" s="212" t="str">
        <f t="shared" si="0"/>
        <v>✖ Excede $1.698.607</v>
      </c>
      <c r="H19" s="211">
        <f>IF($D19="","",$B$3-SUM($D$8:$D19))</f>
        <v>623012053.18999994</v>
      </c>
    </row>
    <row r="20" spans="1:8" x14ac:dyDescent="0.3">
      <c r="A20" s="208" t="s">
        <v>20</v>
      </c>
      <c r="B20" s="208" t="s">
        <v>1202</v>
      </c>
      <c r="C20" s="209">
        <v>46226</v>
      </c>
      <c r="D20" s="210">
        <v>6500000</v>
      </c>
      <c r="E20" s="211">
        <f>IF(OR($B20="",$D20=""),"",IFERROR(INDEX(Control!$D$8:$D$46,MATCH($B20,Control!$A$8:$A$46,0)),0))</f>
        <v>2200000</v>
      </c>
      <c r="F20" s="211">
        <f>IF($E20="","",$E20-SUMIFS($D$8:$D20,$B$8:$B20,$B20))</f>
        <v>-4300000</v>
      </c>
      <c r="G20" s="212" t="str">
        <f t="shared" si="0"/>
        <v>✖ Excede $4.300.000</v>
      </c>
      <c r="H20" s="211">
        <f>IF($D20="","",$B$3-SUM($D$8:$D20))</f>
        <v>616512053.18999994</v>
      </c>
    </row>
    <row r="21" spans="1:8" x14ac:dyDescent="0.3">
      <c r="A21" s="208" t="s">
        <v>0</v>
      </c>
      <c r="B21" s="208" t="s">
        <v>91</v>
      </c>
      <c r="C21" s="209">
        <v>46234</v>
      </c>
      <c r="D21" s="210">
        <v>2000000</v>
      </c>
      <c r="E21" s="211">
        <f>IF(OR($B21="",$D21=""),"",IFERROR(INDEX(Control!$D$8:$D$46,MATCH($B21,Control!$A$8:$A$46,0)),0))</f>
        <v>10000000.23</v>
      </c>
      <c r="F21" s="211">
        <f>IF($E21="","",$E21-SUMIFS($D$8:$D21,$B$8:$B21,$B21))</f>
        <v>3000000.2300000004</v>
      </c>
      <c r="G21" s="212" t="str">
        <f>IF($F21="","",IF($F21&gt;=0,"✔ Cabe","✖ Excede "&amp;TEXT(-$F21,"$#.##0")))</f>
        <v>✔ Cabe</v>
      </c>
      <c r="H21" s="211">
        <f>IF($D21="","",$B$3-SUM($D$8:$D21))</f>
        <v>614512053.18999994</v>
      </c>
    </row>
    <row r="22" spans="1:8" x14ac:dyDescent="0.3">
      <c r="A22" s="208" t="s">
        <v>20</v>
      </c>
      <c r="B22" s="208" t="s">
        <v>1202</v>
      </c>
      <c r="C22" s="209">
        <v>46226</v>
      </c>
      <c r="D22" s="210">
        <v>6500000</v>
      </c>
      <c r="E22" s="211">
        <f>IF(OR($B22="",$D22=""),"",IFERROR(INDEX(Control!$D$8:$D$46,MATCH($B22,Control!$A$8:$A$46,0)),0))</f>
        <v>2200000</v>
      </c>
      <c r="F22" s="211">
        <f>IF($E22="","",$E22-SUMIFS($D$8:$D22,$B$8:$B22,$B22))</f>
        <v>-10800000</v>
      </c>
      <c r="G22" s="212" t="str">
        <f t="shared" si="0"/>
        <v>✖ Excede $10.800.000</v>
      </c>
      <c r="H22" s="211">
        <f>IF($D22="","",$B$3-SUM($D$8:$D22))</f>
        <v>608012053.18999994</v>
      </c>
    </row>
    <row r="24" spans="1:8" x14ac:dyDescent="0.3">
      <c r="A24" s="157" t="s">
        <v>1250</v>
      </c>
      <c r="B24" s="157"/>
      <c r="C24" s="157"/>
      <c r="D24" s="157"/>
    </row>
    <row r="25" spans="1:8" x14ac:dyDescent="0.3">
      <c r="A25" s="156" t="s">
        <v>1251</v>
      </c>
      <c r="B25" s="33">
        <f>SUM($D$8:$D$22)</f>
        <v>67955000</v>
      </c>
    </row>
    <row r="26" spans="1:8" x14ac:dyDescent="0.3">
      <c r="A26" s="156" t="s">
        <v>1252</v>
      </c>
      <c r="B26" s="33">
        <f>$B$3</f>
        <v>675967053.18999994</v>
      </c>
    </row>
    <row r="27" spans="1:8" x14ac:dyDescent="0.3">
      <c r="A27" s="156" t="s">
        <v>1253</v>
      </c>
      <c r="B27" s="33">
        <f ca="1">$B$5</f>
        <v>32473000</v>
      </c>
    </row>
    <row r="28" spans="1:8" x14ac:dyDescent="0.3">
      <c r="A28" s="156" t="s">
        <v>1254</v>
      </c>
      <c r="B28" s="33">
        <f>$B$25</f>
        <v>67955000</v>
      </c>
    </row>
    <row r="29" spans="1:8" ht="15.6" x14ac:dyDescent="0.3">
      <c r="A29" s="215" t="s">
        <v>1256</v>
      </c>
      <c r="B29" s="214">
        <f ca="1">B26+B27-B28</f>
        <v>640485053.18999994</v>
      </c>
    </row>
    <row r="30" spans="1:8" x14ac:dyDescent="0.3">
      <c r="A30" s="156" t="s">
        <v>1255</v>
      </c>
      <c r="B30" s="10">
        <f>IF(Control!$B$48=0,"",(Control!$C$48+$B$25)/Control!$B$48)</f>
        <v>0.98610954831501441</v>
      </c>
      <c r="C30" s="217" t="str">
        <f>"Ejecutado + planeado: "&amp;TEXT(Control!$C$48+$B$25,"$#.##0")&amp;" de "&amp;TEXT(Control!$B$48,"$#.##0")&amp;" — quedarían "&amp;TEXT(Control!$B$48-Control!$C$48-$B$25,"$#.##0")</f>
        <v>Ejecutado + planeado: $285.647.488 de $289.671.151 — quedarían $4.023.663</v>
      </c>
      <c r="D30" s="217"/>
      <c r="E30" s="217"/>
      <c r="F30" s="217"/>
      <c r="G30" s="217"/>
    </row>
  </sheetData>
  <mergeCells count="1">
    <mergeCell ref="C30:G30"/>
  </mergeCells>
  <conditionalFormatting sqref="B29">
    <cfRule type="expression" dxfId="4" priority="4">
      <formula>B29&lt;0</formula>
    </cfRule>
  </conditionalFormatting>
  <conditionalFormatting sqref="G8:G22">
    <cfRule type="expression" dxfId="3" priority="1">
      <formula>LEFT(G8,1)="✔"</formula>
    </cfRule>
    <cfRule type="expression" dxfId="2" priority="2">
      <formula>LEFT(G8,1)="✖"</formula>
    </cfRule>
  </conditionalFormatting>
  <conditionalFormatting sqref="H8:H22">
    <cfRule type="expression" dxfId="1" priority="3">
      <formula>AND(H8&lt;&gt;"",H8&lt;0)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28BC75F-C134-4255-936C-A63BFE1DDF31}">
          <x14:formula1>
            <xm:f>Presupuesto!$A$102:$A$132</xm:f>
          </x14:formula1>
          <xm:sqref>B8:B22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BBD64-D052-4799-BB0A-5C2F6A805746}">
  <sheetPr>
    <tabColor rgb="FF00838F"/>
  </sheetPr>
  <dimension ref="A1:CO133"/>
  <sheetViews>
    <sheetView showGridLines="0" zoomScale="90" zoomScaleNormal="90" workbookViewId="0">
      <pane xSplit="8" ySplit="5" topLeftCell="AG6" activePane="bottomRight" state="frozen"/>
      <selection pane="topRight" activeCell="I1" sqref="I1"/>
      <selection pane="bottomLeft" activeCell="A6" sqref="A6"/>
      <selection pane="bottomRight" activeCell="AD14" sqref="AD14"/>
    </sheetView>
  </sheetViews>
  <sheetFormatPr baseColWidth="10" defaultRowHeight="14.4" outlineLevelRow="1" outlineLevelCol="1" x14ac:dyDescent="0.3"/>
  <cols>
    <col min="1" max="1" width="38.88671875" customWidth="1"/>
    <col min="2" max="5" width="16.33203125" customWidth="1"/>
    <col min="6" max="8" width="14.109375" hidden="1" customWidth="1" outlineLevel="1"/>
    <col min="9" max="9" width="14.109375" customWidth="1" collapsed="1"/>
    <col min="10" max="12" width="14.109375" hidden="1" customWidth="1" outlineLevel="1"/>
    <col min="13" max="13" width="14.109375" customWidth="1" collapsed="1"/>
    <col min="14" max="16" width="14.109375" hidden="1" customWidth="1" outlineLevel="1"/>
    <col min="17" max="17" width="14.109375" customWidth="1" collapsed="1"/>
    <col min="18" max="20" width="14.109375" hidden="1" customWidth="1" outlineLevel="1"/>
    <col min="21" max="21" width="14.109375" customWidth="1" collapsed="1"/>
    <col min="22" max="24" width="14.109375" customWidth="1" outlineLevel="1"/>
    <col min="25" max="25" width="14.109375" customWidth="1"/>
    <col min="26" max="28" width="14.109375" customWidth="1" outlineLevel="1"/>
    <col min="29" max="29" width="14.109375" customWidth="1"/>
    <col min="30" max="32" width="14.109375" customWidth="1" outlineLevel="1"/>
    <col min="33" max="33" width="14.109375" customWidth="1"/>
    <col min="34" max="36" width="14.109375" customWidth="1" outlineLevel="1"/>
    <col min="37" max="37" width="14.109375" customWidth="1"/>
    <col min="38" max="40" width="14.109375" hidden="1" customWidth="1" outlineLevel="1"/>
    <col min="41" max="41" width="14.109375" customWidth="1" collapsed="1"/>
    <col min="42" max="44" width="14.109375" hidden="1" customWidth="1" outlineLevel="1"/>
    <col min="45" max="45" width="14.109375" customWidth="1" collapsed="1"/>
    <col min="46" max="48" width="14.109375" hidden="1" customWidth="1" outlineLevel="1"/>
    <col min="49" max="49" width="14.109375" customWidth="1" collapsed="1"/>
    <col min="50" max="52" width="14.109375" hidden="1" customWidth="1" outlineLevel="1"/>
    <col min="53" max="53" width="14.109375" customWidth="1" collapsed="1"/>
    <col min="54" max="56" width="14.109375" hidden="1" customWidth="1" outlineLevel="1"/>
    <col min="57" max="57" width="14.109375" customWidth="1" collapsed="1"/>
    <col min="58" max="60" width="14.109375" hidden="1" customWidth="1" outlineLevel="1"/>
    <col min="61" max="61" width="14.109375" customWidth="1" collapsed="1"/>
    <col min="62" max="64" width="14.109375" hidden="1" customWidth="1" outlineLevel="1"/>
    <col min="65" max="65" width="14.109375" customWidth="1" collapsed="1"/>
    <col min="66" max="68" width="14.109375" hidden="1" customWidth="1" outlineLevel="1"/>
    <col min="69" max="69" width="14.109375" customWidth="1" collapsed="1"/>
    <col min="70" max="72" width="14.109375" hidden="1" customWidth="1" outlineLevel="1"/>
    <col min="73" max="73" width="14.109375" customWidth="1" collapsed="1"/>
    <col min="74" max="76" width="14.109375" hidden="1" customWidth="1" outlineLevel="1"/>
    <col min="77" max="77" width="14.109375" customWidth="1" collapsed="1"/>
    <col min="78" max="80" width="14.109375" hidden="1" customWidth="1" outlineLevel="1"/>
    <col min="81" max="81" width="14.109375" customWidth="1" collapsed="1"/>
    <col min="82" max="84" width="14.109375" hidden="1" customWidth="1" outlineLevel="1"/>
    <col min="85" max="85" width="14.109375" customWidth="1" collapsed="1"/>
    <col min="86" max="88" width="14.109375" hidden="1" customWidth="1" outlineLevel="1"/>
    <col min="89" max="89" width="14.109375" customWidth="1" collapsed="1"/>
    <col min="90" max="92" width="14.109375" hidden="1" customWidth="1" outlineLevel="1"/>
    <col min="93" max="93" width="14.109375" customWidth="1" collapsed="1"/>
  </cols>
  <sheetData>
    <row r="1" spans="1:93" ht="23.4" x14ac:dyDescent="0.45">
      <c r="A1" s="40" t="s">
        <v>1168</v>
      </c>
    </row>
    <row r="2" spans="1:93" x14ac:dyDescent="0.3">
      <c r="A2" s="93" t="s">
        <v>1169</v>
      </c>
    </row>
    <row r="3" spans="1:93" x14ac:dyDescent="0.3">
      <c r="A3" s="5" t="s">
        <v>1170</v>
      </c>
      <c r="B3" s="94">
        <f ca="1">EOMONTH(TODAY(),-2)+1</f>
        <v>46174</v>
      </c>
    </row>
    <row r="4" spans="1:93" x14ac:dyDescent="0.3">
      <c r="A4" s="95"/>
      <c r="B4" s="95"/>
      <c r="C4" s="95"/>
      <c r="D4" s="95"/>
      <c r="E4" s="95"/>
      <c r="F4" s="218">
        <f>B$51</f>
        <v>46082</v>
      </c>
      <c r="G4" s="218"/>
      <c r="H4" s="218"/>
      <c r="I4" s="218"/>
      <c r="J4" s="218">
        <f>C$51</f>
        <v>46113</v>
      </c>
      <c r="K4" s="218"/>
      <c r="L4" s="218"/>
      <c r="M4" s="218"/>
      <c r="N4" s="218">
        <f>D$51</f>
        <v>46143</v>
      </c>
      <c r="O4" s="218"/>
      <c r="P4" s="218"/>
      <c r="Q4" s="218"/>
      <c r="R4" s="218">
        <f>E$51</f>
        <v>46174</v>
      </c>
      <c r="S4" s="218"/>
      <c r="T4" s="218"/>
      <c r="U4" s="218"/>
      <c r="V4" s="218">
        <f>F$51</f>
        <v>46204</v>
      </c>
      <c r="W4" s="218"/>
      <c r="X4" s="218"/>
      <c r="Y4" s="218"/>
      <c r="Z4" s="218">
        <f>G$51</f>
        <v>46235</v>
      </c>
      <c r="AA4" s="218"/>
      <c r="AB4" s="218"/>
      <c r="AC4" s="218"/>
      <c r="AD4" s="218">
        <f>H$51</f>
        <v>46266</v>
      </c>
      <c r="AE4" s="218"/>
      <c r="AF4" s="218"/>
      <c r="AG4" s="218"/>
      <c r="AH4" s="218">
        <f>I$51</f>
        <v>46296</v>
      </c>
      <c r="AI4" s="218"/>
      <c r="AJ4" s="218"/>
      <c r="AK4" s="218"/>
      <c r="AL4" s="218">
        <f>J$51</f>
        <v>46327</v>
      </c>
      <c r="AM4" s="218"/>
      <c r="AN4" s="218"/>
      <c r="AO4" s="218"/>
      <c r="AP4" s="218">
        <f>K$51</f>
        <v>46357</v>
      </c>
      <c r="AQ4" s="218"/>
      <c r="AR4" s="218"/>
      <c r="AS4" s="218"/>
      <c r="AT4" s="218">
        <f>L$51</f>
        <v>46388</v>
      </c>
      <c r="AU4" s="218"/>
      <c r="AV4" s="218"/>
      <c r="AW4" s="218"/>
      <c r="AX4" s="218">
        <f>M$51</f>
        <v>46419</v>
      </c>
      <c r="AY4" s="218"/>
      <c r="AZ4" s="218"/>
      <c r="BA4" s="218"/>
      <c r="BB4" s="218">
        <f>N$51</f>
        <v>46447</v>
      </c>
      <c r="BC4" s="218"/>
      <c r="BD4" s="218"/>
      <c r="BE4" s="218"/>
      <c r="BF4" s="218">
        <f>O$51</f>
        <v>46478</v>
      </c>
      <c r="BG4" s="218"/>
      <c r="BH4" s="218"/>
      <c r="BI4" s="218"/>
      <c r="BJ4" s="218">
        <f>P$51</f>
        <v>46508</v>
      </c>
      <c r="BK4" s="218"/>
      <c r="BL4" s="218"/>
      <c r="BM4" s="218"/>
      <c r="BN4" s="218">
        <f>Q$51</f>
        <v>46539</v>
      </c>
      <c r="BO4" s="218"/>
      <c r="BP4" s="218"/>
      <c r="BQ4" s="218"/>
      <c r="BR4" s="218">
        <f>R$51</f>
        <v>46569</v>
      </c>
      <c r="BS4" s="218"/>
      <c r="BT4" s="218"/>
      <c r="BU4" s="218"/>
      <c r="BV4" s="218">
        <f>S$51</f>
        <v>46600</v>
      </c>
      <c r="BW4" s="218"/>
      <c r="BX4" s="218"/>
      <c r="BY4" s="218"/>
      <c r="BZ4" s="218">
        <f>T$51</f>
        <v>46631</v>
      </c>
      <c r="CA4" s="218"/>
      <c r="CB4" s="218"/>
      <c r="CC4" s="218"/>
      <c r="CD4" s="218">
        <f>U$51</f>
        <v>46661</v>
      </c>
      <c r="CE4" s="218"/>
      <c r="CF4" s="218"/>
      <c r="CG4" s="218"/>
      <c r="CH4" s="218">
        <f>V$51</f>
        <v>46692</v>
      </c>
      <c r="CI4" s="218"/>
      <c r="CJ4" s="218"/>
      <c r="CK4" s="218"/>
      <c r="CL4" s="218">
        <f>W$51</f>
        <v>46722</v>
      </c>
      <c r="CM4" s="218"/>
      <c r="CN4" s="218"/>
      <c r="CO4" s="218"/>
    </row>
    <row r="5" spans="1:93" ht="15" thickBot="1" x14ac:dyDescent="0.35">
      <c r="A5" s="96" t="s">
        <v>73</v>
      </c>
      <c r="B5" s="97" t="s">
        <v>1171</v>
      </c>
      <c r="C5" s="97" t="s">
        <v>1172</v>
      </c>
      <c r="D5" s="97" t="s">
        <v>1173</v>
      </c>
      <c r="E5" s="97" t="s">
        <v>1174</v>
      </c>
      <c r="F5" s="97" t="s">
        <v>84</v>
      </c>
      <c r="G5" s="97" t="s">
        <v>85</v>
      </c>
      <c r="H5" s="97" t="s">
        <v>86</v>
      </c>
      <c r="I5" s="97" t="s">
        <v>410</v>
      </c>
      <c r="J5" s="97" t="s">
        <v>84</v>
      </c>
      <c r="K5" s="97" t="s">
        <v>85</v>
      </c>
      <c r="L5" s="97" t="s">
        <v>86</v>
      </c>
      <c r="M5" s="97" t="s">
        <v>410</v>
      </c>
      <c r="N5" s="97" t="s">
        <v>84</v>
      </c>
      <c r="O5" s="97" t="s">
        <v>85</v>
      </c>
      <c r="P5" s="97" t="s">
        <v>86</v>
      </c>
      <c r="Q5" s="97" t="s">
        <v>410</v>
      </c>
      <c r="R5" s="97" t="s">
        <v>84</v>
      </c>
      <c r="S5" s="97" t="s">
        <v>85</v>
      </c>
      <c r="T5" s="97" t="s">
        <v>86</v>
      </c>
      <c r="U5" s="97" t="s">
        <v>410</v>
      </c>
      <c r="V5" s="97" t="s">
        <v>84</v>
      </c>
      <c r="W5" s="97" t="s">
        <v>85</v>
      </c>
      <c r="X5" s="97" t="s">
        <v>86</v>
      </c>
      <c r="Y5" s="97" t="s">
        <v>410</v>
      </c>
      <c r="Z5" s="97" t="s">
        <v>84</v>
      </c>
      <c r="AA5" s="97" t="s">
        <v>85</v>
      </c>
      <c r="AB5" s="97" t="s">
        <v>86</v>
      </c>
      <c r="AC5" s="97" t="s">
        <v>410</v>
      </c>
      <c r="AD5" s="97" t="s">
        <v>84</v>
      </c>
      <c r="AE5" s="97" t="s">
        <v>85</v>
      </c>
      <c r="AF5" s="97" t="s">
        <v>86</v>
      </c>
      <c r="AG5" s="97" t="s">
        <v>410</v>
      </c>
      <c r="AH5" s="97" t="s">
        <v>84</v>
      </c>
      <c r="AI5" s="97" t="s">
        <v>85</v>
      </c>
      <c r="AJ5" s="97" t="s">
        <v>86</v>
      </c>
      <c r="AK5" s="97" t="s">
        <v>410</v>
      </c>
      <c r="AL5" s="97" t="s">
        <v>84</v>
      </c>
      <c r="AM5" s="97" t="s">
        <v>85</v>
      </c>
      <c r="AN5" s="97" t="s">
        <v>86</v>
      </c>
      <c r="AO5" s="97" t="s">
        <v>410</v>
      </c>
      <c r="AP5" s="97" t="s">
        <v>84</v>
      </c>
      <c r="AQ5" s="97" t="s">
        <v>85</v>
      </c>
      <c r="AR5" s="97" t="s">
        <v>86</v>
      </c>
      <c r="AS5" s="97" t="s">
        <v>410</v>
      </c>
      <c r="AT5" s="97" t="s">
        <v>84</v>
      </c>
      <c r="AU5" s="97" t="s">
        <v>85</v>
      </c>
      <c r="AV5" s="97" t="s">
        <v>86</v>
      </c>
      <c r="AW5" s="97" t="s">
        <v>410</v>
      </c>
      <c r="AX5" s="97" t="s">
        <v>84</v>
      </c>
      <c r="AY5" s="97" t="s">
        <v>85</v>
      </c>
      <c r="AZ5" s="97" t="s">
        <v>86</v>
      </c>
      <c r="BA5" s="97" t="s">
        <v>410</v>
      </c>
      <c r="BB5" s="97" t="s">
        <v>84</v>
      </c>
      <c r="BC5" s="97" t="s">
        <v>85</v>
      </c>
      <c r="BD5" s="97" t="s">
        <v>86</v>
      </c>
      <c r="BE5" s="97" t="s">
        <v>410</v>
      </c>
      <c r="BF5" s="97" t="s">
        <v>84</v>
      </c>
      <c r="BG5" s="97" t="s">
        <v>85</v>
      </c>
      <c r="BH5" s="97" t="s">
        <v>86</v>
      </c>
      <c r="BI5" s="97" t="s">
        <v>410</v>
      </c>
      <c r="BJ5" s="97" t="s">
        <v>84</v>
      </c>
      <c r="BK5" s="97" t="s">
        <v>85</v>
      </c>
      <c r="BL5" s="97" t="s">
        <v>86</v>
      </c>
      <c r="BM5" s="97" t="s">
        <v>410</v>
      </c>
      <c r="BN5" s="97" t="s">
        <v>84</v>
      </c>
      <c r="BO5" s="97" t="s">
        <v>85</v>
      </c>
      <c r="BP5" s="97" t="s">
        <v>86</v>
      </c>
      <c r="BQ5" s="97" t="s">
        <v>410</v>
      </c>
      <c r="BR5" s="97" t="s">
        <v>84</v>
      </c>
      <c r="BS5" s="97" t="s">
        <v>85</v>
      </c>
      <c r="BT5" s="97" t="s">
        <v>86</v>
      </c>
      <c r="BU5" s="97" t="s">
        <v>410</v>
      </c>
      <c r="BV5" s="97" t="s">
        <v>84</v>
      </c>
      <c r="BW5" s="97" t="s">
        <v>85</v>
      </c>
      <c r="BX5" s="97" t="s">
        <v>86</v>
      </c>
      <c r="BY5" s="97" t="s">
        <v>410</v>
      </c>
      <c r="BZ5" s="97" t="s">
        <v>84</v>
      </c>
      <c r="CA5" s="97" t="s">
        <v>85</v>
      </c>
      <c r="CB5" s="97" t="s">
        <v>86</v>
      </c>
      <c r="CC5" s="97" t="s">
        <v>410</v>
      </c>
      <c r="CD5" s="97" t="s">
        <v>84</v>
      </c>
      <c r="CE5" s="97" t="s">
        <v>85</v>
      </c>
      <c r="CF5" s="97" t="s">
        <v>86</v>
      </c>
      <c r="CG5" s="97" t="s">
        <v>410</v>
      </c>
      <c r="CH5" s="97" t="s">
        <v>84</v>
      </c>
      <c r="CI5" s="97" t="s">
        <v>85</v>
      </c>
      <c r="CJ5" s="97" t="s">
        <v>86</v>
      </c>
      <c r="CK5" s="97" t="s">
        <v>410</v>
      </c>
      <c r="CL5" s="97" t="s">
        <v>84</v>
      </c>
      <c r="CM5" s="97" t="s">
        <v>85</v>
      </c>
      <c r="CN5" s="97" t="s">
        <v>86</v>
      </c>
      <c r="CO5" s="97" t="s">
        <v>410</v>
      </c>
    </row>
    <row r="6" spans="1:93" x14ac:dyDescent="0.3">
      <c r="A6" s="98" t="s">
        <v>1201</v>
      </c>
      <c r="B6" s="99"/>
      <c r="C6" s="99"/>
      <c r="D6" s="100"/>
      <c r="E6" s="99"/>
      <c r="F6" s="99"/>
      <c r="G6" s="99"/>
      <c r="H6" s="99"/>
      <c r="I6" s="100"/>
      <c r="J6" s="99"/>
      <c r="K6" s="99"/>
      <c r="L6" s="99"/>
      <c r="M6" s="100"/>
      <c r="N6" s="99"/>
      <c r="O6" s="99"/>
      <c r="P6" s="99"/>
      <c r="Q6" s="100"/>
      <c r="R6" s="99"/>
      <c r="S6" s="99"/>
      <c r="T6" s="99"/>
      <c r="U6" s="100"/>
      <c r="V6" s="99"/>
      <c r="W6" s="99"/>
      <c r="X6" s="99"/>
      <c r="Y6" s="100"/>
      <c r="Z6" s="99"/>
      <c r="AA6" s="99"/>
      <c r="AB6" s="99"/>
      <c r="AC6" s="100"/>
      <c r="AD6" s="99"/>
      <c r="AE6" s="99"/>
      <c r="AF6" s="99"/>
      <c r="AG6" s="100"/>
      <c r="AH6" s="99"/>
      <c r="AI6" s="99"/>
      <c r="AJ6" s="99"/>
      <c r="AK6" s="100"/>
      <c r="AL6" s="99"/>
      <c r="AM6" s="99"/>
      <c r="AN6" s="99"/>
      <c r="AO6" s="100"/>
      <c r="AP6" s="99"/>
      <c r="AQ6" s="99"/>
      <c r="AR6" s="99"/>
      <c r="AS6" s="100"/>
      <c r="AT6" s="99"/>
      <c r="AU6" s="99"/>
      <c r="AV6" s="99"/>
      <c r="AW6" s="100"/>
      <c r="AX6" s="99"/>
      <c r="AY6" s="99"/>
      <c r="AZ6" s="99"/>
      <c r="BA6" s="100"/>
      <c r="BB6" s="99"/>
      <c r="BC6" s="99"/>
      <c r="BD6" s="99"/>
      <c r="BE6" s="100"/>
      <c r="BF6" s="99"/>
      <c r="BG6" s="99"/>
      <c r="BH6" s="99"/>
      <c r="BI6" s="100"/>
      <c r="BJ6" s="99"/>
      <c r="BK6" s="99"/>
      <c r="BL6" s="99"/>
      <c r="BM6" s="100"/>
      <c r="BN6" s="99"/>
      <c r="BO6" s="99"/>
      <c r="BP6" s="99"/>
      <c r="BQ6" s="100"/>
      <c r="BR6" s="99"/>
      <c r="BS6" s="99"/>
      <c r="BT6" s="99"/>
      <c r="BU6" s="100"/>
      <c r="BV6" s="99"/>
      <c r="BW6" s="99"/>
      <c r="BX6" s="99"/>
      <c r="BY6" s="100"/>
      <c r="BZ6" s="99"/>
      <c r="CA6" s="99"/>
      <c r="CB6" s="99"/>
      <c r="CC6" s="100"/>
      <c r="CD6" s="99"/>
      <c r="CE6" s="99"/>
      <c r="CF6" s="99"/>
      <c r="CG6" s="100"/>
      <c r="CH6" s="99"/>
      <c r="CI6" s="99"/>
      <c r="CJ6" s="99"/>
      <c r="CK6" s="100"/>
      <c r="CL6" s="99"/>
      <c r="CM6" s="99"/>
      <c r="CN6" s="99"/>
      <c r="CO6" s="100"/>
    </row>
    <row r="7" spans="1:93" outlineLevel="1" x14ac:dyDescent="0.3">
      <c r="A7" s="101" t="s">
        <v>1187</v>
      </c>
      <c r="B7" s="33">
        <f ca="1">IFERROR(AVERAGE(INDEX($B65:$W65,MATCH($B$3,$B$51:$W$51,0)-2):INDEX($B65:$W65,MATCH($B$3,$B$51:$W$51,0))),0)</f>
        <v>61333332.706666671</v>
      </c>
      <c r="C7" s="33">
        <f ca="1">IFERROR(SLOPE(INDEX($B65:$W65,1):INDEX($B65:$W65,MATCH($B$3,$B$51:$W$51,0)),INDEX($B$50:$W$50,1):INDEX($B$50:$W$50,MATCH($B$3,$B$51:$W$51,0))),0)</f>
        <v>9199999.7879999988</v>
      </c>
      <c r="D7" s="11">
        <f ca="1">IF($B7=0,"",$C7/$B7)</f>
        <v>0.14999999807608691</v>
      </c>
      <c r="E7" s="33">
        <f ca="1">MAX(0,ROUND($B7+$C7*3,-3))</f>
        <v>88933000</v>
      </c>
      <c r="F7" s="33"/>
      <c r="G7" s="33">
        <f>SUMIFS(TablaEgresos[Valor],TablaEgresos[Categoría],$A7,TablaEgresos[Mes],F$4)</f>
        <v>0</v>
      </c>
      <c r="H7" s="33" t="str">
        <f t="shared" ref="H7:H9" si="0">IF(F7="","",F7-G7)</f>
        <v/>
      </c>
      <c r="I7" s="11" t="str">
        <f t="shared" ref="I7:I9" si="1">IF(OR(F7="",F7=0),"",G7/F7)</f>
        <v/>
      </c>
      <c r="J7" s="33"/>
      <c r="K7" s="33">
        <f>SUMIFS(TablaEgresos[Valor],TablaEgresos[Categoría],$A7,TablaEgresos[Mes],J$4)</f>
        <v>114999999.12</v>
      </c>
      <c r="L7" s="33" t="str">
        <f t="shared" ref="L7:L9" si="2">IF(J7="","",J7-K7)</f>
        <v/>
      </c>
      <c r="M7" s="11" t="str">
        <f t="shared" ref="M7:M9" si="3">IF(OR(J7="",J7=0),"",K7/J7)</f>
        <v/>
      </c>
      <c r="N7" s="33"/>
      <c r="O7" s="33">
        <f>SUMIFS(TablaEgresos[Valor],TablaEgresos[Categoría],$A7,TablaEgresos[Mes],N$4)</f>
        <v>0</v>
      </c>
      <c r="P7" s="33" t="str">
        <f t="shared" ref="P7:P9" si="4">IF(N7="","",N7-O7)</f>
        <v/>
      </c>
      <c r="Q7" s="11" t="str">
        <f t="shared" ref="Q7:Q9" si="5">IF(OR(N7="",N7=0),"",O7/N7)</f>
        <v/>
      </c>
      <c r="R7" s="33"/>
      <c r="S7" s="33">
        <f>SUMIFS(TablaEgresos[Valor],TablaEgresos[Categoría],$A7,TablaEgresos[Mes],R$4)</f>
        <v>68999999</v>
      </c>
      <c r="T7" s="33" t="str">
        <f t="shared" ref="T7:T9" si="6">IF(R7="","",R7-S7)</f>
        <v/>
      </c>
      <c r="U7" s="11" t="str">
        <f t="shared" ref="U7:U9" si="7">IF(OR(R7="",R7=0),"",S7/R7)</f>
        <v/>
      </c>
      <c r="V7" s="102">
        <v>0</v>
      </c>
      <c r="W7" s="33">
        <f>SUMIFS(TablaEgresos[Valor],TablaEgresos[Categoría],$A7,TablaEgresos[Mes],V$4)</f>
        <v>0</v>
      </c>
      <c r="X7" s="33">
        <f t="shared" ref="X7:X9" si="8">IF(V7="","",V7-W7)</f>
        <v>0</v>
      </c>
      <c r="Y7" s="11" t="str">
        <f t="shared" ref="Y7:Y9" si="9">IF(OR(V7="",V7=0),"",W7/V7)</f>
        <v/>
      </c>
      <c r="Z7" s="102">
        <v>0</v>
      </c>
      <c r="AA7" s="33">
        <f>SUMIFS(TablaEgresos[Valor],TablaEgresos[Categoría],$A7,TablaEgresos[Mes],Z$4)</f>
        <v>0</v>
      </c>
      <c r="AB7" s="33">
        <f t="shared" ref="AB7:AB9" si="10">IF(Z7="","",Z7-AA7)</f>
        <v>0</v>
      </c>
      <c r="AC7" s="11" t="str">
        <f t="shared" ref="AC7:AC9" si="11">IF(OR(Z7="",Z7=0),"",AA7/Z7)</f>
        <v/>
      </c>
      <c r="AD7" s="102">
        <v>145471312</v>
      </c>
      <c r="AE7" s="33">
        <f>SUMIFS(TablaEgresos[Valor],TablaEgresos[Categoría],$A7,TablaEgresos[Mes],AD$4)</f>
        <v>0</v>
      </c>
      <c r="AF7" s="33">
        <f t="shared" ref="AF7:AF9" si="12">IF(AD7="","",AD7-AE7)</f>
        <v>145471312</v>
      </c>
      <c r="AG7" s="11">
        <f t="shared" ref="AG7:AG9" si="13">IF(OR(AD7="",AD7=0),"",AE7/AD7)</f>
        <v>0</v>
      </c>
      <c r="AH7" s="102">
        <v>149030808</v>
      </c>
      <c r="AI7" s="33">
        <f>SUMIFS(TablaEgresos[Valor],TablaEgresos[Categoría],$A7,TablaEgresos[Mes],AH$4)</f>
        <v>0</v>
      </c>
      <c r="AJ7" s="33">
        <f t="shared" ref="AJ7:AJ9" si="14">IF(AH7="","",AH7-AI7)</f>
        <v>149030808</v>
      </c>
      <c r="AK7" s="11">
        <f t="shared" ref="AK7:AK9" si="15">IF(OR(AH7="",AH7=0),"",AI7/AH7)</f>
        <v>0</v>
      </c>
      <c r="AL7" s="102">
        <v>255668507</v>
      </c>
      <c r="AM7" s="33">
        <f>SUMIFS(TablaEgresos[Valor],TablaEgresos[Categoría],$A7,TablaEgresos[Mes],AL$4)</f>
        <v>0</v>
      </c>
      <c r="AN7" s="33">
        <f t="shared" ref="AN7:AN9" si="16">IF(AL7="","",AL7-AM7)</f>
        <v>255668507</v>
      </c>
      <c r="AO7" s="11">
        <f t="shared" ref="AO7:AO9" si="17">IF(OR(AL7="",AL7=0),"",AM7/AL7)</f>
        <v>0</v>
      </c>
      <c r="AP7" s="102">
        <v>380000000</v>
      </c>
      <c r="AQ7" s="33">
        <f>SUMIFS(TablaEgresos[Valor],TablaEgresos[Categoría],$A7,TablaEgresos[Mes],AP$4)</f>
        <v>0</v>
      </c>
      <c r="AR7" s="33">
        <f t="shared" ref="AR7:AR9" si="18">IF(AP7="","",AP7-AQ7)</f>
        <v>380000000</v>
      </c>
      <c r="AS7" s="11">
        <f t="shared" ref="AS7:AS9" si="19">IF(OR(AP7="",AP7=0),"",AQ7/AP7)</f>
        <v>0</v>
      </c>
      <c r="AT7" s="103">
        <f ca="1">MAX(0,ROUND($B7+$C7*((YEAR(AT$4)-YEAR($B$3))*12+MONTH(AT$4)-MONTH($B$3)+1),-3))</f>
        <v>134933000</v>
      </c>
      <c r="AU7" s="33">
        <f>SUMIFS(TablaEgresos[Valor],TablaEgresos[Categoría],$A7,TablaEgresos[Mes],AT$4)</f>
        <v>0</v>
      </c>
      <c r="AV7" s="33">
        <f t="shared" ref="AV7:AV9" ca="1" si="20">IF(AT7="","",AT7-AU7)</f>
        <v>134933000</v>
      </c>
      <c r="AW7" s="11">
        <f t="shared" ref="AW7:AW9" ca="1" si="21">IF(OR(AT7="",AT7=0),"",AU7/AT7)</f>
        <v>0</v>
      </c>
      <c r="AX7" s="103">
        <f ca="1">MAX(0,ROUND($B7+$C7*((YEAR(AX$4)-YEAR($B$3))*12+MONTH(AX$4)-MONTH($B$3)+1),-3))</f>
        <v>144133000</v>
      </c>
      <c r="AY7" s="33">
        <f>SUMIFS(TablaEgresos[Valor],TablaEgresos[Categoría],$A7,TablaEgresos[Mes],AX$4)</f>
        <v>0</v>
      </c>
      <c r="AZ7" s="33">
        <f t="shared" ref="AZ7:AZ9" ca="1" si="22">IF(AX7="","",AX7-AY7)</f>
        <v>144133000</v>
      </c>
      <c r="BA7" s="11">
        <f t="shared" ref="BA7:BA9" ca="1" si="23">IF(OR(AX7="",AX7=0),"",AY7/AX7)</f>
        <v>0</v>
      </c>
      <c r="BB7" s="103">
        <f ca="1">MAX(0,ROUND($B7+$C7*((YEAR(BB$4)-YEAR($B$3))*12+MONTH(BB$4)-MONTH($B$3)+1),-3))</f>
        <v>153333000</v>
      </c>
      <c r="BC7" s="33">
        <f>SUMIFS(TablaEgresos[Valor],TablaEgresos[Categoría],$A7,TablaEgresos[Mes],BB$4)</f>
        <v>0</v>
      </c>
      <c r="BD7" s="33">
        <f t="shared" ref="BD7:BD9" ca="1" si="24">IF(BB7="","",BB7-BC7)</f>
        <v>153333000</v>
      </c>
      <c r="BE7" s="11">
        <f t="shared" ref="BE7:BE9" ca="1" si="25">IF(OR(BB7="",BB7=0),"",BC7/BB7)</f>
        <v>0</v>
      </c>
      <c r="BF7" s="103">
        <f ca="1">MAX(0,ROUND($B7+$C7*((YEAR(BF$4)-YEAR($B$3))*12+MONTH(BF$4)-MONTH($B$3)+1),-3))</f>
        <v>162533000</v>
      </c>
      <c r="BG7" s="33">
        <f>SUMIFS(TablaEgresos[Valor],TablaEgresos[Categoría],$A7,TablaEgresos[Mes],BF$4)</f>
        <v>0</v>
      </c>
      <c r="BH7" s="33">
        <f t="shared" ref="BH7:BH9" ca="1" si="26">IF(BF7="","",BF7-BG7)</f>
        <v>162533000</v>
      </c>
      <c r="BI7" s="11">
        <f t="shared" ref="BI7:BI9" ca="1" si="27">IF(OR(BF7="",BF7=0),"",BG7/BF7)</f>
        <v>0</v>
      </c>
      <c r="BJ7" s="103">
        <f ca="1">MAX(0,ROUND($B7+$C7*((YEAR(BJ$4)-YEAR($B$3))*12+MONTH(BJ$4)-MONTH($B$3)+1),-3))</f>
        <v>171733000</v>
      </c>
      <c r="BK7" s="33">
        <f>SUMIFS(TablaEgresos[Valor],TablaEgresos[Categoría],$A7,TablaEgresos[Mes],BJ$4)</f>
        <v>0</v>
      </c>
      <c r="BL7" s="33">
        <f t="shared" ref="BL7:BL9" ca="1" si="28">IF(BJ7="","",BJ7-BK7)</f>
        <v>171733000</v>
      </c>
      <c r="BM7" s="11">
        <f t="shared" ref="BM7:BM9" ca="1" si="29">IF(OR(BJ7="",BJ7=0),"",BK7/BJ7)</f>
        <v>0</v>
      </c>
      <c r="BN7" s="103">
        <f ca="1">MAX(0,ROUND($B7+$C7*((YEAR(BN$4)-YEAR($B$3))*12+MONTH(BN$4)-MONTH($B$3)+1),-3))</f>
        <v>180933000</v>
      </c>
      <c r="BO7" s="33">
        <f>SUMIFS(TablaEgresos[Valor],TablaEgresos[Categoría],$A7,TablaEgresos[Mes],BN$4)</f>
        <v>0</v>
      </c>
      <c r="BP7" s="33">
        <f t="shared" ref="BP7:BP9" ca="1" si="30">IF(BN7="","",BN7-BO7)</f>
        <v>180933000</v>
      </c>
      <c r="BQ7" s="11">
        <f t="shared" ref="BQ7:BQ9" ca="1" si="31">IF(OR(BN7="",BN7=0),"",BO7/BN7)</f>
        <v>0</v>
      </c>
      <c r="BR7" s="103">
        <f ca="1">MAX(0,ROUND($B7+$C7*((YEAR(BR$4)-YEAR($B$3))*12+MONTH(BR$4)-MONTH($B$3)+1),-3))</f>
        <v>190133000</v>
      </c>
      <c r="BS7" s="33">
        <f>SUMIFS(TablaEgresos[Valor],TablaEgresos[Categoría],$A7,TablaEgresos[Mes],BR$4)</f>
        <v>0</v>
      </c>
      <c r="BT7" s="33">
        <f t="shared" ref="BT7:BT9" ca="1" si="32">IF(BR7="","",BR7-BS7)</f>
        <v>190133000</v>
      </c>
      <c r="BU7" s="11">
        <f t="shared" ref="BU7:BU9" ca="1" si="33">IF(OR(BR7="",BR7=0),"",BS7/BR7)</f>
        <v>0</v>
      </c>
      <c r="BV7" s="103">
        <f ca="1">MAX(0,ROUND($B7+$C7*((YEAR(BV$4)-YEAR($B$3))*12+MONTH(BV$4)-MONTH($B$3)+1),-3))</f>
        <v>199333000</v>
      </c>
      <c r="BW7" s="33">
        <f>SUMIFS(TablaEgresos[Valor],TablaEgresos[Categoría],$A7,TablaEgresos[Mes],BV$4)</f>
        <v>0</v>
      </c>
      <c r="BX7" s="33">
        <f t="shared" ref="BX7:BX9" ca="1" si="34">IF(BV7="","",BV7-BW7)</f>
        <v>199333000</v>
      </c>
      <c r="BY7" s="11">
        <f t="shared" ref="BY7:BY9" ca="1" si="35">IF(OR(BV7="",BV7=0),"",BW7/BV7)</f>
        <v>0</v>
      </c>
      <c r="BZ7" s="103">
        <f ca="1">MAX(0,ROUND($B7+$C7*((YEAR(BZ$4)-YEAR($B$3))*12+MONTH(BZ$4)-MONTH($B$3)+1),-3))</f>
        <v>208533000</v>
      </c>
      <c r="CA7" s="33">
        <f>SUMIFS(TablaEgresos[Valor],TablaEgresos[Categoría],$A7,TablaEgresos[Mes],BZ$4)</f>
        <v>0</v>
      </c>
      <c r="CB7" s="33">
        <f t="shared" ref="CB7:CB9" ca="1" si="36">IF(BZ7="","",BZ7-CA7)</f>
        <v>208533000</v>
      </c>
      <c r="CC7" s="11">
        <f t="shared" ref="CC7:CC9" ca="1" si="37">IF(OR(BZ7="",BZ7=0),"",CA7/BZ7)</f>
        <v>0</v>
      </c>
      <c r="CD7" s="103">
        <f ca="1">MAX(0,ROUND($B7+$C7*((YEAR(CD$4)-YEAR($B$3))*12+MONTH(CD$4)-MONTH($B$3)+1),-3))</f>
        <v>217733000</v>
      </c>
      <c r="CE7" s="33">
        <f>SUMIFS(TablaEgresos[Valor],TablaEgresos[Categoría],$A7,TablaEgresos[Mes],CD$4)</f>
        <v>0</v>
      </c>
      <c r="CF7" s="33">
        <f t="shared" ref="CF7:CF9" ca="1" si="38">IF(CD7="","",CD7-CE7)</f>
        <v>217733000</v>
      </c>
      <c r="CG7" s="11">
        <f t="shared" ref="CG7:CG9" ca="1" si="39">IF(OR(CD7="",CD7=0),"",CE7/CD7)</f>
        <v>0</v>
      </c>
      <c r="CH7" s="103">
        <f ca="1">MAX(0,ROUND($B7+$C7*((YEAR(CH$4)-YEAR($B$3))*12+MONTH(CH$4)-MONTH($B$3)+1),-3))</f>
        <v>226933000</v>
      </c>
      <c r="CI7" s="33">
        <f>SUMIFS(TablaEgresos[Valor],TablaEgresos[Categoría],$A7,TablaEgresos[Mes],CH$4)</f>
        <v>0</v>
      </c>
      <c r="CJ7" s="33">
        <f t="shared" ref="CJ7:CJ9" ca="1" si="40">IF(CH7="","",CH7-CI7)</f>
        <v>226933000</v>
      </c>
      <c r="CK7" s="11">
        <f t="shared" ref="CK7:CK9" ca="1" si="41">IF(OR(CH7="",CH7=0),"",CI7/CH7)</f>
        <v>0</v>
      </c>
      <c r="CL7" s="103">
        <f ca="1">MAX(0,ROUND($B7+$C7*((YEAR(CL$4)-YEAR($B$3))*12+MONTH(CL$4)-MONTH($B$3)+1),-3))</f>
        <v>236133000</v>
      </c>
      <c r="CM7" s="33">
        <f>SUMIFS(TablaEgresos[Valor],TablaEgresos[Categoría],$A7,TablaEgresos[Mes],CL$4)</f>
        <v>0</v>
      </c>
      <c r="CN7" s="33">
        <f t="shared" ref="CN7:CN9" ca="1" si="42">IF(CL7="","",CL7-CM7)</f>
        <v>236133000</v>
      </c>
      <c r="CO7" s="11">
        <f t="shared" ref="CO7:CO9" ca="1" si="43">IF(OR(CL7="",CL7=0),"",CM7/CL7)</f>
        <v>0</v>
      </c>
    </row>
    <row r="8" spans="1:93" outlineLevel="1" x14ac:dyDescent="0.3">
      <c r="A8" s="101" t="s">
        <v>1185</v>
      </c>
      <c r="B8" s="33">
        <f ca="1">IFERROR(AVERAGE(INDEX($B56:$W56,MATCH($B$3,$B$51:$W$51,0)-2):INDEX($B56:$W56,MATCH($B$3,$B$51:$W$51,0))),0)</f>
        <v>5193888.8233333332</v>
      </c>
      <c r="C8" s="33">
        <f ca="1">IFERROR(SLOPE(INDEX($B56:$W56,1):INDEX($B56:$W56,MATCH($B$3,$B$51:$W$51,0)),INDEX($B$50:$W$50,1):INDEX($B$50:$W$50,MATCH($B$3,$B$51:$W$51,0))),0)</f>
        <v>4674499.9409999996</v>
      </c>
      <c r="D8" s="11">
        <f ca="1">IF($B8=0,"",$C8/$B8)</f>
        <v>0.89999999999999991</v>
      </c>
      <c r="E8" s="33">
        <f ca="1">MAX(0,ROUND($B8+$C8*3,-3))</f>
        <v>19217000</v>
      </c>
      <c r="F8" s="33"/>
      <c r="G8" s="33">
        <f>SUMIFS(TablaEgresos[Valor],TablaEgresos[Categoría],$A8,TablaEgresos[Mes],F$4)</f>
        <v>0</v>
      </c>
      <c r="H8" s="33" t="str">
        <f t="shared" si="0"/>
        <v/>
      </c>
      <c r="I8" s="11" t="str">
        <f t="shared" si="1"/>
        <v/>
      </c>
      <c r="J8" s="33"/>
      <c r="K8" s="33">
        <f>SUMIFS(TablaEgresos[Valor],TablaEgresos[Categoría],$A8,TablaEgresos[Mes],J$4)</f>
        <v>0</v>
      </c>
      <c r="L8" s="33" t="str">
        <f t="shared" si="2"/>
        <v/>
      </c>
      <c r="M8" s="11" t="str">
        <f t="shared" si="3"/>
        <v/>
      </c>
      <c r="N8" s="33"/>
      <c r="O8" s="33">
        <f>SUMIFS(TablaEgresos[Valor],TablaEgresos[Categoría],$A8,TablaEgresos[Mes],N$4)</f>
        <v>0</v>
      </c>
      <c r="P8" s="33" t="str">
        <f t="shared" si="4"/>
        <v/>
      </c>
      <c r="Q8" s="11" t="str">
        <f t="shared" si="5"/>
        <v/>
      </c>
      <c r="R8" s="33"/>
      <c r="S8" s="33">
        <f>SUMIFS(TablaEgresos[Valor],TablaEgresos[Categoría],$A8,TablaEgresos[Mes],R$4)</f>
        <v>15581666.469999999</v>
      </c>
      <c r="T8" s="33" t="str">
        <f t="shared" si="6"/>
        <v/>
      </c>
      <c r="U8" s="11" t="str">
        <f t="shared" si="7"/>
        <v/>
      </c>
      <c r="V8" s="102">
        <v>0</v>
      </c>
      <c r="W8" s="33">
        <f>SUMIFS(TablaEgresos[Valor],TablaEgresos[Categoría],$A8,TablaEgresos[Mes],V$4)</f>
        <v>10465679.98</v>
      </c>
      <c r="X8" s="33">
        <f t="shared" si="8"/>
        <v>-10465679.98</v>
      </c>
      <c r="Y8" s="11" t="str">
        <f t="shared" si="9"/>
        <v/>
      </c>
      <c r="Z8" s="102">
        <v>17000000</v>
      </c>
      <c r="AA8" s="33">
        <f>SUMIFS(TablaEgresos[Valor],TablaEgresos[Categoría],$A8,TablaEgresos[Mes],Z$4)</f>
        <v>0</v>
      </c>
      <c r="AB8" s="33">
        <f t="shared" si="10"/>
        <v>17000000</v>
      </c>
      <c r="AC8" s="11">
        <f t="shared" si="11"/>
        <v>0</v>
      </c>
      <c r="AD8" s="102">
        <v>22000000</v>
      </c>
      <c r="AE8" s="33">
        <f>SUMIFS(TablaEgresos[Valor],TablaEgresos[Categoría],$A8,TablaEgresos[Mes],AD$4)</f>
        <v>0</v>
      </c>
      <c r="AF8" s="33">
        <f t="shared" si="12"/>
        <v>22000000</v>
      </c>
      <c r="AG8" s="11">
        <f t="shared" si="13"/>
        <v>0</v>
      </c>
      <c r="AH8" s="102">
        <v>17000000</v>
      </c>
      <c r="AI8" s="33">
        <f>SUMIFS(TablaEgresos[Valor],TablaEgresos[Categoría],$A8,TablaEgresos[Mes],AH$4)</f>
        <v>0</v>
      </c>
      <c r="AJ8" s="33">
        <f t="shared" si="14"/>
        <v>17000000</v>
      </c>
      <c r="AK8" s="11">
        <f t="shared" si="15"/>
        <v>0</v>
      </c>
      <c r="AL8" s="102">
        <v>17000000</v>
      </c>
      <c r="AM8" s="33">
        <f>SUMIFS(TablaEgresos[Valor],TablaEgresos[Categoría],$A8,TablaEgresos[Mes],AL$4)</f>
        <v>0</v>
      </c>
      <c r="AN8" s="33">
        <f t="shared" si="16"/>
        <v>17000000</v>
      </c>
      <c r="AO8" s="11">
        <f t="shared" si="17"/>
        <v>0</v>
      </c>
      <c r="AP8" s="102">
        <v>17000000</v>
      </c>
      <c r="AQ8" s="33">
        <f>SUMIFS(TablaEgresos[Valor],TablaEgresos[Categoría],$A8,TablaEgresos[Mes],AP$4)</f>
        <v>0</v>
      </c>
      <c r="AR8" s="33">
        <f t="shared" si="18"/>
        <v>17000000</v>
      </c>
      <c r="AS8" s="11">
        <f t="shared" si="19"/>
        <v>0</v>
      </c>
      <c r="AT8" s="102">
        <v>17000000</v>
      </c>
      <c r="AU8" s="33">
        <f>SUMIFS(TablaEgresos[Valor],TablaEgresos[Categoría],$A8,TablaEgresos[Mes],AT$4)</f>
        <v>0</v>
      </c>
      <c r="AV8" s="33">
        <f t="shared" si="20"/>
        <v>17000000</v>
      </c>
      <c r="AW8" s="11">
        <f t="shared" si="21"/>
        <v>0</v>
      </c>
      <c r="AX8" s="102">
        <v>17000000</v>
      </c>
      <c r="AY8" s="33">
        <f>SUMIFS(TablaEgresos[Valor],TablaEgresos[Categoría],$A8,TablaEgresos[Mes],AX$4)</f>
        <v>0</v>
      </c>
      <c r="AZ8" s="33">
        <f t="shared" si="22"/>
        <v>17000000</v>
      </c>
      <c r="BA8" s="11">
        <f t="shared" si="23"/>
        <v>0</v>
      </c>
      <c r="BB8" s="102">
        <v>17000000</v>
      </c>
      <c r="BC8" s="33">
        <f>SUMIFS(TablaEgresos[Valor],TablaEgresos[Categoría],$A8,TablaEgresos[Mes],BB$4)</f>
        <v>0</v>
      </c>
      <c r="BD8" s="33">
        <f t="shared" si="24"/>
        <v>17000000</v>
      </c>
      <c r="BE8" s="11">
        <f t="shared" si="25"/>
        <v>0</v>
      </c>
      <c r="BF8" s="102">
        <v>17000000</v>
      </c>
      <c r="BG8" s="33">
        <f>SUMIFS(TablaEgresos[Valor],TablaEgresos[Categoría],$A8,TablaEgresos[Mes],BF$4)</f>
        <v>0</v>
      </c>
      <c r="BH8" s="33">
        <f t="shared" si="26"/>
        <v>17000000</v>
      </c>
      <c r="BI8" s="11">
        <f t="shared" si="27"/>
        <v>0</v>
      </c>
      <c r="BJ8" s="102">
        <v>17000000</v>
      </c>
      <c r="BK8" s="33">
        <f>SUMIFS(TablaEgresos[Valor],TablaEgresos[Categoría],$A8,TablaEgresos[Mes],BJ$4)</f>
        <v>0</v>
      </c>
      <c r="BL8" s="33">
        <f t="shared" si="28"/>
        <v>17000000</v>
      </c>
      <c r="BM8" s="11">
        <f t="shared" si="29"/>
        <v>0</v>
      </c>
      <c r="BN8" s="102">
        <v>17000000</v>
      </c>
      <c r="BO8" s="33">
        <f>SUMIFS(TablaEgresos[Valor],TablaEgresos[Categoría],$A8,TablaEgresos[Mes],BN$4)</f>
        <v>0</v>
      </c>
      <c r="BP8" s="33">
        <f t="shared" si="30"/>
        <v>17000000</v>
      </c>
      <c r="BQ8" s="11">
        <f t="shared" si="31"/>
        <v>0</v>
      </c>
      <c r="BR8" s="102">
        <v>17000000</v>
      </c>
      <c r="BS8" s="33">
        <f>SUMIFS(TablaEgresos[Valor],TablaEgresos[Categoría],$A8,TablaEgresos[Mes],BR$4)</f>
        <v>0</v>
      </c>
      <c r="BT8" s="33">
        <f t="shared" si="32"/>
        <v>17000000</v>
      </c>
      <c r="BU8" s="11">
        <f t="shared" si="33"/>
        <v>0</v>
      </c>
      <c r="BV8" s="102">
        <v>17000000</v>
      </c>
      <c r="BW8" s="33">
        <f>SUMIFS(TablaEgresos[Valor],TablaEgresos[Categoría],$A8,TablaEgresos[Mes],BV$4)</f>
        <v>0</v>
      </c>
      <c r="BX8" s="33">
        <f t="shared" si="34"/>
        <v>17000000</v>
      </c>
      <c r="BY8" s="11">
        <f t="shared" si="35"/>
        <v>0</v>
      </c>
      <c r="BZ8" s="102">
        <v>17000000</v>
      </c>
      <c r="CA8" s="33">
        <f>SUMIFS(TablaEgresos[Valor],TablaEgresos[Categoría],$A8,TablaEgresos[Mes],BZ$4)</f>
        <v>0</v>
      </c>
      <c r="CB8" s="33">
        <f t="shared" si="36"/>
        <v>17000000</v>
      </c>
      <c r="CC8" s="11">
        <f t="shared" si="37"/>
        <v>0</v>
      </c>
      <c r="CD8" s="102">
        <v>17000000</v>
      </c>
      <c r="CE8" s="33">
        <f>SUMIFS(TablaEgresos[Valor],TablaEgresos[Categoría],$A8,TablaEgresos[Mes],CD$4)</f>
        <v>0</v>
      </c>
      <c r="CF8" s="33">
        <f t="shared" si="38"/>
        <v>17000000</v>
      </c>
      <c r="CG8" s="11">
        <f t="shared" si="39"/>
        <v>0</v>
      </c>
      <c r="CH8" s="102">
        <v>17000000</v>
      </c>
      <c r="CI8" s="33">
        <f>SUMIFS(TablaEgresos[Valor],TablaEgresos[Categoría],$A8,TablaEgresos[Mes],CH$4)</f>
        <v>0</v>
      </c>
      <c r="CJ8" s="33">
        <f t="shared" si="40"/>
        <v>17000000</v>
      </c>
      <c r="CK8" s="11">
        <f t="shared" si="41"/>
        <v>0</v>
      </c>
      <c r="CL8" s="102">
        <v>17000000</v>
      </c>
      <c r="CM8" s="33">
        <f>SUMIFS(TablaEgresos[Valor],TablaEgresos[Categoría],$A8,TablaEgresos[Mes],CL$4)</f>
        <v>0</v>
      </c>
      <c r="CN8" s="33">
        <f t="shared" si="42"/>
        <v>17000000</v>
      </c>
      <c r="CO8" s="11">
        <f t="shared" si="43"/>
        <v>0</v>
      </c>
    </row>
    <row r="9" spans="1:93" outlineLevel="1" x14ac:dyDescent="0.3">
      <c r="A9" s="101" t="s">
        <v>1202</v>
      </c>
      <c r="B9" s="33">
        <f ca="1">IFERROR(AVERAGE(INDEX($B55:$W55,MATCH($B$3,$B$51:$W$51,0)-2):INDEX($B55:$W55,MATCH($B$3,$B$51:$W$51,0))),0)</f>
        <v>0</v>
      </c>
      <c r="C9" s="33">
        <f ca="1">IFERROR(SLOPE(INDEX($B55:$W55,1):INDEX($B55:$W55,MATCH($B$3,$B$51:$W$51,0)),INDEX($B$50:$W$50,1):INDEX($B$50:$W$50,MATCH($B$3,$B$51:$W$51,0))),0)</f>
        <v>0</v>
      </c>
      <c r="D9" s="11" t="str">
        <f ca="1">IF($B9=0,"",$C9/$B9)</f>
        <v/>
      </c>
      <c r="E9" s="33">
        <f ca="1">MAX(0,ROUND($B9+$C9*3,-3))</f>
        <v>0</v>
      </c>
      <c r="F9" s="33"/>
      <c r="G9" s="33">
        <f>SUMIFS(TablaEgresos[Valor],TablaEgresos[Categoría],$A9,TablaEgresos[Mes],F$4)</f>
        <v>0</v>
      </c>
      <c r="H9" s="33" t="str">
        <f t="shared" si="0"/>
        <v/>
      </c>
      <c r="I9" s="11" t="str">
        <f t="shared" si="1"/>
        <v/>
      </c>
      <c r="J9" s="33"/>
      <c r="K9" s="33">
        <f>SUMIFS(TablaEgresos[Valor],TablaEgresos[Categoría],$A9,TablaEgresos[Mes],J$4)</f>
        <v>0</v>
      </c>
      <c r="L9" s="33" t="str">
        <f t="shared" si="2"/>
        <v/>
      </c>
      <c r="M9" s="11" t="str">
        <f t="shared" si="3"/>
        <v/>
      </c>
      <c r="N9" s="33"/>
      <c r="O9" s="33">
        <f>SUMIFS(TablaEgresos[Valor],TablaEgresos[Categoría],$A9,TablaEgresos[Mes],N$4)</f>
        <v>0</v>
      </c>
      <c r="P9" s="33" t="str">
        <f t="shared" si="4"/>
        <v/>
      </c>
      <c r="Q9" s="11" t="str">
        <f t="shared" si="5"/>
        <v/>
      </c>
      <c r="R9" s="33"/>
      <c r="S9" s="33">
        <f>SUMIFS(TablaEgresos[Valor],TablaEgresos[Categoría],$A9,TablaEgresos[Mes],R$4)</f>
        <v>0</v>
      </c>
      <c r="T9" s="33" t="str">
        <f t="shared" si="6"/>
        <v/>
      </c>
      <c r="U9" s="11" t="str">
        <f t="shared" si="7"/>
        <v/>
      </c>
      <c r="V9" s="102">
        <v>2200000</v>
      </c>
      <c r="W9" s="33">
        <f>SUMIFS(TablaEgresos[Valor],TablaEgresos[Categoría],$A9,TablaEgresos[Mes],V$4)</f>
        <v>0</v>
      </c>
      <c r="X9" s="33">
        <f t="shared" si="8"/>
        <v>2200000</v>
      </c>
      <c r="Y9" s="11">
        <f t="shared" si="9"/>
        <v>0</v>
      </c>
      <c r="Z9" s="102">
        <v>4000000</v>
      </c>
      <c r="AA9" s="33">
        <f>SUMIFS(TablaEgresos[Valor],TablaEgresos[Categoría],$A9,TablaEgresos[Mes],Z$4)</f>
        <v>0</v>
      </c>
      <c r="AB9" s="33">
        <f t="shared" si="10"/>
        <v>4000000</v>
      </c>
      <c r="AC9" s="11">
        <f t="shared" si="11"/>
        <v>0</v>
      </c>
      <c r="AD9" s="102">
        <v>4000000</v>
      </c>
      <c r="AE9" s="33">
        <f>SUMIFS(TablaEgresos[Valor],TablaEgresos[Categoría],$A9,TablaEgresos[Mes],AD$4)</f>
        <v>0</v>
      </c>
      <c r="AF9" s="33">
        <f t="shared" si="12"/>
        <v>4000000</v>
      </c>
      <c r="AG9" s="11">
        <f t="shared" si="13"/>
        <v>0</v>
      </c>
      <c r="AH9" s="102">
        <v>4000000</v>
      </c>
      <c r="AI9" s="33">
        <f>SUMIFS(TablaEgresos[Valor],TablaEgresos[Categoría],$A9,TablaEgresos[Mes],AH$4)</f>
        <v>0</v>
      </c>
      <c r="AJ9" s="33">
        <f t="shared" si="14"/>
        <v>4000000</v>
      </c>
      <c r="AK9" s="11">
        <f t="shared" si="15"/>
        <v>0</v>
      </c>
      <c r="AL9" s="102">
        <v>4000000</v>
      </c>
      <c r="AM9" s="33">
        <f>SUMIFS(TablaEgresos[Valor],TablaEgresos[Categoría],$A9,TablaEgresos[Mes],AL$4)</f>
        <v>0</v>
      </c>
      <c r="AN9" s="33">
        <f t="shared" si="16"/>
        <v>4000000</v>
      </c>
      <c r="AO9" s="11">
        <f t="shared" si="17"/>
        <v>0</v>
      </c>
      <c r="AP9" s="102">
        <v>4000000</v>
      </c>
      <c r="AQ9" s="33">
        <f>SUMIFS(TablaEgresos[Valor],TablaEgresos[Categoría],$A9,TablaEgresos[Mes],AP$4)</f>
        <v>0</v>
      </c>
      <c r="AR9" s="33">
        <f t="shared" si="18"/>
        <v>4000000</v>
      </c>
      <c r="AS9" s="11">
        <f t="shared" si="19"/>
        <v>0</v>
      </c>
      <c r="AT9" s="102">
        <v>4000000</v>
      </c>
      <c r="AU9" s="33">
        <f>SUMIFS(TablaEgresos[Valor],TablaEgresos[Categoría],$A9,TablaEgresos[Mes],AT$4)</f>
        <v>0</v>
      </c>
      <c r="AV9" s="33">
        <f t="shared" si="20"/>
        <v>4000000</v>
      </c>
      <c r="AW9" s="11">
        <f t="shared" si="21"/>
        <v>0</v>
      </c>
      <c r="AX9" s="102">
        <v>4000000</v>
      </c>
      <c r="AY9" s="33">
        <f>SUMIFS(TablaEgresos[Valor],TablaEgresos[Categoría],$A9,TablaEgresos[Mes],AX$4)</f>
        <v>0</v>
      </c>
      <c r="AZ9" s="33">
        <f t="shared" si="22"/>
        <v>4000000</v>
      </c>
      <c r="BA9" s="11">
        <f t="shared" si="23"/>
        <v>0</v>
      </c>
      <c r="BB9" s="102">
        <v>4000000</v>
      </c>
      <c r="BC9" s="33">
        <f>SUMIFS(TablaEgresos[Valor],TablaEgresos[Categoría],$A9,TablaEgresos[Mes],BB$4)</f>
        <v>0</v>
      </c>
      <c r="BD9" s="33">
        <f t="shared" si="24"/>
        <v>4000000</v>
      </c>
      <c r="BE9" s="11">
        <f t="shared" si="25"/>
        <v>0</v>
      </c>
      <c r="BF9" s="102">
        <v>4000000</v>
      </c>
      <c r="BG9" s="33">
        <f>SUMIFS(TablaEgresos[Valor],TablaEgresos[Categoría],$A9,TablaEgresos[Mes],BF$4)</f>
        <v>0</v>
      </c>
      <c r="BH9" s="33">
        <f t="shared" si="26"/>
        <v>4000000</v>
      </c>
      <c r="BI9" s="11">
        <f t="shared" si="27"/>
        <v>0</v>
      </c>
      <c r="BJ9" s="102">
        <v>4000000</v>
      </c>
      <c r="BK9" s="33">
        <f>SUMIFS(TablaEgresos[Valor],TablaEgresos[Categoría],$A9,TablaEgresos[Mes],BJ$4)</f>
        <v>0</v>
      </c>
      <c r="BL9" s="33">
        <f t="shared" si="28"/>
        <v>4000000</v>
      </c>
      <c r="BM9" s="11">
        <f t="shared" si="29"/>
        <v>0</v>
      </c>
      <c r="BN9" s="102">
        <v>4000000</v>
      </c>
      <c r="BO9" s="33">
        <f>SUMIFS(TablaEgresos[Valor],TablaEgresos[Categoría],$A9,TablaEgresos[Mes],BN$4)</f>
        <v>0</v>
      </c>
      <c r="BP9" s="33">
        <f t="shared" si="30"/>
        <v>4000000</v>
      </c>
      <c r="BQ9" s="11">
        <f t="shared" si="31"/>
        <v>0</v>
      </c>
      <c r="BR9" s="102">
        <v>4000000</v>
      </c>
      <c r="BS9" s="33">
        <f>SUMIFS(TablaEgresos[Valor],TablaEgresos[Categoría],$A9,TablaEgresos[Mes],BR$4)</f>
        <v>0</v>
      </c>
      <c r="BT9" s="33">
        <f t="shared" si="32"/>
        <v>4000000</v>
      </c>
      <c r="BU9" s="11">
        <f t="shared" si="33"/>
        <v>0</v>
      </c>
      <c r="BV9" s="102">
        <v>4000000</v>
      </c>
      <c r="BW9" s="33">
        <f>SUMIFS(TablaEgresos[Valor],TablaEgresos[Categoría],$A9,TablaEgresos[Mes],BV$4)</f>
        <v>0</v>
      </c>
      <c r="BX9" s="33">
        <f t="shared" si="34"/>
        <v>4000000</v>
      </c>
      <c r="BY9" s="11">
        <f t="shared" si="35"/>
        <v>0</v>
      </c>
      <c r="BZ9" s="102">
        <v>4000000</v>
      </c>
      <c r="CA9" s="33">
        <f>SUMIFS(TablaEgresos[Valor],TablaEgresos[Categoría],$A9,TablaEgresos[Mes],BZ$4)</f>
        <v>0</v>
      </c>
      <c r="CB9" s="33">
        <f t="shared" si="36"/>
        <v>4000000</v>
      </c>
      <c r="CC9" s="11">
        <f t="shared" si="37"/>
        <v>0</v>
      </c>
      <c r="CD9" s="102">
        <v>4000000</v>
      </c>
      <c r="CE9" s="33">
        <f>SUMIFS(TablaEgresos[Valor],TablaEgresos[Categoría],$A9,TablaEgresos[Mes],CD$4)</f>
        <v>0</v>
      </c>
      <c r="CF9" s="33">
        <f t="shared" si="38"/>
        <v>4000000</v>
      </c>
      <c r="CG9" s="11">
        <f t="shared" si="39"/>
        <v>0</v>
      </c>
      <c r="CH9" s="102">
        <v>4000000</v>
      </c>
      <c r="CI9" s="33">
        <f>SUMIFS(TablaEgresos[Valor],TablaEgresos[Categoría],$A9,TablaEgresos[Mes],CH$4)</f>
        <v>0</v>
      </c>
      <c r="CJ9" s="33">
        <f t="shared" si="40"/>
        <v>4000000</v>
      </c>
      <c r="CK9" s="11">
        <f t="shared" si="41"/>
        <v>0</v>
      </c>
      <c r="CL9" s="102">
        <v>4000000</v>
      </c>
      <c r="CM9" s="33">
        <f>SUMIFS(TablaEgresos[Valor],TablaEgresos[Categoría],$A9,TablaEgresos[Mes],CL$4)</f>
        <v>0</v>
      </c>
      <c r="CN9" s="33">
        <f t="shared" si="42"/>
        <v>4000000</v>
      </c>
      <c r="CO9" s="11">
        <f t="shared" si="43"/>
        <v>0</v>
      </c>
    </row>
    <row r="10" spans="1:93" x14ac:dyDescent="0.3">
      <c r="A10" s="87" t="s">
        <v>1203</v>
      </c>
      <c r="B10" s="88">
        <f ca="1">SUM(B7:B9)</f>
        <v>66527221.530000001</v>
      </c>
      <c r="C10" s="88">
        <f ca="1">SUM(C7:C9)</f>
        <v>13874499.728999998</v>
      </c>
      <c r="D10" s="104">
        <f ca="1">IF(B10=0,"",C10/B10)</f>
        <v>0.20855372297103053</v>
      </c>
      <c r="E10" s="88">
        <f ca="1">SUM(E7:E9)</f>
        <v>108150000</v>
      </c>
      <c r="F10" s="88">
        <f>SUM(F7:F9)</f>
        <v>0</v>
      </c>
      <c r="G10" s="88">
        <f>SUM(G7:G9)</f>
        <v>0</v>
      </c>
      <c r="H10" s="88">
        <f>SUM(H7:H9)</f>
        <v>0</v>
      </c>
      <c r="I10" s="104" t="str">
        <f>IF(F10=0,"",G10/F10)</f>
        <v/>
      </c>
      <c r="J10" s="88">
        <f t="shared" ref="J10:L10" si="44">SUM(J7:J9)</f>
        <v>0</v>
      </c>
      <c r="K10" s="88">
        <f t="shared" si="44"/>
        <v>114999999.12</v>
      </c>
      <c r="L10" s="88">
        <f t="shared" si="44"/>
        <v>0</v>
      </c>
      <c r="M10" s="104" t="str">
        <f t="shared" ref="M10" si="45">IF(J10=0,"",K10/J10)</f>
        <v/>
      </c>
      <c r="N10" s="88">
        <f t="shared" ref="N10:P10" si="46">SUM(N7:N9)</f>
        <v>0</v>
      </c>
      <c r="O10" s="88">
        <f t="shared" si="46"/>
        <v>0</v>
      </c>
      <c r="P10" s="88">
        <f t="shared" si="46"/>
        <v>0</v>
      </c>
      <c r="Q10" s="104" t="str">
        <f t="shared" ref="Q10" si="47">IF(N10=0,"",O10/N10)</f>
        <v/>
      </c>
      <c r="R10" s="88">
        <f t="shared" ref="R10:T10" si="48">SUM(R7:R9)</f>
        <v>0</v>
      </c>
      <c r="S10" s="88">
        <f t="shared" si="48"/>
        <v>84581665.469999999</v>
      </c>
      <c r="T10" s="88">
        <f t="shared" si="48"/>
        <v>0</v>
      </c>
      <c r="U10" s="104" t="str">
        <f t="shared" ref="U10" si="49">IF(R10=0,"",S10/R10)</f>
        <v/>
      </c>
      <c r="V10" s="88">
        <f t="shared" ref="V10:X10" si="50">SUM(V7:V9)</f>
        <v>2200000</v>
      </c>
      <c r="W10" s="88">
        <f t="shared" si="50"/>
        <v>10465679.98</v>
      </c>
      <c r="X10" s="88">
        <f t="shared" si="50"/>
        <v>-8265679.9800000004</v>
      </c>
      <c r="Y10" s="104">
        <f t="shared" ref="Y10" si="51">IF(V10=0,"",W10/V10)</f>
        <v>4.757127263636364</v>
      </c>
      <c r="Z10" s="88">
        <f t="shared" ref="Z10:AB10" si="52">SUM(Z7:Z9)</f>
        <v>21000000</v>
      </c>
      <c r="AA10" s="88">
        <f t="shared" si="52"/>
        <v>0</v>
      </c>
      <c r="AB10" s="88">
        <f t="shared" si="52"/>
        <v>21000000</v>
      </c>
      <c r="AC10" s="104">
        <f t="shared" ref="AC10" si="53">IF(Z10=0,"",AA10/Z10)</f>
        <v>0</v>
      </c>
      <c r="AD10" s="88">
        <f t="shared" ref="AD10:AF10" si="54">SUM(AD7:AD9)</f>
        <v>171471312</v>
      </c>
      <c r="AE10" s="88">
        <f t="shared" si="54"/>
        <v>0</v>
      </c>
      <c r="AF10" s="88">
        <f t="shared" si="54"/>
        <v>171471312</v>
      </c>
      <c r="AG10" s="104">
        <f t="shared" ref="AG10" si="55">IF(AD10=0,"",AE10/AD10)</f>
        <v>0</v>
      </c>
      <c r="AH10" s="88">
        <f t="shared" ref="AH10:AJ10" si="56">SUM(AH7:AH9)</f>
        <v>170030808</v>
      </c>
      <c r="AI10" s="88">
        <f t="shared" si="56"/>
        <v>0</v>
      </c>
      <c r="AJ10" s="88">
        <f t="shared" si="56"/>
        <v>170030808</v>
      </c>
      <c r="AK10" s="104">
        <f t="shared" ref="AK10" si="57">IF(AH10=0,"",AI10/AH10)</f>
        <v>0</v>
      </c>
      <c r="AL10" s="88">
        <f t="shared" ref="AL10:AN10" si="58">SUM(AL7:AL9)</f>
        <v>276668507</v>
      </c>
      <c r="AM10" s="88">
        <f t="shared" si="58"/>
        <v>0</v>
      </c>
      <c r="AN10" s="88">
        <f t="shared" si="58"/>
        <v>276668507</v>
      </c>
      <c r="AO10" s="104">
        <f t="shared" ref="AO10" si="59">IF(AL10=0,"",AM10/AL10)</f>
        <v>0</v>
      </c>
      <c r="AP10" s="88">
        <f t="shared" ref="AP10:AR10" si="60">SUM(AP7:AP9)</f>
        <v>401000000</v>
      </c>
      <c r="AQ10" s="88">
        <f t="shared" si="60"/>
        <v>0</v>
      </c>
      <c r="AR10" s="88">
        <f t="shared" si="60"/>
        <v>401000000</v>
      </c>
      <c r="AS10" s="104">
        <f t="shared" ref="AS10" si="61">IF(AP10=0,"",AQ10/AP10)</f>
        <v>0</v>
      </c>
      <c r="AT10" s="105">
        <f t="shared" ref="AT10:AV10" ca="1" si="62">SUM(AT7:AT9)</f>
        <v>155933000</v>
      </c>
      <c r="AU10" s="88">
        <f t="shared" si="62"/>
        <v>0</v>
      </c>
      <c r="AV10" s="88">
        <f t="shared" ca="1" si="62"/>
        <v>155933000</v>
      </c>
      <c r="AW10" s="104">
        <f t="shared" ref="AW10" ca="1" si="63">IF(AT10=0,"",AU10/AT10)</f>
        <v>0</v>
      </c>
      <c r="AX10" s="105">
        <f t="shared" ref="AX10:AZ10" ca="1" si="64">SUM(AX7:AX9)</f>
        <v>165133000</v>
      </c>
      <c r="AY10" s="88">
        <f t="shared" si="64"/>
        <v>0</v>
      </c>
      <c r="AZ10" s="88">
        <f t="shared" ca="1" si="64"/>
        <v>165133000</v>
      </c>
      <c r="BA10" s="104">
        <f t="shared" ref="BA10" ca="1" si="65">IF(AX10=0,"",AY10/AX10)</f>
        <v>0</v>
      </c>
      <c r="BB10" s="105">
        <f t="shared" ref="BB10:BD10" ca="1" si="66">SUM(BB7:BB9)</f>
        <v>174333000</v>
      </c>
      <c r="BC10" s="88">
        <f t="shared" si="66"/>
        <v>0</v>
      </c>
      <c r="BD10" s="88">
        <f t="shared" ca="1" si="66"/>
        <v>174333000</v>
      </c>
      <c r="BE10" s="104">
        <f t="shared" ref="BE10" ca="1" si="67">IF(BB10=0,"",BC10/BB10)</f>
        <v>0</v>
      </c>
      <c r="BF10" s="105">
        <f t="shared" ref="BF10:BH10" ca="1" si="68">SUM(BF7:BF9)</f>
        <v>183533000</v>
      </c>
      <c r="BG10" s="88">
        <f t="shared" si="68"/>
        <v>0</v>
      </c>
      <c r="BH10" s="88">
        <f t="shared" ca="1" si="68"/>
        <v>183533000</v>
      </c>
      <c r="BI10" s="104">
        <f t="shared" ref="BI10" ca="1" si="69">IF(BF10=0,"",BG10/BF10)</f>
        <v>0</v>
      </c>
      <c r="BJ10" s="105">
        <f t="shared" ref="BJ10:BL10" ca="1" si="70">SUM(BJ7:BJ9)</f>
        <v>192733000</v>
      </c>
      <c r="BK10" s="88">
        <f t="shared" si="70"/>
        <v>0</v>
      </c>
      <c r="BL10" s="88">
        <f t="shared" ca="1" si="70"/>
        <v>192733000</v>
      </c>
      <c r="BM10" s="104">
        <f t="shared" ref="BM10" ca="1" si="71">IF(BJ10=0,"",BK10/BJ10)</f>
        <v>0</v>
      </c>
      <c r="BN10" s="105">
        <f t="shared" ref="BN10:BP10" ca="1" si="72">SUM(BN7:BN9)</f>
        <v>201933000</v>
      </c>
      <c r="BO10" s="88">
        <f t="shared" si="72"/>
        <v>0</v>
      </c>
      <c r="BP10" s="88">
        <f t="shared" ca="1" si="72"/>
        <v>201933000</v>
      </c>
      <c r="BQ10" s="104">
        <f t="shared" ref="BQ10" ca="1" si="73">IF(BN10=0,"",BO10/BN10)</f>
        <v>0</v>
      </c>
      <c r="BR10" s="105">
        <f t="shared" ref="BR10:BT10" ca="1" si="74">SUM(BR7:BR9)</f>
        <v>211133000</v>
      </c>
      <c r="BS10" s="88">
        <f t="shared" si="74"/>
        <v>0</v>
      </c>
      <c r="BT10" s="88">
        <f t="shared" ca="1" si="74"/>
        <v>211133000</v>
      </c>
      <c r="BU10" s="104">
        <f t="shared" ref="BU10" ca="1" si="75">IF(BR10=0,"",BS10/BR10)</f>
        <v>0</v>
      </c>
      <c r="BV10" s="105">
        <f t="shared" ref="BV10:BX10" ca="1" si="76">SUM(BV7:BV9)</f>
        <v>220333000</v>
      </c>
      <c r="BW10" s="88">
        <f t="shared" si="76"/>
        <v>0</v>
      </c>
      <c r="BX10" s="88">
        <f t="shared" ca="1" si="76"/>
        <v>220333000</v>
      </c>
      <c r="BY10" s="104">
        <f t="shared" ref="BY10" ca="1" si="77">IF(BV10=0,"",BW10/BV10)</f>
        <v>0</v>
      </c>
      <c r="BZ10" s="105">
        <f t="shared" ref="BZ10:CB10" ca="1" si="78">SUM(BZ7:BZ9)</f>
        <v>229533000</v>
      </c>
      <c r="CA10" s="88">
        <f t="shared" si="78"/>
        <v>0</v>
      </c>
      <c r="CB10" s="88">
        <f t="shared" ca="1" si="78"/>
        <v>229533000</v>
      </c>
      <c r="CC10" s="104">
        <f t="shared" ref="CC10" ca="1" si="79">IF(BZ10=0,"",CA10/BZ10)</f>
        <v>0</v>
      </c>
      <c r="CD10" s="105">
        <f t="shared" ref="CD10:CF10" ca="1" si="80">SUM(CD7:CD9)</f>
        <v>238733000</v>
      </c>
      <c r="CE10" s="88">
        <f t="shared" si="80"/>
        <v>0</v>
      </c>
      <c r="CF10" s="88">
        <f t="shared" ca="1" si="80"/>
        <v>238733000</v>
      </c>
      <c r="CG10" s="104">
        <f t="shared" ref="CG10" ca="1" si="81">IF(CD10=0,"",CE10/CD10)</f>
        <v>0</v>
      </c>
      <c r="CH10" s="105">
        <f t="shared" ref="CH10:CJ10" ca="1" si="82">SUM(CH7:CH9)</f>
        <v>247933000</v>
      </c>
      <c r="CI10" s="88">
        <f t="shared" si="82"/>
        <v>0</v>
      </c>
      <c r="CJ10" s="88">
        <f t="shared" ca="1" si="82"/>
        <v>247933000</v>
      </c>
      <c r="CK10" s="104">
        <f t="shared" ref="CK10" ca="1" si="83">IF(CH10=0,"",CI10/CH10)</f>
        <v>0</v>
      </c>
      <c r="CL10" s="105">
        <f t="shared" ref="CL10:CN10" ca="1" si="84">SUM(CL7:CL9)</f>
        <v>257133000</v>
      </c>
      <c r="CM10" s="88">
        <f t="shared" si="84"/>
        <v>0</v>
      </c>
      <c r="CN10" s="88">
        <f t="shared" ca="1" si="84"/>
        <v>257133000</v>
      </c>
      <c r="CO10" s="104">
        <f t="shared" ref="CO10" ca="1" si="85">IF(CL10=0,"",CM10/CL10)</f>
        <v>0</v>
      </c>
    </row>
    <row r="11" spans="1:93" x14ac:dyDescent="0.3">
      <c r="A11" s="106" t="s">
        <v>403</v>
      </c>
      <c r="B11" s="107"/>
      <c r="C11" s="107"/>
      <c r="D11" s="108"/>
      <c r="E11" s="107"/>
      <c r="F11" s="107"/>
      <c r="G11" s="107"/>
      <c r="H11" s="107"/>
      <c r="I11" s="108"/>
      <c r="J11" s="107"/>
      <c r="K11" s="107"/>
      <c r="L11" s="107"/>
      <c r="M11" s="108"/>
      <c r="N11" s="107"/>
      <c r="O11" s="107"/>
      <c r="P11" s="107"/>
      <c r="Q11" s="108"/>
      <c r="R11" s="107"/>
      <c r="S11" s="107"/>
      <c r="T11" s="107"/>
      <c r="U11" s="108"/>
      <c r="V11" s="107"/>
      <c r="W11" s="107"/>
      <c r="X11" s="107"/>
      <c r="Y11" s="108"/>
      <c r="Z11" s="107"/>
      <c r="AA11" s="107"/>
      <c r="AB11" s="107"/>
      <c r="AC11" s="108"/>
      <c r="AD11" s="107"/>
      <c r="AE11" s="107"/>
      <c r="AF11" s="107"/>
      <c r="AG11" s="108"/>
      <c r="AH11" s="107"/>
      <c r="AI11" s="107"/>
      <c r="AJ11" s="107"/>
      <c r="AK11" s="108"/>
      <c r="AL11" s="107"/>
      <c r="AM11" s="107"/>
      <c r="AN11" s="107"/>
      <c r="AO11" s="108"/>
      <c r="AP11" s="107"/>
      <c r="AQ11" s="107"/>
      <c r="AR11" s="107"/>
      <c r="AS11" s="108"/>
      <c r="AT11" s="107"/>
      <c r="AU11" s="107"/>
      <c r="AV11" s="107"/>
      <c r="AW11" s="108"/>
      <c r="AX11" s="107"/>
      <c r="AY11" s="107"/>
      <c r="AZ11" s="107"/>
      <c r="BA11" s="108"/>
      <c r="BB11" s="107"/>
      <c r="BC11" s="107"/>
      <c r="BD11" s="107"/>
      <c r="BE11" s="108"/>
      <c r="BF11" s="107"/>
      <c r="BG11" s="107"/>
      <c r="BH11" s="107"/>
      <c r="BI11" s="108"/>
      <c r="BJ11" s="107"/>
      <c r="BK11" s="107"/>
      <c r="BL11" s="107"/>
      <c r="BM11" s="108"/>
      <c r="BN11" s="107"/>
      <c r="BO11" s="107"/>
      <c r="BP11" s="107"/>
      <c r="BQ11" s="108"/>
      <c r="BR11" s="107"/>
      <c r="BS11" s="107"/>
      <c r="BT11" s="107"/>
      <c r="BU11" s="108"/>
      <c r="BV11" s="107"/>
      <c r="BW11" s="107"/>
      <c r="BX11" s="107"/>
      <c r="BY11" s="108"/>
      <c r="BZ11" s="107"/>
      <c r="CA11" s="107"/>
      <c r="CB11" s="107"/>
      <c r="CC11" s="108"/>
      <c r="CD11" s="107"/>
      <c r="CE11" s="107"/>
      <c r="CF11" s="107"/>
      <c r="CG11" s="108"/>
      <c r="CH11" s="107"/>
      <c r="CI11" s="107"/>
      <c r="CJ11" s="107"/>
      <c r="CK11" s="108"/>
      <c r="CL11" s="107"/>
      <c r="CM11" s="107"/>
      <c r="CN11" s="107"/>
      <c r="CO11" s="108"/>
    </row>
    <row r="12" spans="1:93" outlineLevel="1" x14ac:dyDescent="0.3">
      <c r="A12" s="101" t="s">
        <v>18</v>
      </c>
      <c r="B12" s="33">
        <f ca="1">IFERROR(AVERAGE(INDEX($B53:$W53,MATCH($B$3,$B$51:$W$51,0)-2):INDEX($B53:$W53,MATCH($B$3,$B$51:$W$51,0))),0)</f>
        <v>0</v>
      </c>
      <c r="C12" s="33">
        <f ca="1">IFERROR(SLOPE(INDEX($B53:$W53,1):INDEX($B53:$W53,MATCH($B$3,$B$51:$W$51,0)),INDEX($B$50:$W$50,1):INDEX($B$50:$W$50,MATCH($B$3,$B$51:$W$51,0))),0)</f>
        <v>0</v>
      </c>
      <c r="D12" s="11" t="str">
        <f ca="1">IF($B12=0,"",$C12/$B12)</f>
        <v/>
      </c>
      <c r="E12" s="33">
        <f ca="1">MAX(0,ROUND($B12+$C12*3,-3))</f>
        <v>0</v>
      </c>
      <c r="F12" s="33"/>
      <c r="G12" s="33">
        <f>SUMIFS(TablaEgresos[Valor],TablaEgresos[Categoría],$A12,TablaEgresos[Mes],F$4)</f>
        <v>0</v>
      </c>
      <c r="H12" s="33" t="str">
        <f>IF(F12="","",F12-G12)</f>
        <v/>
      </c>
      <c r="I12" s="11" t="str">
        <f>IF(OR(F12="",F12=0),"",G12/F12)</f>
        <v/>
      </c>
      <c r="J12" s="33"/>
      <c r="K12" s="33">
        <f>SUMIFS(TablaEgresos[Valor],TablaEgresos[Categoría],$A12,TablaEgresos[Mes],J$4)</f>
        <v>0</v>
      </c>
      <c r="L12" s="33" t="str">
        <f t="shared" ref="L12:L22" si="86">IF(J12="","",J12-K12)</f>
        <v/>
      </c>
      <c r="M12" s="11" t="str">
        <f t="shared" ref="M12:M22" si="87">IF(OR(J12="",J12=0),"",K12/J12)</f>
        <v/>
      </c>
      <c r="N12" s="33"/>
      <c r="O12" s="33">
        <f>SUMIFS(TablaEgresos[Valor],TablaEgresos[Categoría],$A12,TablaEgresos[Mes],N$4)</f>
        <v>0</v>
      </c>
      <c r="P12" s="33" t="str">
        <f t="shared" ref="P12:P22" si="88">IF(N12="","",N12-O12)</f>
        <v/>
      </c>
      <c r="Q12" s="11" t="str">
        <f t="shared" ref="Q12:Q22" si="89">IF(OR(N12="",N12=0),"",O12/N12)</f>
        <v/>
      </c>
      <c r="R12" s="33"/>
      <c r="S12" s="33">
        <f>SUMIFS(TablaEgresos[Valor],TablaEgresos[Categoría],$A12,TablaEgresos[Mes],R$4)</f>
        <v>0</v>
      </c>
      <c r="T12" s="33" t="str">
        <f t="shared" ref="T12:T22" si="90">IF(R12="","",R12-S12)</f>
        <v/>
      </c>
      <c r="U12" s="11" t="str">
        <f t="shared" ref="U12:U22" si="91">IF(OR(R12="",R12=0),"",S12/R12)</f>
        <v/>
      </c>
      <c r="V12" s="102">
        <v>8000000</v>
      </c>
      <c r="W12" s="33">
        <f>SUMIFS(TablaEgresos[Valor],TablaEgresos[Categoría],$A12,TablaEgresos[Mes],V$4)</f>
        <v>0</v>
      </c>
      <c r="X12" s="33">
        <f t="shared" ref="X12:X22" si="92">IF(V12="","",V12-W12)</f>
        <v>8000000</v>
      </c>
      <c r="Y12" s="11">
        <f t="shared" ref="Y12:Y22" si="93">IF(OR(V12="",V12=0),"",W12/V12)</f>
        <v>0</v>
      </c>
      <c r="Z12" s="102">
        <v>8350000</v>
      </c>
      <c r="AA12" s="33">
        <f>SUMIFS(TablaEgresos[Valor],TablaEgresos[Categoría],$A12,TablaEgresos[Mes],Z$4)</f>
        <v>0</v>
      </c>
      <c r="AB12" s="33">
        <f t="shared" ref="AB12:AB22" si="94">IF(Z12="","",Z12-AA12)</f>
        <v>8350000</v>
      </c>
      <c r="AC12" s="11">
        <f t="shared" ref="AC12:AC22" si="95">IF(OR(Z12="",Z12=0),"",AA12/Z12)</f>
        <v>0</v>
      </c>
      <c r="AD12" s="102">
        <v>8350000</v>
      </c>
      <c r="AE12" s="33">
        <f>SUMIFS(TablaEgresos[Valor],TablaEgresos[Categoría],$A12,TablaEgresos[Mes],AD$4)</f>
        <v>0</v>
      </c>
      <c r="AF12" s="33">
        <f t="shared" ref="AF12:AF22" si="96">IF(AD12="","",AD12-AE12)</f>
        <v>8350000</v>
      </c>
      <c r="AG12" s="11">
        <f t="shared" ref="AG12:AG22" si="97">IF(OR(AD12="",AD12=0),"",AE12/AD12)</f>
        <v>0</v>
      </c>
      <c r="AH12" s="102">
        <v>8350000</v>
      </c>
      <c r="AI12" s="33">
        <f>SUMIFS(TablaEgresos[Valor],TablaEgresos[Categoría],$A12,TablaEgresos[Mes],AH$4)</f>
        <v>0</v>
      </c>
      <c r="AJ12" s="33">
        <f t="shared" ref="AJ12:AJ22" si="98">IF(AH12="","",AH12-AI12)</f>
        <v>8350000</v>
      </c>
      <c r="AK12" s="11">
        <f t="shared" ref="AK12:AK22" si="99">IF(OR(AH12="",AH12=0),"",AI12/AH12)</f>
        <v>0</v>
      </c>
      <c r="AL12" s="102">
        <v>8350000</v>
      </c>
      <c r="AM12" s="33">
        <f>SUMIFS(TablaEgresos[Valor],TablaEgresos[Categoría],$A12,TablaEgresos[Mes],AL$4)</f>
        <v>0</v>
      </c>
      <c r="AN12" s="33">
        <f t="shared" ref="AN12:AN22" si="100">IF(AL12="","",AL12-AM12)</f>
        <v>8350000</v>
      </c>
      <c r="AO12" s="11">
        <f t="shared" ref="AO12:AO22" si="101">IF(OR(AL12="",AL12=0),"",AM12/AL12)</f>
        <v>0</v>
      </c>
      <c r="AP12" s="102">
        <v>8350000</v>
      </c>
      <c r="AQ12" s="33">
        <f>SUMIFS(TablaEgresos[Valor],TablaEgresos[Categoría],$A12,TablaEgresos[Mes],AP$4)</f>
        <v>0</v>
      </c>
      <c r="AR12" s="33">
        <f t="shared" ref="AR12:AR22" si="102">IF(AP12="","",AP12-AQ12)</f>
        <v>8350000</v>
      </c>
      <c r="AS12" s="11">
        <f t="shared" ref="AS12:AS22" si="103">IF(OR(AP12="",AP12=0),"",AQ12/AP12)</f>
        <v>0</v>
      </c>
      <c r="AT12" s="102">
        <v>8350000</v>
      </c>
      <c r="AU12" s="33">
        <f>SUMIFS(TablaEgresos[Valor],TablaEgresos[Categoría],$A12,TablaEgresos[Mes],AT$4)</f>
        <v>0</v>
      </c>
      <c r="AV12" s="33">
        <f t="shared" ref="AV12:AV22" si="104">IF(AT12="","",AT12-AU12)</f>
        <v>8350000</v>
      </c>
      <c r="AW12" s="11">
        <f t="shared" ref="AW12:AW22" si="105">IF(OR(AT12="",AT12=0),"",AU12/AT12)</f>
        <v>0</v>
      </c>
      <c r="AX12" s="102">
        <v>8350000</v>
      </c>
      <c r="AY12" s="33">
        <f>SUMIFS(TablaEgresos[Valor],TablaEgresos[Categoría],$A12,TablaEgresos[Mes],AX$4)</f>
        <v>0</v>
      </c>
      <c r="AZ12" s="33">
        <f t="shared" ref="AZ12:AZ22" si="106">IF(AX12="","",AX12-AY12)</f>
        <v>8350000</v>
      </c>
      <c r="BA12" s="11">
        <f t="shared" ref="BA12:BA22" si="107">IF(OR(AX12="",AX12=0),"",AY12/AX12)</f>
        <v>0</v>
      </c>
      <c r="BB12" s="102">
        <v>8350000</v>
      </c>
      <c r="BC12" s="33">
        <f>SUMIFS(TablaEgresos[Valor],TablaEgresos[Categoría],$A12,TablaEgresos[Mes],BB$4)</f>
        <v>0</v>
      </c>
      <c r="BD12" s="33">
        <f t="shared" ref="BD12:BD22" si="108">IF(BB12="","",BB12-BC12)</f>
        <v>8350000</v>
      </c>
      <c r="BE12" s="11">
        <f t="shared" ref="BE12:BE22" si="109">IF(OR(BB12="",BB12=0),"",BC12/BB12)</f>
        <v>0</v>
      </c>
      <c r="BF12" s="102">
        <v>8350000</v>
      </c>
      <c r="BG12" s="33">
        <f>SUMIFS(TablaEgresos[Valor],TablaEgresos[Categoría],$A12,TablaEgresos[Mes],BF$4)</f>
        <v>0</v>
      </c>
      <c r="BH12" s="33">
        <f t="shared" ref="BH12:BH22" si="110">IF(BF12="","",BF12-BG12)</f>
        <v>8350000</v>
      </c>
      <c r="BI12" s="11">
        <f t="shared" ref="BI12:BI22" si="111">IF(OR(BF12="",BF12=0),"",BG12/BF12)</f>
        <v>0</v>
      </c>
      <c r="BJ12" s="102">
        <v>8350000</v>
      </c>
      <c r="BK12" s="33">
        <f>SUMIFS(TablaEgresos[Valor],TablaEgresos[Categoría],$A12,TablaEgresos[Mes],BJ$4)</f>
        <v>0</v>
      </c>
      <c r="BL12" s="33">
        <f t="shared" ref="BL12:BL22" si="112">IF(BJ12="","",BJ12-BK12)</f>
        <v>8350000</v>
      </c>
      <c r="BM12" s="11">
        <f t="shared" ref="BM12:BM22" si="113">IF(OR(BJ12="",BJ12=0),"",BK12/BJ12)</f>
        <v>0</v>
      </c>
      <c r="BN12" s="102">
        <v>8350000</v>
      </c>
      <c r="BO12" s="33">
        <f>SUMIFS(TablaEgresos[Valor],TablaEgresos[Categoría],$A12,TablaEgresos[Mes],BN$4)</f>
        <v>0</v>
      </c>
      <c r="BP12" s="33">
        <f t="shared" ref="BP12:BP22" si="114">IF(BN12="","",BN12-BO12)</f>
        <v>8350000</v>
      </c>
      <c r="BQ12" s="11">
        <f t="shared" ref="BQ12:BQ22" si="115">IF(OR(BN12="",BN12=0),"",BO12/BN12)</f>
        <v>0</v>
      </c>
      <c r="BR12" s="102">
        <v>8350000</v>
      </c>
      <c r="BS12" s="33">
        <f>SUMIFS(TablaEgresos[Valor],TablaEgresos[Categoría],$A12,TablaEgresos[Mes],BR$4)</f>
        <v>0</v>
      </c>
      <c r="BT12" s="33">
        <f t="shared" ref="BT12:BT22" si="116">IF(BR12="","",BR12-BS12)</f>
        <v>8350000</v>
      </c>
      <c r="BU12" s="11">
        <f t="shared" ref="BU12:BU22" si="117">IF(OR(BR12="",BR12=0),"",BS12/BR12)</f>
        <v>0</v>
      </c>
      <c r="BV12" s="102">
        <v>8350000</v>
      </c>
      <c r="BW12" s="33">
        <f>SUMIFS(TablaEgresos[Valor],TablaEgresos[Categoría],$A12,TablaEgresos[Mes],BV$4)</f>
        <v>0</v>
      </c>
      <c r="BX12" s="33">
        <f t="shared" ref="BX12:BX22" si="118">IF(BV12="","",BV12-BW12)</f>
        <v>8350000</v>
      </c>
      <c r="BY12" s="11">
        <f t="shared" ref="BY12:BY22" si="119">IF(OR(BV12="",BV12=0),"",BW12/BV12)</f>
        <v>0</v>
      </c>
      <c r="BZ12" s="102">
        <v>8350000</v>
      </c>
      <c r="CA12" s="33">
        <f>SUMIFS(TablaEgresos[Valor],TablaEgresos[Categoría],$A12,TablaEgresos[Mes],BZ$4)</f>
        <v>0</v>
      </c>
      <c r="CB12" s="33">
        <f t="shared" ref="CB12:CB22" si="120">IF(BZ12="","",BZ12-CA12)</f>
        <v>8350000</v>
      </c>
      <c r="CC12" s="11">
        <f t="shared" ref="CC12:CC22" si="121">IF(OR(BZ12="",BZ12=0),"",CA12/BZ12)</f>
        <v>0</v>
      </c>
      <c r="CD12" s="102">
        <v>8350000</v>
      </c>
      <c r="CE12" s="33">
        <f>SUMIFS(TablaEgresos[Valor],TablaEgresos[Categoría],$A12,TablaEgresos[Mes],CD$4)</f>
        <v>0</v>
      </c>
      <c r="CF12" s="33">
        <f t="shared" ref="CF12:CF22" si="122">IF(CD12="","",CD12-CE12)</f>
        <v>8350000</v>
      </c>
      <c r="CG12" s="11">
        <f t="shared" ref="CG12:CG22" si="123">IF(OR(CD12="",CD12=0),"",CE12/CD12)</f>
        <v>0</v>
      </c>
      <c r="CH12" s="102">
        <v>8350000</v>
      </c>
      <c r="CI12" s="33">
        <f>SUMIFS(TablaEgresos[Valor],TablaEgresos[Categoría],$A12,TablaEgresos[Mes],CH$4)</f>
        <v>0</v>
      </c>
      <c r="CJ12" s="33">
        <f t="shared" ref="CJ12:CJ22" si="124">IF(CH12="","",CH12-CI12)</f>
        <v>8350000</v>
      </c>
      <c r="CK12" s="11">
        <f t="shared" ref="CK12:CK22" si="125">IF(OR(CH12="",CH12=0),"",CI12/CH12)</f>
        <v>0</v>
      </c>
      <c r="CL12" s="102">
        <v>8350000</v>
      </c>
      <c r="CM12" s="33">
        <f>SUMIFS(TablaEgresos[Valor],TablaEgresos[Categoría],$A12,TablaEgresos[Mes],CL$4)</f>
        <v>0</v>
      </c>
      <c r="CN12" s="33">
        <f t="shared" ref="CN12:CN22" si="126">IF(CL12="","",CL12-CM12)</f>
        <v>8350000</v>
      </c>
      <c r="CO12" s="11">
        <f t="shared" ref="CO12:CO22" si="127">IF(OR(CL12="",CL12=0),"",CM12/CL12)</f>
        <v>0</v>
      </c>
    </row>
    <row r="13" spans="1:93" outlineLevel="1" x14ac:dyDescent="0.3">
      <c r="A13" s="101" t="s">
        <v>80</v>
      </c>
      <c r="B13" s="33">
        <f ca="1">IFERROR(AVERAGE(INDEX($B54:$W54,MATCH($B$3,$B$51:$W$51,0)-2):INDEX($B54:$W54,MATCH($B$3,$B$51:$W$51,0))),0)</f>
        <v>3970644.5333333337</v>
      </c>
      <c r="C13" s="33">
        <f ca="1">IFERROR(SLOPE(INDEX($B54:$W54,1):INDEX($B54:$W54,MATCH($B$3,$B$51:$W$51,0)),INDEX($B$50:$W$50,1):INDEX($B$50:$W$50,MATCH($B$3,$B$51:$W$51,0))),0)</f>
        <v>1126204.4350000001</v>
      </c>
      <c r="D13" s="11">
        <f t="shared" ref="D13:D22" ca="1" si="128">IF($B13=0,"",$C13/$B13)</f>
        <v>0.28363265095769169</v>
      </c>
      <c r="E13" s="33">
        <f t="shared" ref="E13:E22" ca="1" si="129">MAX(0,ROUND($B13+$C13*3,-3))</f>
        <v>7349000</v>
      </c>
      <c r="F13" s="33"/>
      <c r="G13" s="33">
        <f>SUMIFS(TablaEgresos[Valor],TablaEgresos[Categoría],$A13,TablaEgresos[Mes],F$4)</f>
        <v>468019.13</v>
      </c>
      <c r="H13" s="33" t="str">
        <f t="shared" ref="H13:H22" si="130">IF(F13="","",F13-G13)</f>
        <v/>
      </c>
      <c r="I13" s="11" t="str">
        <f t="shared" ref="I13:I22" si="131">IF(OR(F13="",F13=0),"",G13/F13)</f>
        <v/>
      </c>
      <c r="J13" s="33"/>
      <c r="K13" s="33">
        <f>SUMIFS(TablaEgresos[Valor],TablaEgresos[Categoría],$A13,TablaEgresos[Mes],J$4)</f>
        <v>3648770.06</v>
      </c>
      <c r="L13" s="33" t="str">
        <f t="shared" si="86"/>
        <v/>
      </c>
      <c r="M13" s="11" t="str">
        <f t="shared" si="87"/>
        <v/>
      </c>
      <c r="N13" s="33"/>
      <c r="O13" s="33">
        <f>SUMIFS(TablaEgresos[Valor],TablaEgresos[Categoría],$A13,TablaEgresos[Mes],N$4)</f>
        <v>4237309.41</v>
      </c>
      <c r="P13" s="33" t="str">
        <f t="shared" si="88"/>
        <v/>
      </c>
      <c r="Q13" s="11" t="str">
        <f t="shared" si="89"/>
        <v/>
      </c>
      <c r="R13" s="33"/>
      <c r="S13" s="33">
        <f>SUMIFS(TablaEgresos[Valor],TablaEgresos[Categoría],$A13,TablaEgresos[Mes],R$4)</f>
        <v>4025854.13</v>
      </c>
      <c r="T13" s="33" t="str">
        <f t="shared" si="90"/>
        <v/>
      </c>
      <c r="U13" s="11" t="str">
        <f t="shared" si="91"/>
        <v/>
      </c>
      <c r="V13" s="102">
        <v>4000000</v>
      </c>
      <c r="W13" s="33">
        <f>SUMIFS(TablaEgresos[Valor],TablaEgresos[Categoría],$A13,TablaEgresos[Mes],V$4)</f>
        <v>4808607.42</v>
      </c>
      <c r="X13" s="33">
        <f t="shared" si="92"/>
        <v>-808607.41999999993</v>
      </c>
      <c r="Y13" s="11">
        <f t="shared" si="93"/>
        <v>1.2021518549999999</v>
      </c>
      <c r="Z13" s="102">
        <v>4000000</v>
      </c>
      <c r="AA13" s="33">
        <f>SUMIFS(TablaEgresos[Valor],TablaEgresos[Categoría],$A13,TablaEgresos[Mes],Z$4)</f>
        <v>0</v>
      </c>
      <c r="AB13" s="33">
        <f t="shared" si="94"/>
        <v>4000000</v>
      </c>
      <c r="AC13" s="11">
        <f t="shared" si="95"/>
        <v>0</v>
      </c>
      <c r="AD13" s="102">
        <v>4000000</v>
      </c>
      <c r="AE13" s="33">
        <f>SUMIFS(TablaEgresos[Valor],TablaEgresos[Categoría],$A13,TablaEgresos[Mes],AD$4)</f>
        <v>0</v>
      </c>
      <c r="AF13" s="33">
        <f t="shared" si="96"/>
        <v>4000000</v>
      </c>
      <c r="AG13" s="11">
        <f t="shared" si="97"/>
        <v>0</v>
      </c>
      <c r="AH13" s="102">
        <v>4000000</v>
      </c>
      <c r="AI13" s="33">
        <f>SUMIFS(TablaEgresos[Valor],TablaEgresos[Categoría],$A13,TablaEgresos[Mes],AH$4)</f>
        <v>0</v>
      </c>
      <c r="AJ13" s="33">
        <f t="shared" si="98"/>
        <v>4000000</v>
      </c>
      <c r="AK13" s="11">
        <f t="shared" si="99"/>
        <v>0</v>
      </c>
      <c r="AL13" s="102">
        <v>4000000</v>
      </c>
      <c r="AM13" s="33">
        <f>SUMIFS(TablaEgresos[Valor],TablaEgresos[Categoría],$A13,TablaEgresos[Mes],AL$4)</f>
        <v>0</v>
      </c>
      <c r="AN13" s="33">
        <f t="shared" si="100"/>
        <v>4000000</v>
      </c>
      <c r="AO13" s="11">
        <f t="shared" si="101"/>
        <v>0</v>
      </c>
      <c r="AP13" s="102">
        <v>4000000</v>
      </c>
      <c r="AQ13" s="33">
        <f>SUMIFS(TablaEgresos[Valor],TablaEgresos[Categoría],$A13,TablaEgresos[Mes],AP$4)</f>
        <v>0</v>
      </c>
      <c r="AR13" s="33">
        <f t="shared" si="102"/>
        <v>4000000</v>
      </c>
      <c r="AS13" s="11">
        <f t="shared" si="103"/>
        <v>0</v>
      </c>
      <c r="AT13" s="102">
        <v>4000000</v>
      </c>
      <c r="AU13" s="33">
        <f>SUMIFS(TablaEgresos[Valor],TablaEgresos[Categoría],$A13,TablaEgresos[Mes],AT$4)</f>
        <v>0</v>
      </c>
      <c r="AV13" s="33">
        <f t="shared" si="104"/>
        <v>4000000</v>
      </c>
      <c r="AW13" s="11">
        <f t="shared" si="105"/>
        <v>0</v>
      </c>
      <c r="AX13" s="102">
        <v>4000000</v>
      </c>
      <c r="AY13" s="33">
        <f>SUMIFS(TablaEgresos[Valor],TablaEgresos[Categoría],$A13,TablaEgresos[Mes],AX$4)</f>
        <v>0</v>
      </c>
      <c r="AZ13" s="33">
        <f t="shared" si="106"/>
        <v>4000000</v>
      </c>
      <c r="BA13" s="11">
        <f t="shared" si="107"/>
        <v>0</v>
      </c>
      <c r="BB13" s="102">
        <v>4000000</v>
      </c>
      <c r="BC13" s="33">
        <f>SUMIFS(TablaEgresos[Valor],TablaEgresos[Categoría],$A13,TablaEgresos[Mes],BB$4)</f>
        <v>0</v>
      </c>
      <c r="BD13" s="33">
        <f t="shared" si="108"/>
        <v>4000000</v>
      </c>
      <c r="BE13" s="11">
        <f t="shared" si="109"/>
        <v>0</v>
      </c>
      <c r="BF13" s="102">
        <v>4000000</v>
      </c>
      <c r="BG13" s="33">
        <f>SUMIFS(TablaEgresos[Valor],TablaEgresos[Categoría],$A13,TablaEgresos[Mes],BF$4)</f>
        <v>0</v>
      </c>
      <c r="BH13" s="33">
        <f t="shared" si="110"/>
        <v>4000000</v>
      </c>
      <c r="BI13" s="11">
        <f t="shared" si="111"/>
        <v>0</v>
      </c>
      <c r="BJ13" s="102">
        <v>4000000</v>
      </c>
      <c r="BK13" s="33">
        <f>SUMIFS(TablaEgresos[Valor],TablaEgresos[Categoría],$A13,TablaEgresos[Mes],BJ$4)</f>
        <v>0</v>
      </c>
      <c r="BL13" s="33">
        <f t="shared" si="112"/>
        <v>4000000</v>
      </c>
      <c r="BM13" s="11">
        <f t="shared" si="113"/>
        <v>0</v>
      </c>
      <c r="BN13" s="102">
        <v>4000000</v>
      </c>
      <c r="BO13" s="33">
        <f>SUMIFS(TablaEgresos[Valor],TablaEgresos[Categoría],$A13,TablaEgresos[Mes],BN$4)</f>
        <v>0</v>
      </c>
      <c r="BP13" s="33">
        <f t="shared" si="114"/>
        <v>4000000</v>
      </c>
      <c r="BQ13" s="11">
        <f t="shared" si="115"/>
        <v>0</v>
      </c>
      <c r="BR13" s="102">
        <v>4000000</v>
      </c>
      <c r="BS13" s="33">
        <f>SUMIFS(TablaEgresos[Valor],TablaEgresos[Categoría],$A13,TablaEgresos[Mes],BR$4)</f>
        <v>0</v>
      </c>
      <c r="BT13" s="33">
        <f t="shared" si="116"/>
        <v>4000000</v>
      </c>
      <c r="BU13" s="11">
        <f t="shared" si="117"/>
        <v>0</v>
      </c>
      <c r="BV13" s="102">
        <v>4000000</v>
      </c>
      <c r="BW13" s="33">
        <f>SUMIFS(TablaEgresos[Valor],TablaEgresos[Categoría],$A13,TablaEgresos[Mes],BV$4)</f>
        <v>0</v>
      </c>
      <c r="BX13" s="33">
        <f t="shared" si="118"/>
        <v>4000000</v>
      </c>
      <c r="BY13" s="11">
        <f t="shared" si="119"/>
        <v>0</v>
      </c>
      <c r="BZ13" s="102">
        <v>4000000</v>
      </c>
      <c r="CA13" s="33">
        <f>SUMIFS(TablaEgresos[Valor],TablaEgresos[Categoría],$A13,TablaEgresos[Mes],BZ$4)</f>
        <v>0</v>
      </c>
      <c r="CB13" s="33">
        <f t="shared" si="120"/>
        <v>4000000</v>
      </c>
      <c r="CC13" s="11">
        <f t="shared" si="121"/>
        <v>0</v>
      </c>
      <c r="CD13" s="102">
        <v>4000000</v>
      </c>
      <c r="CE13" s="33">
        <f>SUMIFS(TablaEgresos[Valor],TablaEgresos[Categoría],$A13,TablaEgresos[Mes],CD$4)</f>
        <v>0</v>
      </c>
      <c r="CF13" s="33">
        <f t="shared" si="122"/>
        <v>4000000</v>
      </c>
      <c r="CG13" s="11">
        <f t="shared" si="123"/>
        <v>0</v>
      </c>
      <c r="CH13" s="102">
        <v>4000000</v>
      </c>
      <c r="CI13" s="33">
        <f>SUMIFS(TablaEgresos[Valor],TablaEgresos[Categoría],$A13,TablaEgresos[Mes],CH$4)</f>
        <v>0</v>
      </c>
      <c r="CJ13" s="33">
        <f t="shared" si="124"/>
        <v>4000000</v>
      </c>
      <c r="CK13" s="11">
        <f t="shared" si="125"/>
        <v>0</v>
      </c>
      <c r="CL13" s="102">
        <v>4000000</v>
      </c>
      <c r="CM13" s="33">
        <f>SUMIFS(TablaEgresos[Valor],TablaEgresos[Categoría],$A13,TablaEgresos[Mes],CL$4)</f>
        <v>0</v>
      </c>
      <c r="CN13" s="33">
        <f t="shared" si="126"/>
        <v>4000000</v>
      </c>
      <c r="CO13" s="11">
        <f t="shared" si="127"/>
        <v>0</v>
      </c>
    </row>
    <row r="14" spans="1:93" outlineLevel="1" x14ac:dyDescent="0.3">
      <c r="A14" s="101" t="s">
        <v>340</v>
      </c>
      <c r="B14" s="33">
        <f ca="1">IFERROR(AVERAGE(INDEX($B57:$W57,MATCH($B$3,$B$51:$W$51,0)-2):INDEX($B57:$W57,MATCH($B$3,$B$51:$W$51,0))),0)</f>
        <v>0</v>
      </c>
      <c r="C14" s="33">
        <f ca="1">IFERROR(SLOPE(INDEX($B57:$W57,1):INDEX($B57:$W57,MATCH($B$3,$B$51:$W$51,0)),INDEX($B$50:$W$50,1):INDEX($B$50:$W$50,MATCH($B$3,$B$51:$W$51,0))),0)</f>
        <v>0</v>
      </c>
      <c r="D14" s="11" t="str">
        <f t="shared" ca="1" si="128"/>
        <v/>
      </c>
      <c r="E14" s="33">
        <f t="shared" ca="1" si="129"/>
        <v>0</v>
      </c>
      <c r="F14" s="33"/>
      <c r="G14" s="33">
        <f>SUMIFS(TablaEgresos[Valor],TablaEgresos[Categoría],$A14,TablaEgresos[Mes],F$4)</f>
        <v>0</v>
      </c>
      <c r="H14" s="33" t="str">
        <f t="shared" si="130"/>
        <v/>
      </c>
      <c r="I14" s="11" t="str">
        <f t="shared" si="131"/>
        <v/>
      </c>
      <c r="J14" s="33"/>
      <c r="K14" s="33">
        <f>SUMIFS(TablaEgresos[Valor],TablaEgresos[Categoría],$A14,TablaEgresos[Mes],J$4)</f>
        <v>0</v>
      </c>
      <c r="L14" s="33" t="str">
        <f t="shared" si="86"/>
        <v/>
      </c>
      <c r="M14" s="11" t="str">
        <f t="shared" si="87"/>
        <v/>
      </c>
      <c r="N14" s="33"/>
      <c r="O14" s="33">
        <f>SUMIFS(TablaEgresos[Valor],TablaEgresos[Categoría],$A14,TablaEgresos[Mes],N$4)</f>
        <v>0</v>
      </c>
      <c r="P14" s="33" t="str">
        <f t="shared" si="88"/>
        <v/>
      </c>
      <c r="Q14" s="11" t="str">
        <f t="shared" si="89"/>
        <v/>
      </c>
      <c r="R14" s="33"/>
      <c r="S14" s="33">
        <f>SUMIFS(TablaEgresos[Valor],TablaEgresos[Categoría],$A14,TablaEgresos[Mes],R$4)</f>
        <v>0</v>
      </c>
      <c r="T14" s="33" t="str">
        <f t="shared" si="90"/>
        <v/>
      </c>
      <c r="U14" s="11" t="str">
        <f t="shared" si="91"/>
        <v/>
      </c>
      <c r="V14" s="102">
        <v>0</v>
      </c>
      <c r="W14" s="33">
        <f>SUMIFS(TablaEgresos[Valor],TablaEgresos[Categoría],$A14,TablaEgresos[Mes],V$4)</f>
        <v>71100</v>
      </c>
      <c r="X14" s="33">
        <f t="shared" si="92"/>
        <v>-71100</v>
      </c>
      <c r="Y14" s="11" t="str">
        <f t="shared" si="93"/>
        <v/>
      </c>
      <c r="Z14" s="102">
        <v>500000</v>
      </c>
      <c r="AA14" s="33">
        <f>SUMIFS(TablaEgresos[Valor],TablaEgresos[Categoría],$A14,TablaEgresos[Mes],Z$4)</f>
        <v>0</v>
      </c>
      <c r="AB14" s="33">
        <f t="shared" si="94"/>
        <v>500000</v>
      </c>
      <c r="AC14" s="11">
        <f t="shared" si="95"/>
        <v>0</v>
      </c>
      <c r="AD14" s="102">
        <v>500000</v>
      </c>
      <c r="AE14" s="33">
        <f>SUMIFS(TablaEgresos[Valor],TablaEgresos[Categoría],$A14,TablaEgresos[Mes],AD$4)</f>
        <v>0</v>
      </c>
      <c r="AF14" s="33">
        <f t="shared" si="96"/>
        <v>500000</v>
      </c>
      <c r="AG14" s="11">
        <f t="shared" si="97"/>
        <v>0</v>
      </c>
      <c r="AH14" s="102">
        <v>500000</v>
      </c>
      <c r="AI14" s="33">
        <f>SUMIFS(TablaEgresos[Valor],TablaEgresos[Categoría],$A14,TablaEgresos[Mes],AH$4)</f>
        <v>0</v>
      </c>
      <c r="AJ14" s="33">
        <f t="shared" si="98"/>
        <v>500000</v>
      </c>
      <c r="AK14" s="11">
        <f t="shared" si="99"/>
        <v>0</v>
      </c>
      <c r="AL14" s="102">
        <v>500000</v>
      </c>
      <c r="AM14" s="33">
        <f>SUMIFS(TablaEgresos[Valor],TablaEgresos[Categoría],$A14,TablaEgresos[Mes],AL$4)</f>
        <v>0</v>
      </c>
      <c r="AN14" s="33">
        <f t="shared" si="100"/>
        <v>500000</v>
      </c>
      <c r="AO14" s="11">
        <f t="shared" si="101"/>
        <v>0</v>
      </c>
      <c r="AP14" s="102">
        <v>500000</v>
      </c>
      <c r="AQ14" s="33">
        <f>SUMIFS(TablaEgresos[Valor],TablaEgresos[Categoría],$A14,TablaEgresos[Mes],AP$4)</f>
        <v>0</v>
      </c>
      <c r="AR14" s="33">
        <f t="shared" si="102"/>
        <v>500000</v>
      </c>
      <c r="AS14" s="11">
        <f t="shared" si="103"/>
        <v>0</v>
      </c>
      <c r="AT14" s="102">
        <v>500000</v>
      </c>
      <c r="AU14" s="33">
        <f>SUMIFS(TablaEgresos[Valor],TablaEgresos[Categoría],$A14,TablaEgresos[Mes],AT$4)</f>
        <v>0</v>
      </c>
      <c r="AV14" s="33">
        <f t="shared" si="104"/>
        <v>500000</v>
      </c>
      <c r="AW14" s="11">
        <f t="shared" si="105"/>
        <v>0</v>
      </c>
      <c r="AX14" s="102">
        <v>500000</v>
      </c>
      <c r="AY14" s="33">
        <f>SUMIFS(TablaEgresos[Valor],TablaEgresos[Categoría],$A14,TablaEgresos[Mes],AX$4)</f>
        <v>0</v>
      </c>
      <c r="AZ14" s="33">
        <f t="shared" si="106"/>
        <v>500000</v>
      </c>
      <c r="BA14" s="11">
        <f t="shared" si="107"/>
        <v>0</v>
      </c>
      <c r="BB14" s="102">
        <v>500000</v>
      </c>
      <c r="BC14" s="33">
        <f>SUMIFS(TablaEgresos[Valor],TablaEgresos[Categoría],$A14,TablaEgresos[Mes],BB$4)</f>
        <v>0</v>
      </c>
      <c r="BD14" s="33">
        <f t="shared" si="108"/>
        <v>500000</v>
      </c>
      <c r="BE14" s="11">
        <f t="shared" si="109"/>
        <v>0</v>
      </c>
      <c r="BF14" s="102">
        <v>500000</v>
      </c>
      <c r="BG14" s="33">
        <f>SUMIFS(TablaEgresos[Valor],TablaEgresos[Categoría],$A14,TablaEgresos[Mes],BF$4)</f>
        <v>0</v>
      </c>
      <c r="BH14" s="33">
        <f t="shared" si="110"/>
        <v>500000</v>
      </c>
      <c r="BI14" s="11">
        <f t="shared" si="111"/>
        <v>0</v>
      </c>
      <c r="BJ14" s="102">
        <v>500000</v>
      </c>
      <c r="BK14" s="33">
        <f>SUMIFS(TablaEgresos[Valor],TablaEgresos[Categoría],$A14,TablaEgresos[Mes],BJ$4)</f>
        <v>0</v>
      </c>
      <c r="BL14" s="33">
        <f t="shared" si="112"/>
        <v>500000</v>
      </c>
      <c r="BM14" s="11">
        <f t="shared" si="113"/>
        <v>0</v>
      </c>
      <c r="BN14" s="102">
        <v>500000</v>
      </c>
      <c r="BO14" s="33">
        <f>SUMIFS(TablaEgresos[Valor],TablaEgresos[Categoría],$A14,TablaEgresos[Mes],BN$4)</f>
        <v>0</v>
      </c>
      <c r="BP14" s="33">
        <f t="shared" si="114"/>
        <v>500000</v>
      </c>
      <c r="BQ14" s="11">
        <f t="shared" si="115"/>
        <v>0</v>
      </c>
      <c r="BR14" s="102">
        <v>500000</v>
      </c>
      <c r="BS14" s="33">
        <f>SUMIFS(TablaEgresos[Valor],TablaEgresos[Categoría],$A14,TablaEgresos[Mes],BR$4)</f>
        <v>0</v>
      </c>
      <c r="BT14" s="33">
        <f t="shared" si="116"/>
        <v>500000</v>
      </c>
      <c r="BU14" s="11">
        <f t="shared" si="117"/>
        <v>0</v>
      </c>
      <c r="BV14" s="102">
        <v>500000</v>
      </c>
      <c r="BW14" s="33">
        <f>SUMIFS(TablaEgresos[Valor],TablaEgresos[Categoría],$A14,TablaEgresos[Mes],BV$4)</f>
        <v>0</v>
      </c>
      <c r="BX14" s="33">
        <f t="shared" si="118"/>
        <v>500000</v>
      </c>
      <c r="BY14" s="11">
        <f t="shared" si="119"/>
        <v>0</v>
      </c>
      <c r="BZ14" s="102">
        <v>500000</v>
      </c>
      <c r="CA14" s="33">
        <f>SUMIFS(TablaEgresos[Valor],TablaEgresos[Categoría],$A14,TablaEgresos[Mes],BZ$4)</f>
        <v>0</v>
      </c>
      <c r="CB14" s="33">
        <f t="shared" si="120"/>
        <v>500000</v>
      </c>
      <c r="CC14" s="11">
        <f t="shared" si="121"/>
        <v>0</v>
      </c>
      <c r="CD14" s="102">
        <v>500000</v>
      </c>
      <c r="CE14" s="33">
        <f>SUMIFS(TablaEgresos[Valor],TablaEgresos[Categoría],$A14,TablaEgresos[Mes],CD$4)</f>
        <v>0</v>
      </c>
      <c r="CF14" s="33">
        <f t="shared" si="122"/>
        <v>500000</v>
      </c>
      <c r="CG14" s="11">
        <f t="shared" si="123"/>
        <v>0</v>
      </c>
      <c r="CH14" s="102">
        <v>500000</v>
      </c>
      <c r="CI14" s="33">
        <f>SUMIFS(TablaEgresos[Valor],TablaEgresos[Categoría],$A14,TablaEgresos[Mes],CH$4)</f>
        <v>0</v>
      </c>
      <c r="CJ14" s="33">
        <f t="shared" si="124"/>
        <v>500000</v>
      </c>
      <c r="CK14" s="11">
        <f t="shared" si="125"/>
        <v>0</v>
      </c>
      <c r="CL14" s="102">
        <v>500000</v>
      </c>
      <c r="CM14" s="33">
        <f>SUMIFS(TablaEgresos[Valor],TablaEgresos[Categoría],$A14,TablaEgresos[Mes],CL$4)</f>
        <v>0</v>
      </c>
      <c r="CN14" s="33">
        <f t="shared" si="126"/>
        <v>500000</v>
      </c>
      <c r="CO14" s="11">
        <f t="shared" si="127"/>
        <v>0</v>
      </c>
    </row>
    <row r="15" spans="1:93" outlineLevel="1" x14ac:dyDescent="0.3">
      <c r="A15" s="101" t="s">
        <v>88</v>
      </c>
      <c r="B15" s="33">
        <f ca="1">IFERROR(AVERAGE(INDEX($B58:$W58,MATCH($B$3,$B$51:$W$51,0)-2):INDEX($B58:$W58,MATCH($B$3,$B$51:$W$51,0))),0)</f>
        <v>0</v>
      </c>
      <c r="C15" s="33">
        <f ca="1">IFERROR(SLOPE(INDEX($B58:$W58,1):INDEX($B58:$W58,MATCH($B$3,$B$51:$W$51,0)),INDEX($B$50:$W$50,1):INDEX($B$50:$W$50,MATCH($B$3,$B$51:$W$51,0))),0)</f>
        <v>0</v>
      </c>
      <c r="D15" s="11" t="str">
        <f t="shared" ca="1" si="128"/>
        <v/>
      </c>
      <c r="E15" s="33">
        <f t="shared" ca="1" si="129"/>
        <v>0</v>
      </c>
      <c r="F15" s="33"/>
      <c r="G15" s="33">
        <f>SUMIFS(TablaEgresos[Valor],TablaEgresos[Categoría],$A15,TablaEgresos[Mes],F$4)</f>
        <v>0</v>
      </c>
      <c r="H15" s="33" t="str">
        <f t="shared" si="130"/>
        <v/>
      </c>
      <c r="I15" s="11" t="str">
        <f t="shared" si="131"/>
        <v/>
      </c>
      <c r="J15" s="33"/>
      <c r="K15" s="33">
        <f>SUMIFS(TablaEgresos[Valor],TablaEgresos[Categoría],$A15,TablaEgresos[Mes],J$4)</f>
        <v>0</v>
      </c>
      <c r="L15" s="33" t="str">
        <f t="shared" si="86"/>
        <v/>
      </c>
      <c r="M15" s="11" t="str">
        <f t="shared" si="87"/>
        <v/>
      </c>
      <c r="N15" s="33"/>
      <c r="O15" s="33">
        <f>SUMIFS(TablaEgresos[Valor],TablaEgresos[Categoría],$A15,TablaEgresos[Mes],N$4)</f>
        <v>0</v>
      </c>
      <c r="P15" s="33" t="str">
        <f t="shared" si="88"/>
        <v/>
      </c>
      <c r="Q15" s="11" t="str">
        <f t="shared" si="89"/>
        <v/>
      </c>
      <c r="R15" s="33"/>
      <c r="S15" s="33">
        <f>SUMIFS(TablaEgresos[Valor],TablaEgresos[Categoría],$A15,TablaEgresos[Mes],R$4)</f>
        <v>0</v>
      </c>
      <c r="T15" s="33" t="str">
        <f t="shared" si="90"/>
        <v/>
      </c>
      <c r="U15" s="11" t="str">
        <f t="shared" si="91"/>
        <v/>
      </c>
      <c r="V15" s="102">
        <v>900000</v>
      </c>
      <c r="W15" s="33">
        <f>SUMIFS(TablaEgresos[Valor],TablaEgresos[Categoría],$A15,TablaEgresos[Mes],V$4)</f>
        <v>0</v>
      </c>
      <c r="X15" s="33">
        <f t="shared" si="92"/>
        <v>900000</v>
      </c>
      <c r="Y15" s="11">
        <f t="shared" si="93"/>
        <v>0</v>
      </c>
      <c r="Z15" s="102">
        <v>900000</v>
      </c>
      <c r="AA15" s="33">
        <f>SUMIFS(TablaEgresos[Valor],TablaEgresos[Categoría],$A15,TablaEgresos[Mes],Z$4)</f>
        <v>0</v>
      </c>
      <c r="AB15" s="33">
        <f t="shared" si="94"/>
        <v>900000</v>
      </c>
      <c r="AC15" s="11">
        <f t="shared" si="95"/>
        <v>0</v>
      </c>
      <c r="AD15" s="102">
        <v>900000</v>
      </c>
      <c r="AE15" s="33">
        <f>SUMIFS(TablaEgresos[Valor],TablaEgresos[Categoría],$A15,TablaEgresos[Mes],AD$4)</f>
        <v>0</v>
      </c>
      <c r="AF15" s="33">
        <f t="shared" si="96"/>
        <v>900000</v>
      </c>
      <c r="AG15" s="11">
        <f t="shared" si="97"/>
        <v>0</v>
      </c>
      <c r="AH15" s="102">
        <v>900000</v>
      </c>
      <c r="AI15" s="33">
        <f>SUMIFS(TablaEgresos[Valor],TablaEgresos[Categoría],$A15,TablaEgresos[Mes],AH$4)</f>
        <v>0</v>
      </c>
      <c r="AJ15" s="33">
        <f t="shared" si="98"/>
        <v>900000</v>
      </c>
      <c r="AK15" s="11">
        <f t="shared" si="99"/>
        <v>0</v>
      </c>
      <c r="AL15" s="102">
        <v>900000</v>
      </c>
      <c r="AM15" s="33">
        <f>SUMIFS(TablaEgresos[Valor],TablaEgresos[Categoría],$A15,TablaEgresos[Mes],AL$4)</f>
        <v>0</v>
      </c>
      <c r="AN15" s="33">
        <f t="shared" si="100"/>
        <v>900000</v>
      </c>
      <c r="AO15" s="11">
        <f t="shared" si="101"/>
        <v>0</v>
      </c>
      <c r="AP15" s="102">
        <v>900000</v>
      </c>
      <c r="AQ15" s="33">
        <f>SUMIFS(TablaEgresos[Valor],TablaEgresos[Categoría],$A15,TablaEgresos[Mes],AP$4)</f>
        <v>0</v>
      </c>
      <c r="AR15" s="33">
        <f t="shared" si="102"/>
        <v>900000</v>
      </c>
      <c r="AS15" s="11">
        <f t="shared" si="103"/>
        <v>0</v>
      </c>
      <c r="AT15" s="102">
        <v>900000</v>
      </c>
      <c r="AU15" s="33">
        <f>SUMIFS(TablaEgresos[Valor],TablaEgresos[Categoría],$A15,TablaEgresos[Mes],AT$4)</f>
        <v>0</v>
      </c>
      <c r="AV15" s="33">
        <f t="shared" si="104"/>
        <v>900000</v>
      </c>
      <c r="AW15" s="11">
        <f t="shared" si="105"/>
        <v>0</v>
      </c>
      <c r="AX15" s="102">
        <v>900000</v>
      </c>
      <c r="AY15" s="33">
        <f>SUMIFS(TablaEgresos[Valor],TablaEgresos[Categoría],$A15,TablaEgresos[Mes],AX$4)</f>
        <v>0</v>
      </c>
      <c r="AZ15" s="33">
        <f t="shared" si="106"/>
        <v>900000</v>
      </c>
      <c r="BA15" s="11">
        <f t="shared" si="107"/>
        <v>0</v>
      </c>
      <c r="BB15" s="102">
        <v>900000</v>
      </c>
      <c r="BC15" s="33">
        <f>SUMIFS(TablaEgresos[Valor],TablaEgresos[Categoría],$A15,TablaEgresos[Mes],BB$4)</f>
        <v>0</v>
      </c>
      <c r="BD15" s="33">
        <f t="shared" si="108"/>
        <v>900000</v>
      </c>
      <c r="BE15" s="11">
        <f t="shared" si="109"/>
        <v>0</v>
      </c>
      <c r="BF15" s="102">
        <v>900000</v>
      </c>
      <c r="BG15" s="33">
        <f>SUMIFS(TablaEgresos[Valor],TablaEgresos[Categoría],$A15,TablaEgresos[Mes],BF$4)</f>
        <v>0</v>
      </c>
      <c r="BH15" s="33">
        <f t="shared" si="110"/>
        <v>900000</v>
      </c>
      <c r="BI15" s="11">
        <f t="shared" si="111"/>
        <v>0</v>
      </c>
      <c r="BJ15" s="102">
        <v>900000</v>
      </c>
      <c r="BK15" s="33">
        <f>SUMIFS(TablaEgresos[Valor],TablaEgresos[Categoría],$A15,TablaEgresos[Mes],BJ$4)</f>
        <v>0</v>
      </c>
      <c r="BL15" s="33">
        <f t="shared" si="112"/>
        <v>900000</v>
      </c>
      <c r="BM15" s="11">
        <f t="shared" si="113"/>
        <v>0</v>
      </c>
      <c r="BN15" s="102">
        <v>900000</v>
      </c>
      <c r="BO15" s="33">
        <f>SUMIFS(TablaEgresos[Valor],TablaEgresos[Categoría],$A15,TablaEgresos[Mes],BN$4)</f>
        <v>0</v>
      </c>
      <c r="BP15" s="33">
        <f t="shared" si="114"/>
        <v>900000</v>
      </c>
      <c r="BQ15" s="11">
        <f t="shared" si="115"/>
        <v>0</v>
      </c>
      <c r="BR15" s="102">
        <v>900000</v>
      </c>
      <c r="BS15" s="33">
        <f>SUMIFS(TablaEgresos[Valor],TablaEgresos[Categoría],$A15,TablaEgresos[Mes],BR$4)</f>
        <v>0</v>
      </c>
      <c r="BT15" s="33">
        <f t="shared" si="116"/>
        <v>900000</v>
      </c>
      <c r="BU15" s="11">
        <f t="shared" si="117"/>
        <v>0</v>
      </c>
      <c r="BV15" s="102">
        <v>900000</v>
      </c>
      <c r="BW15" s="33">
        <f>SUMIFS(TablaEgresos[Valor],TablaEgresos[Categoría],$A15,TablaEgresos[Mes],BV$4)</f>
        <v>0</v>
      </c>
      <c r="BX15" s="33">
        <f t="shared" si="118"/>
        <v>900000</v>
      </c>
      <c r="BY15" s="11">
        <f t="shared" si="119"/>
        <v>0</v>
      </c>
      <c r="BZ15" s="102">
        <v>900000</v>
      </c>
      <c r="CA15" s="33">
        <f>SUMIFS(TablaEgresos[Valor],TablaEgresos[Categoría],$A15,TablaEgresos[Mes],BZ$4)</f>
        <v>0</v>
      </c>
      <c r="CB15" s="33">
        <f t="shared" si="120"/>
        <v>900000</v>
      </c>
      <c r="CC15" s="11">
        <f t="shared" si="121"/>
        <v>0</v>
      </c>
      <c r="CD15" s="102">
        <v>900000</v>
      </c>
      <c r="CE15" s="33">
        <f>SUMIFS(TablaEgresos[Valor],TablaEgresos[Categoría],$A15,TablaEgresos[Mes],CD$4)</f>
        <v>0</v>
      </c>
      <c r="CF15" s="33">
        <f t="shared" si="122"/>
        <v>900000</v>
      </c>
      <c r="CG15" s="11">
        <f t="shared" si="123"/>
        <v>0</v>
      </c>
      <c r="CH15" s="102">
        <v>900000</v>
      </c>
      <c r="CI15" s="33">
        <f>SUMIFS(TablaEgresos[Valor],TablaEgresos[Categoría],$A15,TablaEgresos[Mes],CH$4)</f>
        <v>0</v>
      </c>
      <c r="CJ15" s="33">
        <f t="shared" si="124"/>
        <v>900000</v>
      </c>
      <c r="CK15" s="11">
        <f t="shared" si="125"/>
        <v>0</v>
      </c>
      <c r="CL15" s="102">
        <v>900000</v>
      </c>
      <c r="CM15" s="33">
        <f>SUMIFS(TablaEgresos[Valor],TablaEgresos[Categoría],$A15,TablaEgresos[Mes],CL$4)</f>
        <v>0</v>
      </c>
      <c r="CN15" s="33">
        <f t="shared" si="126"/>
        <v>900000</v>
      </c>
      <c r="CO15" s="11">
        <f t="shared" si="127"/>
        <v>0</v>
      </c>
    </row>
    <row r="16" spans="1:93" outlineLevel="1" x14ac:dyDescent="0.3">
      <c r="A16" s="101" t="s">
        <v>81</v>
      </c>
      <c r="B16" s="33">
        <f ca="1">IFERROR(AVERAGE(INDEX($B59:$W59,MATCH($B$3,$B$51:$W$51,0)-2):INDEX($B59:$W59,MATCH($B$3,$B$51:$W$51,0))),0)</f>
        <v>361336</v>
      </c>
      <c r="C16" s="33">
        <f ca="1">IFERROR(SLOPE(INDEX($B59:$W59,1):INDEX($B59:$W59,MATCH($B$3,$B$51:$W$51,0)),INDEX($B$50:$W$50,1):INDEX($B$50:$W$50,MATCH($B$3,$B$51:$W$51,0))),0)</f>
        <v>157818.4</v>
      </c>
      <c r="D16" s="11">
        <f t="shared" ca="1" si="128"/>
        <v>0.43676356632054375</v>
      </c>
      <c r="E16" s="33">
        <f t="shared" ca="1" si="129"/>
        <v>835000</v>
      </c>
      <c r="F16" s="33"/>
      <c r="G16" s="33">
        <f>SUMIFS(TablaEgresos[Valor],TablaEgresos[Categoría],$A16,TablaEgresos[Mes],F$4)</f>
        <v>0</v>
      </c>
      <c r="H16" s="33" t="str">
        <f t="shared" si="130"/>
        <v/>
      </c>
      <c r="I16" s="11" t="str">
        <f t="shared" si="131"/>
        <v/>
      </c>
      <c r="J16" s="33"/>
      <c r="K16" s="33">
        <f>SUMIFS(TablaEgresos[Valor],TablaEgresos[Categoría],$A16,TablaEgresos[Mes],J$4)</f>
        <v>312270</v>
      </c>
      <c r="L16" s="33" t="str">
        <f t="shared" si="86"/>
        <v/>
      </c>
      <c r="M16" s="11" t="str">
        <f t="shared" si="87"/>
        <v/>
      </c>
      <c r="N16" s="33"/>
      <c r="O16" s="33">
        <f>SUMIFS(TablaEgresos[Valor],TablaEgresos[Categoría],$A16,TablaEgresos[Mes],N$4)</f>
        <v>212380</v>
      </c>
      <c r="P16" s="33" t="str">
        <f t="shared" si="88"/>
        <v/>
      </c>
      <c r="Q16" s="11" t="str">
        <f t="shared" si="89"/>
        <v/>
      </c>
      <c r="R16" s="33"/>
      <c r="S16" s="33">
        <f>SUMIFS(TablaEgresos[Valor],TablaEgresos[Categoría],$A16,TablaEgresos[Mes],R$4)</f>
        <v>559358</v>
      </c>
      <c r="T16" s="33" t="str">
        <f t="shared" si="90"/>
        <v/>
      </c>
      <c r="U16" s="11" t="str">
        <f t="shared" si="91"/>
        <v/>
      </c>
      <c r="V16" s="102">
        <v>600000</v>
      </c>
      <c r="W16" s="33">
        <f>SUMIFS(TablaEgresos[Valor],TablaEgresos[Categoría],$A16,TablaEgresos[Mes],V$4)</f>
        <v>106278</v>
      </c>
      <c r="X16" s="33">
        <f t="shared" si="92"/>
        <v>493722</v>
      </c>
      <c r="Y16" s="11">
        <f t="shared" si="93"/>
        <v>0.17713000000000001</v>
      </c>
      <c r="Z16" s="102">
        <v>600000</v>
      </c>
      <c r="AA16" s="33">
        <f>SUMIFS(TablaEgresos[Valor],TablaEgresos[Categoría],$A16,TablaEgresos[Mes],Z$4)</f>
        <v>0</v>
      </c>
      <c r="AB16" s="33">
        <f t="shared" si="94"/>
        <v>600000</v>
      </c>
      <c r="AC16" s="11">
        <f t="shared" si="95"/>
        <v>0</v>
      </c>
      <c r="AD16" s="102">
        <v>600000</v>
      </c>
      <c r="AE16" s="33">
        <f>SUMIFS(TablaEgresos[Valor],TablaEgresos[Categoría],$A16,TablaEgresos[Mes],AD$4)</f>
        <v>0</v>
      </c>
      <c r="AF16" s="33">
        <f t="shared" si="96"/>
        <v>600000</v>
      </c>
      <c r="AG16" s="11">
        <f t="shared" si="97"/>
        <v>0</v>
      </c>
      <c r="AH16" s="102">
        <v>600000</v>
      </c>
      <c r="AI16" s="33">
        <f>SUMIFS(TablaEgresos[Valor],TablaEgresos[Categoría],$A16,TablaEgresos[Mes],AH$4)</f>
        <v>0</v>
      </c>
      <c r="AJ16" s="33">
        <f t="shared" si="98"/>
        <v>600000</v>
      </c>
      <c r="AK16" s="11">
        <f t="shared" si="99"/>
        <v>0</v>
      </c>
      <c r="AL16" s="102">
        <v>600000</v>
      </c>
      <c r="AM16" s="33">
        <f>SUMIFS(TablaEgresos[Valor],TablaEgresos[Categoría],$A16,TablaEgresos[Mes],AL$4)</f>
        <v>0</v>
      </c>
      <c r="AN16" s="33">
        <f t="shared" si="100"/>
        <v>600000</v>
      </c>
      <c r="AO16" s="11">
        <f t="shared" si="101"/>
        <v>0</v>
      </c>
      <c r="AP16" s="102">
        <v>600000</v>
      </c>
      <c r="AQ16" s="33">
        <f>SUMIFS(TablaEgresos[Valor],TablaEgresos[Categoría],$A16,TablaEgresos[Mes],AP$4)</f>
        <v>0</v>
      </c>
      <c r="AR16" s="33">
        <f t="shared" si="102"/>
        <v>600000</v>
      </c>
      <c r="AS16" s="11">
        <f t="shared" si="103"/>
        <v>0</v>
      </c>
      <c r="AT16" s="102">
        <v>600000</v>
      </c>
      <c r="AU16" s="33">
        <f>SUMIFS(TablaEgresos[Valor],TablaEgresos[Categoría],$A16,TablaEgresos[Mes],AT$4)</f>
        <v>0</v>
      </c>
      <c r="AV16" s="33">
        <f t="shared" si="104"/>
        <v>600000</v>
      </c>
      <c r="AW16" s="11">
        <f t="shared" si="105"/>
        <v>0</v>
      </c>
      <c r="AX16" s="102">
        <v>600000</v>
      </c>
      <c r="AY16" s="33">
        <f>SUMIFS(TablaEgresos[Valor],TablaEgresos[Categoría],$A16,TablaEgresos[Mes],AX$4)</f>
        <v>0</v>
      </c>
      <c r="AZ16" s="33">
        <f t="shared" si="106"/>
        <v>600000</v>
      </c>
      <c r="BA16" s="11">
        <f t="shared" si="107"/>
        <v>0</v>
      </c>
      <c r="BB16" s="102">
        <v>600000</v>
      </c>
      <c r="BC16" s="33">
        <f>SUMIFS(TablaEgresos[Valor],TablaEgresos[Categoría],$A16,TablaEgresos[Mes],BB$4)</f>
        <v>0</v>
      </c>
      <c r="BD16" s="33">
        <f t="shared" si="108"/>
        <v>600000</v>
      </c>
      <c r="BE16" s="11">
        <f t="shared" si="109"/>
        <v>0</v>
      </c>
      <c r="BF16" s="102">
        <v>600000</v>
      </c>
      <c r="BG16" s="33">
        <f>SUMIFS(TablaEgresos[Valor],TablaEgresos[Categoría],$A16,TablaEgresos[Mes],BF$4)</f>
        <v>0</v>
      </c>
      <c r="BH16" s="33">
        <f t="shared" si="110"/>
        <v>600000</v>
      </c>
      <c r="BI16" s="11">
        <f t="shared" si="111"/>
        <v>0</v>
      </c>
      <c r="BJ16" s="102">
        <v>600000</v>
      </c>
      <c r="BK16" s="33">
        <f>SUMIFS(TablaEgresos[Valor],TablaEgresos[Categoría],$A16,TablaEgresos[Mes],BJ$4)</f>
        <v>0</v>
      </c>
      <c r="BL16" s="33">
        <f t="shared" si="112"/>
        <v>600000</v>
      </c>
      <c r="BM16" s="11">
        <f t="shared" si="113"/>
        <v>0</v>
      </c>
      <c r="BN16" s="102">
        <v>600000</v>
      </c>
      <c r="BO16" s="33">
        <f>SUMIFS(TablaEgresos[Valor],TablaEgresos[Categoría],$A16,TablaEgresos[Mes],BN$4)</f>
        <v>0</v>
      </c>
      <c r="BP16" s="33">
        <f t="shared" si="114"/>
        <v>600000</v>
      </c>
      <c r="BQ16" s="11">
        <f t="shared" si="115"/>
        <v>0</v>
      </c>
      <c r="BR16" s="102">
        <v>600000</v>
      </c>
      <c r="BS16" s="33">
        <f>SUMIFS(TablaEgresos[Valor],TablaEgresos[Categoría],$A16,TablaEgresos[Mes],BR$4)</f>
        <v>0</v>
      </c>
      <c r="BT16" s="33">
        <f t="shared" si="116"/>
        <v>600000</v>
      </c>
      <c r="BU16" s="11">
        <f t="shared" si="117"/>
        <v>0</v>
      </c>
      <c r="BV16" s="102">
        <v>600000</v>
      </c>
      <c r="BW16" s="33">
        <f>SUMIFS(TablaEgresos[Valor],TablaEgresos[Categoría],$A16,TablaEgresos[Mes],BV$4)</f>
        <v>0</v>
      </c>
      <c r="BX16" s="33">
        <f t="shared" si="118"/>
        <v>600000</v>
      </c>
      <c r="BY16" s="11">
        <f t="shared" si="119"/>
        <v>0</v>
      </c>
      <c r="BZ16" s="102">
        <v>600000</v>
      </c>
      <c r="CA16" s="33">
        <f>SUMIFS(TablaEgresos[Valor],TablaEgresos[Categoría],$A16,TablaEgresos[Mes],BZ$4)</f>
        <v>0</v>
      </c>
      <c r="CB16" s="33">
        <f t="shared" si="120"/>
        <v>600000</v>
      </c>
      <c r="CC16" s="11">
        <f t="shared" si="121"/>
        <v>0</v>
      </c>
      <c r="CD16" s="102">
        <v>600000</v>
      </c>
      <c r="CE16" s="33">
        <f>SUMIFS(TablaEgresos[Valor],TablaEgresos[Categoría],$A16,TablaEgresos[Mes],CD$4)</f>
        <v>0</v>
      </c>
      <c r="CF16" s="33">
        <f t="shared" si="122"/>
        <v>600000</v>
      </c>
      <c r="CG16" s="11">
        <f t="shared" si="123"/>
        <v>0</v>
      </c>
      <c r="CH16" s="102">
        <v>600000</v>
      </c>
      <c r="CI16" s="33">
        <f>SUMIFS(TablaEgresos[Valor],TablaEgresos[Categoría],$A16,TablaEgresos[Mes],CH$4)</f>
        <v>0</v>
      </c>
      <c r="CJ16" s="33">
        <f t="shared" si="124"/>
        <v>600000</v>
      </c>
      <c r="CK16" s="11">
        <f t="shared" si="125"/>
        <v>0</v>
      </c>
      <c r="CL16" s="102">
        <v>600000</v>
      </c>
      <c r="CM16" s="33">
        <f>SUMIFS(TablaEgresos[Valor],TablaEgresos[Categoría],$A16,TablaEgresos[Mes],CL$4)</f>
        <v>0</v>
      </c>
      <c r="CN16" s="33">
        <f t="shared" si="126"/>
        <v>600000</v>
      </c>
      <c r="CO16" s="11">
        <f t="shared" si="127"/>
        <v>0</v>
      </c>
    </row>
    <row r="17" spans="1:93" outlineLevel="1" x14ac:dyDescent="0.3">
      <c r="A17" s="101" t="s">
        <v>1188</v>
      </c>
      <c r="B17" s="33">
        <f ca="1">IFERROR(AVERAGE(INDEX($B60:$W60,MATCH($B$3,$B$51:$W$51,0)-2):INDEX($B60:$W60,MATCH($B$3,$B$51:$W$51,0))),0)</f>
        <v>1108843.4066666665</v>
      </c>
      <c r="C17" s="33">
        <f ca="1">IFERROR(SLOPE(INDEX($B60:$W60,1):INDEX($B60:$W60,MATCH($B$3,$B$51:$W$51,0)),INDEX($B$50:$W$50,1):INDEX($B$50:$W$50,MATCH($B$3,$B$51:$W$51,0))),0)</f>
        <v>667731.52800000005</v>
      </c>
      <c r="D17" s="11">
        <f t="shared" ca="1" si="128"/>
        <v>0.60218739993890702</v>
      </c>
      <c r="E17" s="33">
        <f t="shared" ca="1" si="129"/>
        <v>3112000</v>
      </c>
      <c r="F17" s="33"/>
      <c r="G17" s="33">
        <f>SUMIFS(TablaEgresos[Valor],TablaEgresos[Categoría],$A17,TablaEgresos[Mes],F$4)</f>
        <v>0</v>
      </c>
      <c r="H17" s="33" t="str">
        <f t="shared" si="130"/>
        <v/>
      </c>
      <c r="I17" s="11" t="str">
        <f t="shared" si="131"/>
        <v/>
      </c>
      <c r="J17" s="33"/>
      <c r="K17" s="33">
        <f>SUMIFS(TablaEgresos[Valor],TablaEgresos[Categoría],$A17,TablaEgresos[Mes],J$4)</f>
        <v>67308.47</v>
      </c>
      <c r="L17" s="33" t="str">
        <f t="shared" si="86"/>
        <v/>
      </c>
      <c r="M17" s="11" t="str">
        <f t="shared" si="87"/>
        <v/>
      </c>
      <c r="N17" s="33"/>
      <c r="O17" s="33">
        <f>SUMIFS(TablaEgresos[Valor],TablaEgresos[Categoría],$A17,TablaEgresos[Mes],N$4)</f>
        <v>1516520.75</v>
      </c>
      <c r="P17" s="33" t="str">
        <f t="shared" si="88"/>
        <v/>
      </c>
      <c r="Q17" s="11" t="str">
        <f t="shared" si="89"/>
        <v/>
      </c>
      <c r="R17" s="33"/>
      <c r="S17" s="33">
        <f>SUMIFS(TablaEgresos[Valor],TablaEgresos[Categoría],$A17,TablaEgresos[Mes],R$4)</f>
        <v>1742701</v>
      </c>
      <c r="T17" s="33" t="str">
        <f t="shared" si="90"/>
        <v/>
      </c>
      <c r="U17" s="11" t="str">
        <f t="shared" si="91"/>
        <v/>
      </c>
      <c r="V17" s="102">
        <v>500000</v>
      </c>
      <c r="W17" s="33">
        <f>SUMIFS(TablaEgresos[Valor],TablaEgresos[Categoría],$A17,TablaEgresos[Mes],V$4)</f>
        <v>176200</v>
      </c>
      <c r="X17" s="33">
        <f t="shared" si="92"/>
        <v>323800</v>
      </c>
      <c r="Y17" s="11">
        <f t="shared" si="93"/>
        <v>0.35239999999999999</v>
      </c>
      <c r="Z17" s="102">
        <v>650000</v>
      </c>
      <c r="AA17" s="33">
        <f>SUMIFS(TablaEgresos[Valor],TablaEgresos[Categoría],$A17,TablaEgresos[Mes],Z$4)</f>
        <v>0</v>
      </c>
      <c r="AB17" s="33">
        <f t="shared" si="94"/>
        <v>650000</v>
      </c>
      <c r="AC17" s="11">
        <f t="shared" si="95"/>
        <v>0</v>
      </c>
      <c r="AD17" s="102">
        <v>650000</v>
      </c>
      <c r="AE17" s="33">
        <f>SUMIFS(TablaEgresos[Valor],TablaEgresos[Categoría],$A17,TablaEgresos[Mes],AD$4)</f>
        <v>0</v>
      </c>
      <c r="AF17" s="33">
        <f t="shared" si="96"/>
        <v>650000</v>
      </c>
      <c r="AG17" s="11">
        <f t="shared" si="97"/>
        <v>0</v>
      </c>
      <c r="AH17" s="102">
        <v>650000</v>
      </c>
      <c r="AI17" s="33">
        <f>SUMIFS(TablaEgresos[Valor],TablaEgresos[Categoría],$A17,TablaEgresos[Mes],AH$4)</f>
        <v>0</v>
      </c>
      <c r="AJ17" s="33">
        <f t="shared" si="98"/>
        <v>650000</v>
      </c>
      <c r="AK17" s="11">
        <f t="shared" si="99"/>
        <v>0</v>
      </c>
      <c r="AL17" s="102">
        <v>650000</v>
      </c>
      <c r="AM17" s="33">
        <f>SUMIFS(TablaEgresos[Valor],TablaEgresos[Categoría],$A17,TablaEgresos[Mes],AL$4)</f>
        <v>0</v>
      </c>
      <c r="AN17" s="33">
        <f t="shared" si="100"/>
        <v>650000</v>
      </c>
      <c r="AO17" s="11">
        <f t="shared" si="101"/>
        <v>0</v>
      </c>
      <c r="AP17" s="102">
        <v>650000</v>
      </c>
      <c r="AQ17" s="33">
        <f>SUMIFS(TablaEgresos[Valor],TablaEgresos[Categoría],$A17,TablaEgresos[Mes],AP$4)</f>
        <v>0</v>
      </c>
      <c r="AR17" s="33">
        <f t="shared" si="102"/>
        <v>650000</v>
      </c>
      <c r="AS17" s="11">
        <f t="shared" si="103"/>
        <v>0</v>
      </c>
      <c r="AT17" s="102">
        <v>650000</v>
      </c>
      <c r="AU17" s="33">
        <f>SUMIFS(TablaEgresos[Valor],TablaEgresos[Categoría],$A17,TablaEgresos[Mes],AT$4)</f>
        <v>0</v>
      </c>
      <c r="AV17" s="33">
        <f t="shared" si="104"/>
        <v>650000</v>
      </c>
      <c r="AW17" s="11">
        <f t="shared" si="105"/>
        <v>0</v>
      </c>
      <c r="AX17" s="102">
        <v>650000</v>
      </c>
      <c r="AY17" s="33">
        <f>SUMIFS(TablaEgresos[Valor],TablaEgresos[Categoría],$A17,TablaEgresos[Mes],AX$4)</f>
        <v>0</v>
      </c>
      <c r="AZ17" s="33">
        <f t="shared" si="106"/>
        <v>650000</v>
      </c>
      <c r="BA17" s="11">
        <f t="shared" si="107"/>
        <v>0</v>
      </c>
      <c r="BB17" s="102">
        <v>650000</v>
      </c>
      <c r="BC17" s="33">
        <f>SUMIFS(TablaEgresos[Valor],TablaEgresos[Categoría],$A17,TablaEgresos[Mes],BB$4)</f>
        <v>0</v>
      </c>
      <c r="BD17" s="33">
        <f t="shared" si="108"/>
        <v>650000</v>
      </c>
      <c r="BE17" s="11">
        <f t="shared" si="109"/>
        <v>0</v>
      </c>
      <c r="BF17" s="102">
        <v>650000</v>
      </c>
      <c r="BG17" s="33">
        <f>SUMIFS(TablaEgresos[Valor],TablaEgresos[Categoría],$A17,TablaEgresos[Mes],BF$4)</f>
        <v>0</v>
      </c>
      <c r="BH17" s="33">
        <f t="shared" si="110"/>
        <v>650000</v>
      </c>
      <c r="BI17" s="11">
        <f t="shared" si="111"/>
        <v>0</v>
      </c>
      <c r="BJ17" s="102">
        <v>650000</v>
      </c>
      <c r="BK17" s="33">
        <f>SUMIFS(TablaEgresos[Valor],TablaEgresos[Categoría],$A17,TablaEgresos[Mes],BJ$4)</f>
        <v>0</v>
      </c>
      <c r="BL17" s="33">
        <f t="shared" si="112"/>
        <v>650000</v>
      </c>
      <c r="BM17" s="11">
        <f t="shared" si="113"/>
        <v>0</v>
      </c>
      <c r="BN17" s="102">
        <v>650000</v>
      </c>
      <c r="BO17" s="33">
        <f>SUMIFS(TablaEgresos[Valor],TablaEgresos[Categoría],$A17,TablaEgresos[Mes],BN$4)</f>
        <v>0</v>
      </c>
      <c r="BP17" s="33">
        <f t="shared" si="114"/>
        <v>650000</v>
      </c>
      <c r="BQ17" s="11">
        <f t="shared" si="115"/>
        <v>0</v>
      </c>
      <c r="BR17" s="102">
        <v>650000</v>
      </c>
      <c r="BS17" s="33">
        <f>SUMIFS(TablaEgresos[Valor],TablaEgresos[Categoría],$A17,TablaEgresos[Mes],BR$4)</f>
        <v>0</v>
      </c>
      <c r="BT17" s="33">
        <f t="shared" si="116"/>
        <v>650000</v>
      </c>
      <c r="BU17" s="11">
        <f t="shared" si="117"/>
        <v>0</v>
      </c>
      <c r="BV17" s="102">
        <v>650000</v>
      </c>
      <c r="BW17" s="33">
        <f>SUMIFS(TablaEgresos[Valor],TablaEgresos[Categoría],$A17,TablaEgresos[Mes],BV$4)</f>
        <v>0</v>
      </c>
      <c r="BX17" s="33">
        <f t="shared" si="118"/>
        <v>650000</v>
      </c>
      <c r="BY17" s="11">
        <f t="shared" si="119"/>
        <v>0</v>
      </c>
      <c r="BZ17" s="102">
        <v>650000</v>
      </c>
      <c r="CA17" s="33">
        <f>SUMIFS(TablaEgresos[Valor],TablaEgresos[Categoría],$A17,TablaEgresos[Mes],BZ$4)</f>
        <v>0</v>
      </c>
      <c r="CB17" s="33">
        <f t="shared" si="120"/>
        <v>650000</v>
      </c>
      <c r="CC17" s="11">
        <f t="shared" si="121"/>
        <v>0</v>
      </c>
      <c r="CD17" s="102">
        <v>650000</v>
      </c>
      <c r="CE17" s="33">
        <f>SUMIFS(TablaEgresos[Valor],TablaEgresos[Categoría],$A17,TablaEgresos[Mes],CD$4)</f>
        <v>0</v>
      </c>
      <c r="CF17" s="33">
        <f t="shared" si="122"/>
        <v>650000</v>
      </c>
      <c r="CG17" s="11">
        <f t="shared" si="123"/>
        <v>0</v>
      </c>
      <c r="CH17" s="102">
        <v>650000</v>
      </c>
      <c r="CI17" s="33">
        <f>SUMIFS(TablaEgresos[Valor],TablaEgresos[Categoría],$A17,TablaEgresos[Mes],CH$4)</f>
        <v>0</v>
      </c>
      <c r="CJ17" s="33">
        <f t="shared" si="124"/>
        <v>650000</v>
      </c>
      <c r="CK17" s="11">
        <f t="shared" si="125"/>
        <v>0</v>
      </c>
      <c r="CL17" s="102">
        <v>650000</v>
      </c>
      <c r="CM17" s="33">
        <f>SUMIFS(TablaEgresos[Valor],TablaEgresos[Categoría],$A17,TablaEgresos[Mes],CL$4)</f>
        <v>0</v>
      </c>
      <c r="CN17" s="33">
        <f t="shared" si="126"/>
        <v>650000</v>
      </c>
      <c r="CO17" s="11">
        <f t="shared" si="127"/>
        <v>0</v>
      </c>
    </row>
    <row r="18" spans="1:93" outlineLevel="1" x14ac:dyDescent="0.3">
      <c r="A18" s="101" t="s">
        <v>77</v>
      </c>
      <c r="B18" s="33">
        <f ca="1">IFERROR(AVERAGE(INDEX($B61:$W61,MATCH($B$3,$B$51:$W$51,0)-2):INDEX($B61:$W61,MATCH($B$3,$B$51:$W$51,0))),0)</f>
        <v>1351198</v>
      </c>
      <c r="C18" s="33">
        <f ca="1">IFERROR(SLOPE(INDEX($B61:$W61,1):INDEX($B61:$W61,MATCH($B$3,$B$51:$W$51,0)),INDEX($B$50:$W$50,1):INDEX($B$50:$W$50,MATCH($B$3,$B$51:$W$51,0))),0)</f>
        <v>693125.4</v>
      </c>
      <c r="D18" s="11">
        <f t="shared" ca="1" si="128"/>
        <v>0.51297100794998218</v>
      </c>
      <c r="E18" s="33">
        <f t="shared" ca="1" si="129"/>
        <v>3431000</v>
      </c>
      <c r="F18" s="33"/>
      <c r="G18" s="33">
        <f>SUMIFS(TablaEgresos[Valor],TablaEgresos[Categoría],$A18,TablaEgresos[Mes],F$4)</f>
        <v>0</v>
      </c>
      <c r="H18" s="33" t="str">
        <f t="shared" si="130"/>
        <v/>
      </c>
      <c r="I18" s="11" t="str">
        <f t="shared" si="131"/>
        <v/>
      </c>
      <c r="J18" s="33"/>
      <c r="K18" s="33">
        <f>SUMIFS(TablaEgresos[Valor],TablaEgresos[Categoría],$A18,TablaEgresos[Mes],J$4)</f>
        <v>460761</v>
      </c>
      <c r="L18" s="33" t="str">
        <f t="shared" si="86"/>
        <v/>
      </c>
      <c r="M18" s="11" t="str">
        <f t="shared" si="87"/>
        <v/>
      </c>
      <c r="N18" s="33"/>
      <c r="O18" s="33">
        <f>SUMIFS(TablaEgresos[Valor],TablaEgresos[Categoría],$A18,TablaEgresos[Mes],N$4)</f>
        <v>1693242</v>
      </c>
      <c r="P18" s="33" t="str">
        <f t="shared" si="88"/>
        <v/>
      </c>
      <c r="Q18" s="11" t="str">
        <f t="shared" si="89"/>
        <v/>
      </c>
      <c r="R18" s="33"/>
      <c r="S18" s="33">
        <f>SUMIFS(TablaEgresos[Valor],TablaEgresos[Categoría],$A18,TablaEgresos[Mes],R$4)</f>
        <v>1899591</v>
      </c>
      <c r="T18" s="33" t="str">
        <f t="shared" si="90"/>
        <v/>
      </c>
      <c r="U18" s="11" t="str">
        <f t="shared" si="91"/>
        <v/>
      </c>
      <c r="V18" s="102">
        <v>1500000</v>
      </c>
      <c r="W18" s="33">
        <f>SUMIFS(TablaEgresos[Valor],TablaEgresos[Categoría],$A18,TablaEgresos[Mes],V$4)</f>
        <v>1203597.96</v>
      </c>
      <c r="X18" s="33">
        <f t="shared" si="92"/>
        <v>296402.04000000004</v>
      </c>
      <c r="Y18" s="11">
        <f t="shared" si="93"/>
        <v>0.80239863999999994</v>
      </c>
      <c r="Z18" s="102">
        <v>1500000</v>
      </c>
      <c r="AA18" s="33">
        <f>SUMIFS(TablaEgresos[Valor],TablaEgresos[Categoría],$A18,TablaEgresos[Mes],Z$4)</f>
        <v>0</v>
      </c>
      <c r="AB18" s="33">
        <f t="shared" si="94"/>
        <v>1500000</v>
      </c>
      <c r="AC18" s="11">
        <f t="shared" si="95"/>
        <v>0</v>
      </c>
      <c r="AD18" s="102">
        <v>1500000</v>
      </c>
      <c r="AE18" s="33">
        <f>SUMIFS(TablaEgresos[Valor],TablaEgresos[Categoría],$A18,TablaEgresos[Mes],AD$4)</f>
        <v>0</v>
      </c>
      <c r="AF18" s="33">
        <f t="shared" si="96"/>
        <v>1500000</v>
      </c>
      <c r="AG18" s="11">
        <f t="shared" si="97"/>
        <v>0</v>
      </c>
      <c r="AH18" s="102">
        <v>1500000</v>
      </c>
      <c r="AI18" s="33">
        <f>SUMIFS(TablaEgresos[Valor],TablaEgresos[Categoría],$A18,TablaEgresos[Mes],AH$4)</f>
        <v>0</v>
      </c>
      <c r="AJ18" s="33">
        <f t="shared" si="98"/>
        <v>1500000</v>
      </c>
      <c r="AK18" s="11">
        <f t="shared" si="99"/>
        <v>0</v>
      </c>
      <c r="AL18" s="102">
        <v>1500000</v>
      </c>
      <c r="AM18" s="33">
        <f>SUMIFS(TablaEgresos[Valor],TablaEgresos[Categoría],$A18,TablaEgresos[Mes],AL$4)</f>
        <v>0</v>
      </c>
      <c r="AN18" s="33">
        <f t="shared" si="100"/>
        <v>1500000</v>
      </c>
      <c r="AO18" s="11">
        <f t="shared" si="101"/>
        <v>0</v>
      </c>
      <c r="AP18" s="102">
        <v>1500000</v>
      </c>
      <c r="AQ18" s="33">
        <f>SUMIFS(TablaEgresos[Valor],TablaEgresos[Categoría],$A18,TablaEgresos[Mes],AP$4)</f>
        <v>0</v>
      </c>
      <c r="AR18" s="33">
        <f t="shared" si="102"/>
        <v>1500000</v>
      </c>
      <c r="AS18" s="11">
        <f t="shared" si="103"/>
        <v>0</v>
      </c>
      <c r="AT18" s="102">
        <v>1500000</v>
      </c>
      <c r="AU18" s="33">
        <f>SUMIFS(TablaEgresos[Valor],TablaEgresos[Categoría],$A18,TablaEgresos[Mes],AT$4)</f>
        <v>0</v>
      </c>
      <c r="AV18" s="33">
        <f t="shared" si="104"/>
        <v>1500000</v>
      </c>
      <c r="AW18" s="11">
        <f t="shared" si="105"/>
        <v>0</v>
      </c>
      <c r="AX18" s="102">
        <v>1500000</v>
      </c>
      <c r="AY18" s="33">
        <f>SUMIFS(TablaEgresos[Valor],TablaEgresos[Categoría],$A18,TablaEgresos[Mes],AX$4)</f>
        <v>0</v>
      </c>
      <c r="AZ18" s="33">
        <f t="shared" si="106"/>
        <v>1500000</v>
      </c>
      <c r="BA18" s="11">
        <f t="shared" si="107"/>
        <v>0</v>
      </c>
      <c r="BB18" s="102">
        <v>1500000</v>
      </c>
      <c r="BC18" s="33">
        <f>SUMIFS(TablaEgresos[Valor],TablaEgresos[Categoría],$A18,TablaEgresos[Mes],BB$4)</f>
        <v>0</v>
      </c>
      <c r="BD18" s="33">
        <f t="shared" si="108"/>
        <v>1500000</v>
      </c>
      <c r="BE18" s="11">
        <f t="shared" si="109"/>
        <v>0</v>
      </c>
      <c r="BF18" s="102">
        <v>1500000</v>
      </c>
      <c r="BG18" s="33">
        <f>SUMIFS(TablaEgresos[Valor],TablaEgresos[Categoría],$A18,TablaEgresos[Mes],BF$4)</f>
        <v>0</v>
      </c>
      <c r="BH18" s="33">
        <f t="shared" si="110"/>
        <v>1500000</v>
      </c>
      <c r="BI18" s="11">
        <f t="shared" si="111"/>
        <v>0</v>
      </c>
      <c r="BJ18" s="102">
        <v>1500000</v>
      </c>
      <c r="BK18" s="33">
        <f>SUMIFS(TablaEgresos[Valor],TablaEgresos[Categoría],$A18,TablaEgresos[Mes],BJ$4)</f>
        <v>0</v>
      </c>
      <c r="BL18" s="33">
        <f t="shared" si="112"/>
        <v>1500000</v>
      </c>
      <c r="BM18" s="11">
        <f t="shared" si="113"/>
        <v>0</v>
      </c>
      <c r="BN18" s="102">
        <v>1500000</v>
      </c>
      <c r="BO18" s="33">
        <f>SUMIFS(TablaEgresos[Valor],TablaEgresos[Categoría],$A18,TablaEgresos[Mes],BN$4)</f>
        <v>0</v>
      </c>
      <c r="BP18" s="33">
        <f t="shared" si="114"/>
        <v>1500000</v>
      </c>
      <c r="BQ18" s="11">
        <f t="shared" si="115"/>
        <v>0</v>
      </c>
      <c r="BR18" s="102">
        <v>1500000</v>
      </c>
      <c r="BS18" s="33">
        <f>SUMIFS(TablaEgresos[Valor],TablaEgresos[Categoría],$A18,TablaEgresos[Mes],BR$4)</f>
        <v>0</v>
      </c>
      <c r="BT18" s="33">
        <f t="shared" si="116"/>
        <v>1500000</v>
      </c>
      <c r="BU18" s="11">
        <f t="shared" si="117"/>
        <v>0</v>
      </c>
      <c r="BV18" s="102">
        <v>1500000</v>
      </c>
      <c r="BW18" s="33">
        <f>SUMIFS(TablaEgresos[Valor],TablaEgresos[Categoría],$A18,TablaEgresos[Mes],BV$4)</f>
        <v>0</v>
      </c>
      <c r="BX18" s="33">
        <f t="shared" si="118"/>
        <v>1500000</v>
      </c>
      <c r="BY18" s="11">
        <f t="shared" si="119"/>
        <v>0</v>
      </c>
      <c r="BZ18" s="102">
        <v>1500000</v>
      </c>
      <c r="CA18" s="33">
        <f>SUMIFS(TablaEgresos[Valor],TablaEgresos[Categoría],$A18,TablaEgresos[Mes],BZ$4)</f>
        <v>0</v>
      </c>
      <c r="CB18" s="33">
        <f t="shared" si="120"/>
        <v>1500000</v>
      </c>
      <c r="CC18" s="11">
        <f t="shared" si="121"/>
        <v>0</v>
      </c>
      <c r="CD18" s="102">
        <v>1500000</v>
      </c>
      <c r="CE18" s="33">
        <f>SUMIFS(TablaEgresos[Valor],TablaEgresos[Categoría],$A18,TablaEgresos[Mes],CD$4)</f>
        <v>0</v>
      </c>
      <c r="CF18" s="33">
        <f t="shared" si="122"/>
        <v>1500000</v>
      </c>
      <c r="CG18" s="11">
        <f t="shared" si="123"/>
        <v>0</v>
      </c>
      <c r="CH18" s="102">
        <v>1500000</v>
      </c>
      <c r="CI18" s="33">
        <f>SUMIFS(TablaEgresos[Valor],TablaEgresos[Categoría],$A18,TablaEgresos[Mes],CH$4)</f>
        <v>0</v>
      </c>
      <c r="CJ18" s="33">
        <f t="shared" si="124"/>
        <v>1500000</v>
      </c>
      <c r="CK18" s="11">
        <f t="shared" si="125"/>
        <v>0</v>
      </c>
      <c r="CL18" s="102">
        <v>1500000</v>
      </c>
      <c r="CM18" s="33">
        <f>SUMIFS(TablaEgresos[Valor],TablaEgresos[Categoría],$A18,TablaEgresos[Mes],CL$4)</f>
        <v>0</v>
      </c>
      <c r="CN18" s="33">
        <f t="shared" si="126"/>
        <v>1500000</v>
      </c>
      <c r="CO18" s="11">
        <f t="shared" si="127"/>
        <v>0</v>
      </c>
    </row>
    <row r="19" spans="1:93" outlineLevel="1" x14ac:dyDescent="0.3">
      <c r="A19" s="101" t="s">
        <v>1177</v>
      </c>
      <c r="B19" s="33">
        <f ca="1">IFERROR(AVERAGE(INDEX($B64:$W64,MATCH($B$3,$B$51:$W$51,0)-2):INDEX($B64:$W64,MATCH($B$3,$B$51:$W$51,0))),0)</f>
        <v>258600</v>
      </c>
      <c r="C19" s="33">
        <f ca="1">IFERROR(SLOPE(INDEX($B64:$W64,1):INDEX($B64:$W64,MATCH($B$3,$B$51:$W$51,0)),INDEX($B$50:$W$50,1):INDEX($B$50:$W$50,MATCH($B$3,$B$51:$W$51,0))),0)</f>
        <v>107200</v>
      </c>
      <c r="D19" s="11">
        <f t="shared" ca="1" si="128"/>
        <v>0.41453982985305493</v>
      </c>
      <c r="E19" s="33">
        <f t="shared" ca="1" si="129"/>
        <v>580000</v>
      </c>
      <c r="F19" s="33"/>
      <c r="G19" s="33">
        <f>SUMIFS(TablaEgresos[Valor],TablaEgresos[Categoría],$A19,TablaEgresos[Mes],F$4)</f>
        <v>0</v>
      </c>
      <c r="H19" s="33" t="str">
        <f t="shared" ref="H19" si="132">IF(F19="","",F19-G19)</f>
        <v/>
      </c>
      <c r="I19" s="11" t="str">
        <f t="shared" ref="I19" si="133">IF(OR(F19="",F19=0),"",G19/F19)</f>
        <v/>
      </c>
      <c r="J19" s="33"/>
      <c r="K19" s="33">
        <f>SUMIFS(TablaEgresos[Valor],TablaEgresos[Categoría],$A19,TablaEgresos[Mes],J$4)</f>
        <v>203700</v>
      </c>
      <c r="L19" s="33" t="str">
        <f t="shared" ref="L19" si="134">IF(J19="","",J19-K19)</f>
        <v/>
      </c>
      <c r="M19" s="11" t="str">
        <f t="shared" ref="M19" si="135">IF(OR(J19="",J19=0),"",K19/J19)</f>
        <v/>
      </c>
      <c r="N19" s="33"/>
      <c r="O19" s="33">
        <f>SUMIFS(TablaEgresos[Valor],TablaEgresos[Categoría],$A19,TablaEgresos[Mes],N$4)</f>
        <v>220300</v>
      </c>
      <c r="P19" s="33" t="str">
        <f t="shared" ref="P19" si="136">IF(N19="","",N19-O19)</f>
        <v/>
      </c>
      <c r="Q19" s="11" t="str">
        <f t="shared" ref="Q19" si="137">IF(OR(N19="",N19=0),"",O19/N19)</f>
        <v/>
      </c>
      <c r="R19" s="33"/>
      <c r="S19" s="33">
        <f>SUMIFS(TablaEgresos[Valor],TablaEgresos[Categoría],$A19,TablaEgresos[Mes],R$4)</f>
        <v>351800</v>
      </c>
      <c r="T19" s="33" t="str">
        <f t="shared" ref="T19" si="138">IF(R19="","",R19-S19)</f>
        <v/>
      </c>
      <c r="U19" s="11" t="str">
        <f t="shared" ref="U19" si="139">IF(OR(R19="",R19=0),"",S19/R19)</f>
        <v/>
      </c>
      <c r="V19" s="102">
        <v>0</v>
      </c>
      <c r="W19" s="33">
        <f>SUMIFS(TablaEgresos[Valor],TablaEgresos[Categoría],$A19,TablaEgresos[Mes],V$4)</f>
        <v>0</v>
      </c>
      <c r="X19" s="33">
        <f t="shared" ref="X19" si="140">IF(V19="","",V19-W19)</f>
        <v>0</v>
      </c>
      <c r="Y19" s="11" t="str">
        <f t="shared" ref="Y19" si="141">IF(OR(V19="",V19=0),"",W19/V19)</f>
        <v/>
      </c>
      <c r="Z19" s="102">
        <v>300000</v>
      </c>
      <c r="AA19" s="33">
        <f>SUMIFS(TablaEgresos[Valor],TablaEgresos[Categoría],$A19,TablaEgresos[Mes],Z$4)</f>
        <v>0</v>
      </c>
      <c r="AB19" s="33">
        <f t="shared" ref="AB19" si="142">IF(Z19="","",Z19-AA19)</f>
        <v>300000</v>
      </c>
      <c r="AC19" s="11">
        <f t="shared" ref="AC19" si="143">IF(OR(Z19="",Z19=0),"",AA19/Z19)</f>
        <v>0</v>
      </c>
      <c r="AD19" s="102">
        <v>300000</v>
      </c>
      <c r="AE19" s="33">
        <f>SUMIFS(TablaEgresos[Valor],TablaEgresos[Categoría],$A19,TablaEgresos[Mes],AD$4)</f>
        <v>0</v>
      </c>
      <c r="AF19" s="33">
        <f t="shared" ref="AF19" si="144">IF(AD19="","",AD19-AE19)</f>
        <v>300000</v>
      </c>
      <c r="AG19" s="11">
        <f t="shared" ref="AG19" si="145">IF(OR(AD19="",AD19=0),"",AE19/AD19)</f>
        <v>0</v>
      </c>
      <c r="AH19" s="102">
        <v>300000</v>
      </c>
      <c r="AI19" s="33">
        <f>SUMIFS(TablaEgresos[Valor],TablaEgresos[Categoría],$A19,TablaEgresos[Mes],AH$4)</f>
        <v>0</v>
      </c>
      <c r="AJ19" s="33">
        <f t="shared" ref="AJ19" si="146">IF(AH19="","",AH19-AI19)</f>
        <v>300000</v>
      </c>
      <c r="AK19" s="11">
        <f t="shared" ref="AK19" si="147">IF(OR(AH19="",AH19=0),"",AI19/AH19)</f>
        <v>0</v>
      </c>
      <c r="AL19" s="102">
        <v>300000</v>
      </c>
      <c r="AM19" s="33">
        <f>SUMIFS(TablaEgresos[Valor],TablaEgresos[Categoría],$A19,TablaEgresos[Mes],AL$4)</f>
        <v>0</v>
      </c>
      <c r="AN19" s="33">
        <f t="shared" ref="AN19" si="148">IF(AL19="","",AL19-AM19)</f>
        <v>300000</v>
      </c>
      <c r="AO19" s="11">
        <f t="shared" ref="AO19" si="149">IF(OR(AL19="",AL19=0),"",AM19/AL19)</f>
        <v>0</v>
      </c>
      <c r="AP19" s="102">
        <v>300000</v>
      </c>
      <c r="AQ19" s="33">
        <f>SUMIFS(TablaEgresos[Valor],TablaEgresos[Categoría],$A19,TablaEgresos[Mes],AP$4)</f>
        <v>0</v>
      </c>
      <c r="AR19" s="33">
        <f t="shared" ref="AR19" si="150">IF(AP19="","",AP19-AQ19)</f>
        <v>300000</v>
      </c>
      <c r="AS19" s="11">
        <f t="shared" ref="AS19" si="151">IF(OR(AP19="",AP19=0),"",AQ19/AP19)</f>
        <v>0</v>
      </c>
      <c r="AT19" s="102">
        <v>300000</v>
      </c>
      <c r="AU19" s="33">
        <f>SUMIFS(TablaEgresos[Valor],TablaEgresos[Categoría],$A19,TablaEgresos[Mes],AT$4)</f>
        <v>0</v>
      </c>
      <c r="AV19" s="33">
        <f t="shared" ref="AV19" si="152">IF(AT19="","",AT19-AU19)</f>
        <v>300000</v>
      </c>
      <c r="AW19" s="11">
        <f t="shared" ref="AW19" si="153">IF(OR(AT19="",AT19=0),"",AU19/AT19)</f>
        <v>0</v>
      </c>
      <c r="AX19" s="102">
        <v>300000</v>
      </c>
      <c r="AY19" s="33">
        <f>SUMIFS(TablaEgresos[Valor],TablaEgresos[Categoría],$A19,TablaEgresos[Mes],AX$4)</f>
        <v>0</v>
      </c>
      <c r="AZ19" s="33">
        <f t="shared" ref="AZ19" si="154">IF(AX19="","",AX19-AY19)</f>
        <v>300000</v>
      </c>
      <c r="BA19" s="11">
        <f t="shared" ref="BA19" si="155">IF(OR(AX19="",AX19=0),"",AY19/AX19)</f>
        <v>0</v>
      </c>
      <c r="BB19" s="102">
        <v>300000</v>
      </c>
      <c r="BC19" s="33">
        <f>SUMIFS(TablaEgresos[Valor],TablaEgresos[Categoría],$A19,TablaEgresos[Mes],BB$4)</f>
        <v>0</v>
      </c>
      <c r="BD19" s="33">
        <f t="shared" ref="BD19" si="156">IF(BB19="","",BB19-BC19)</f>
        <v>300000</v>
      </c>
      <c r="BE19" s="11">
        <f t="shared" ref="BE19" si="157">IF(OR(BB19="",BB19=0),"",BC19/BB19)</f>
        <v>0</v>
      </c>
      <c r="BF19" s="102">
        <v>300000</v>
      </c>
      <c r="BG19" s="33">
        <f>SUMIFS(TablaEgresos[Valor],TablaEgresos[Categoría],$A19,TablaEgresos[Mes],BF$4)</f>
        <v>0</v>
      </c>
      <c r="BH19" s="33">
        <f t="shared" ref="BH19" si="158">IF(BF19="","",BF19-BG19)</f>
        <v>300000</v>
      </c>
      <c r="BI19" s="11">
        <f t="shared" ref="BI19" si="159">IF(OR(BF19="",BF19=0),"",BG19/BF19)</f>
        <v>0</v>
      </c>
      <c r="BJ19" s="102">
        <v>300000</v>
      </c>
      <c r="BK19" s="33">
        <f>SUMIFS(TablaEgresos[Valor],TablaEgresos[Categoría],$A19,TablaEgresos[Mes],BJ$4)</f>
        <v>0</v>
      </c>
      <c r="BL19" s="33">
        <f t="shared" ref="BL19" si="160">IF(BJ19="","",BJ19-BK19)</f>
        <v>300000</v>
      </c>
      <c r="BM19" s="11">
        <f t="shared" ref="BM19" si="161">IF(OR(BJ19="",BJ19=0),"",BK19/BJ19)</f>
        <v>0</v>
      </c>
      <c r="BN19" s="102">
        <v>300000</v>
      </c>
      <c r="BO19" s="33">
        <f>SUMIFS(TablaEgresos[Valor],TablaEgresos[Categoría],$A19,TablaEgresos[Mes],BN$4)</f>
        <v>0</v>
      </c>
      <c r="BP19" s="33">
        <f t="shared" ref="BP19" si="162">IF(BN19="","",BN19-BO19)</f>
        <v>300000</v>
      </c>
      <c r="BQ19" s="11">
        <f t="shared" ref="BQ19" si="163">IF(OR(BN19="",BN19=0),"",BO19/BN19)</f>
        <v>0</v>
      </c>
      <c r="BR19" s="102">
        <v>300000</v>
      </c>
      <c r="BS19" s="33">
        <f>SUMIFS(TablaEgresos[Valor],TablaEgresos[Categoría],$A19,TablaEgresos[Mes],BR$4)</f>
        <v>0</v>
      </c>
      <c r="BT19" s="33">
        <f t="shared" ref="BT19" si="164">IF(BR19="","",BR19-BS19)</f>
        <v>300000</v>
      </c>
      <c r="BU19" s="11">
        <f t="shared" ref="BU19" si="165">IF(OR(BR19="",BR19=0),"",BS19/BR19)</f>
        <v>0</v>
      </c>
      <c r="BV19" s="102">
        <v>300000</v>
      </c>
      <c r="BW19" s="33">
        <f>SUMIFS(TablaEgresos[Valor],TablaEgresos[Categoría],$A19,TablaEgresos[Mes],BV$4)</f>
        <v>0</v>
      </c>
      <c r="BX19" s="33">
        <f t="shared" ref="BX19" si="166">IF(BV19="","",BV19-BW19)</f>
        <v>300000</v>
      </c>
      <c r="BY19" s="11">
        <f t="shared" ref="BY19" si="167">IF(OR(BV19="",BV19=0),"",BW19/BV19)</f>
        <v>0</v>
      </c>
      <c r="BZ19" s="102">
        <v>300000</v>
      </c>
      <c r="CA19" s="33">
        <f>SUMIFS(TablaEgresos[Valor],TablaEgresos[Categoría],$A19,TablaEgresos[Mes],BZ$4)</f>
        <v>0</v>
      </c>
      <c r="CB19" s="33">
        <f t="shared" ref="CB19" si="168">IF(BZ19="","",BZ19-CA19)</f>
        <v>300000</v>
      </c>
      <c r="CC19" s="11">
        <f t="shared" ref="CC19" si="169">IF(OR(BZ19="",BZ19=0),"",CA19/BZ19)</f>
        <v>0</v>
      </c>
      <c r="CD19" s="102">
        <v>300000</v>
      </c>
      <c r="CE19" s="33">
        <f>SUMIFS(TablaEgresos[Valor],TablaEgresos[Categoría],$A19,TablaEgresos[Mes],CD$4)</f>
        <v>0</v>
      </c>
      <c r="CF19" s="33">
        <f t="shared" ref="CF19" si="170">IF(CD19="","",CD19-CE19)</f>
        <v>300000</v>
      </c>
      <c r="CG19" s="11">
        <f t="shared" ref="CG19" si="171">IF(OR(CD19="",CD19=0),"",CE19/CD19)</f>
        <v>0</v>
      </c>
      <c r="CH19" s="102">
        <v>300000</v>
      </c>
      <c r="CI19" s="33">
        <f>SUMIFS(TablaEgresos[Valor],TablaEgresos[Categoría],$A19,TablaEgresos[Mes],CH$4)</f>
        <v>0</v>
      </c>
      <c r="CJ19" s="33">
        <f t="shared" ref="CJ19" si="172">IF(CH19="","",CH19-CI19)</f>
        <v>300000</v>
      </c>
      <c r="CK19" s="11">
        <f t="shared" ref="CK19" si="173">IF(OR(CH19="",CH19=0),"",CI19/CH19)</f>
        <v>0</v>
      </c>
      <c r="CL19" s="102">
        <v>300000</v>
      </c>
      <c r="CM19" s="33">
        <f>SUMIFS(TablaEgresos[Valor],TablaEgresos[Categoría],$A19,TablaEgresos[Mes],CL$4)</f>
        <v>0</v>
      </c>
      <c r="CN19" s="33">
        <f t="shared" ref="CN19" si="174">IF(CL19="","",CL19-CM19)</f>
        <v>300000</v>
      </c>
      <c r="CO19" s="11">
        <f t="shared" ref="CO19" si="175">IF(OR(CL19="",CL19=0),"",CM19/CL19)</f>
        <v>0</v>
      </c>
    </row>
    <row r="20" spans="1:93" outlineLevel="1" x14ac:dyDescent="0.3">
      <c r="A20" s="101" t="s">
        <v>1178</v>
      </c>
      <c r="B20" s="33">
        <f ca="1">IFERROR(AVERAGE(INDEX($B63:$W63,MATCH($B$3,$B$51:$W$51,0)-2):INDEX($B63:$W63,MATCH($B$3,$B$51:$W$51,0))),0)</f>
        <v>182471.33333333334</v>
      </c>
      <c r="C20" s="33">
        <f ca="1">IFERROR(SLOPE(INDEX($B63:$W63,1):INDEX($B63:$W63,MATCH($B$3,$B$51:$W$51,0)),INDEX($B$50:$W$50,1):INDEX($B$50:$W$50,MATCH($B$3,$B$51:$W$51,0))),0)</f>
        <v>60002.8</v>
      </c>
      <c r="D20" s="11">
        <f ca="1">IF($B20=0,"",$C20/$B20)</f>
        <v>0.32883411823592379</v>
      </c>
      <c r="E20" s="33">
        <f ca="1">MAX(0,ROUND($B20+$C20*3,-3))</f>
        <v>362000</v>
      </c>
      <c r="F20" s="33"/>
      <c r="G20" s="33">
        <f>SUMIFS(TablaEgresos[Valor],TablaEgresos[Categoría],$A20,TablaEgresos[Mes],F$4)</f>
        <v>0</v>
      </c>
      <c r="H20" s="33" t="str">
        <f t="shared" ref="H20" si="176">IF(F20="","",F20-G20)</f>
        <v/>
      </c>
      <c r="I20" s="11" t="str">
        <f t="shared" ref="I20" si="177">IF(OR(F20="",F20=0),"",G20/F20)</f>
        <v/>
      </c>
      <c r="J20" s="33"/>
      <c r="K20" s="33">
        <f>SUMIFS(TablaEgresos[Valor],TablaEgresos[Categoría],$A20,TablaEgresos[Mes],J$4)</f>
        <v>153693</v>
      </c>
      <c r="L20" s="33" t="str">
        <f t="shared" ref="L20" si="178">IF(J20="","",J20-K20)</f>
        <v/>
      </c>
      <c r="M20" s="11" t="str">
        <f t="shared" ref="M20" si="179">IF(OR(J20="",J20=0),"",K20/J20)</f>
        <v/>
      </c>
      <c r="N20" s="33"/>
      <c r="O20" s="33">
        <f>SUMIFS(TablaEgresos[Valor],TablaEgresos[Categoría],$A20,TablaEgresos[Mes],N$4)</f>
        <v>213721</v>
      </c>
      <c r="P20" s="33" t="str">
        <f t="shared" ref="P20" si="180">IF(N20="","",N20-O20)</f>
        <v/>
      </c>
      <c r="Q20" s="11" t="str">
        <f t="shared" ref="Q20" si="181">IF(OR(N20="",N20=0),"",O20/N20)</f>
        <v/>
      </c>
      <c r="R20" s="33"/>
      <c r="S20" s="33">
        <f>SUMIFS(TablaEgresos[Valor],TablaEgresos[Categoría],$A20,TablaEgresos[Mes],R$4)</f>
        <v>180000</v>
      </c>
      <c r="T20" s="33" t="str">
        <f t="shared" ref="T20" si="182">IF(R20="","",R20-S20)</f>
        <v/>
      </c>
      <c r="U20" s="11" t="str">
        <f t="shared" ref="U20" si="183">IF(OR(R20="",R20=0),"",S20/R20)</f>
        <v/>
      </c>
      <c r="V20" s="102">
        <v>0</v>
      </c>
      <c r="W20" s="33">
        <f>SUMIFS(TablaEgresos[Valor],TablaEgresos[Categoría],$A20,TablaEgresos[Mes],V$4)</f>
        <v>0</v>
      </c>
      <c r="X20" s="33">
        <f t="shared" ref="X20" si="184">IF(V20="","",V20-W20)</f>
        <v>0</v>
      </c>
      <c r="Y20" s="11" t="str">
        <f t="shared" ref="Y20" si="185">IF(OR(V20="",V20=0),"",W20/V20)</f>
        <v/>
      </c>
      <c r="Z20" s="102">
        <v>3000000</v>
      </c>
      <c r="AA20" s="33">
        <f>SUMIFS(TablaEgresos[Valor],TablaEgresos[Categoría],$A20,TablaEgresos[Mes],Z$4)</f>
        <v>0</v>
      </c>
      <c r="AB20" s="33">
        <f t="shared" ref="AB20" si="186">IF(Z20="","",Z20-AA20)</f>
        <v>3000000</v>
      </c>
      <c r="AC20" s="11">
        <f t="shared" ref="AC20" si="187">IF(OR(Z20="",Z20=0),"",AA20/Z20)</f>
        <v>0</v>
      </c>
      <c r="AD20" s="102">
        <v>3000000</v>
      </c>
      <c r="AE20" s="33">
        <f>SUMIFS(TablaEgresos[Valor],TablaEgresos[Categoría],$A20,TablaEgresos[Mes],AD$4)</f>
        <v>0</v>
      </c>
      <c r="AF20" s="33">
        <f t="shared" ref="AF20" si="188">IF(AD20="","",AD20-AE20)</f>
        <v>3000000</v>
      </c>
      <c r="AG20" s="11">
        <f t="shared" ref="AG20" si="189">IF(OR(AD20="",AD20=0),"",AE20/AD20)</f>
        <v>0</v>
      </c>
      <c r="AH20" s="102">
        <v>3000000</v>
      </c>
      <c r="AI20" s="33">
        <f>SUMIFS(TablaEgresos[Valor],TablaEgresos[Categoría],$A20,TablaEgresos[Mes],AH$4)</f>
        <v>0</v>
      </c>
      <c r="AJ20" s="33">
        <f t="shared" ref="AJ20" si="190">IF(AH20="","",AH20-AI20)</f>
        <v>3000000</v>
      </c>
      <c r="AK20" s="11">
        <f t="shared" ref="AK20" si="191">IF(OR(AH20="",AH20=0),"",AI20/AH20)</f>
        <v>0</v>
      </c>
      <c r="AL20" s="102">
        <v>3000000</v>
      </c>
      <c r="AM20" s="33">
        <f>SUMIFS(TablaEgresos[Valor],TablaEgresos[Categoría],$A20,TablaEgresos[Mes],AL$4)</f>
        <v>0</v>
      </c>
      <c r="AN20" s="33">
        <f t="shared" ref="AN20" si="192">IF(AL20="","",AL20-AM20)</f>
        <v>3000000</v>
      </c>
      <c r="AO20" s="11">
        <f t="shared" ref="AO20" si="193">IF(OR(AL20="",AL20=0),"",AM20/AL20)</f>
        <v>0</v>
      </c>
      <c r="AP20" s="102">
        <v>3000000</v>
      </c>
      <c r="AQ20" s="33">
        <f>SUMIFS(TablaEgresos[Valor],TablaEgresos[Categoría],$A20,TablaEgresos[Mes],AP$4)</f>
        <v>0</v>
      </c>
      <c r="AR20" s="33">
        <f t="shared" ref="AR20" si="194">IF(AP20="","",AP20-AQ20)</f>
        <v>3000000</v>
      </c>
      <c r="AS20" s="11">
        <f t="shared" ref="AS20" si="195">IF(OR(AP20="",AP20=0),"",AQ20/AP20)</f>
        <v>0</v>
      </c>
      <c r="AT20" s="102">
        <v>3000000</v>
      </c>
      <c r="AU20" s="33">
        <f>SUMIFS(TablaEgresos[Valor],TablaEgresos[Categoría],$A20,TablaEgresos[Mes],AT$4)</f>
        <v>0</v>
      </c>
      <c r="AV20" s="33">
        <f t="shared" ref="AV20" si="196">IF(AT20="","",AT20-AU20)</f>
        <v>3000000</v>
      </c>
      <c r="AW20" s="11">
        <f t="shared" ref="AW20" si="197">IF(OR(AT20="",AT20=0),"",AU20/AT20)</f>
        <v>0</v>
      </c>
      <c r="AX20" s="102">
        <v>3000000</v>
      </c>
      <c r="AY20" s="33">
        <f>SUMIFS(TablaEgresos[Valor],TablaEgresos[Categoría],$A20,TablaEgresos[Mes],AX$4)</f>
        <v>0</v>
      </c>
      <c r="AZ20" s="33">
        <f t="shared" ref="AZ20" si="198">IF(AX20="","",AX20-AY20)</f>
        <v>3000000</v>
      </c>
      <c r="BA20" s="11">
        <f t="shared" ref="BA20" si="199">IF(OR(AX20="",AX20=0),"",AY20/AX20)</f>
        <v>0</v>
      </c>
      <c r="BB20" s="102">
        <v>3000000</v>
      </c>
      <c r="BC20" s="33">
        <f>SUMIFS(TablaEgresos[Valor],TablaEgresos[Categoría],$A20,TablaEgresos[Mes],BB$4)</f>
        <v>0</v>
      </c>
      <c r="BD20" s="33">
        <f t="shared" ref="BD20" si="200">IF(BB20="","",BB20-BC20)</f>
        <v>3000000</v>
      </c>
      <c r="BE20" s="11">
        <f t="shared" ref="BE20" si="201">IF(OR(BB20="",BB20=0),"",BC20/BB20)</f>
        <v>0</v>
      </c>
      <c r="BF20" s="102">
        <v>3000000</v>
      </c>
      <c r="BG20" s="33">
        <f>SUMIFS(TablaEgresos[Valor],TablaEgresos[Categoría],$A20,TablaEgresos[Mes],BF$4)</f>
        <v>0</v>
      </c>
      <c r="BH20" s="33">
        <f t="shared" ref="BH20" si="202">IF(BF20="","",BF20-BG20)</f>
        <v>3000000</v>
      </c>
      <c r="BI20" s="11">
        <f t="shared" ref="BI20" si="203">IF(OR(BF20="",BF20=0),"",BG20/BF20)</f>
        <v>0</v>
      </c>
      <c r="BJ20" s="102">
        <v>3000000</v>
      </c>
      <c r="BK20" s="33">
        <f>SUMIFS(TablaEgresos[Valor],TablaEgresos[Categoría],$A20,TablaEgresos[Mes],BJ$4)</f>
        <v>0</v>
      </c>
      <c r="BL20" s="33">
        <f t="shared" ref="BL20" si="204">IF(BJ20="","",BJ20-BK20)</f>
        <v>3000000</v>
      </c>
      <c r="BM20" s="11">
        <f t="shared" ref="BM20" si="205">IF(OR(BJ20="",BJ20=0),"",BK20/BJ20)</f>
        <v>0</v>
      </c>
      <c r="BN20" s="102">
        <v>3000000</v>
      </c>
      <c r="BO20" s="33">
        <f>SUMIFS(TablaEgresos[Valor],TablaEgresos[Categoría],$A20,TablaEgresos[Mes],BN$4)</f>
        <v>0</v>
      </c>
      <c r="BP20" s="33">
        <f t="shared" ref="BP20" si="206">IF(BN20="","",BN20-BO20)</f>
        <v>3000000</v>
      </c>
      <c r="BQ20" s="11">
        <f t="shared" ref="BQ20" si="207">IF(OR(BN20="",BN20=0),"",BO20/BN20)</f>
        <v>0</v>
      </c>
      <c r="BR20" s="102">
        <v>3000000</v>
      </c>
      <c r="BS20" s="33">
        <f>SUMIFS(TablaEgresos[Valor],TablaEgresos[Categoría],$A20,TablaEgresos[Mes],BR$4)</f>
        <v>0</v>
      </c>
      <c r="BT20" s="33">
        <f t="shared" ref="BT20" si="208">IF(BR20="","",BR20-BS20)</f>
        <v>3000000</v>
      </c>
      <c r="BU20" s="11">
        <f t="shared" ref="BU20" si="209">IF(OR(BR20="",BR20=0),"",BS20/BR20)</f>
        <v>0</v>
      </c>
      <c r="BV20" s="102">
        <v>3000000</v>
      </c>
      <c r="BW20" s="33">
        <f>SUMIFS(TablaEgresos[Valor],TablaEgresos[Categoría],$A20,TablaEgresos[Mes],BV$4)</f>
        <v>0</v>
      </c>
      <c r="BX20" s="33">
        <f t="shared" ref="BX20" si="210">IF(BV20="","",BV20-BW20)</f>
        <v>3000000</v>
      </c>
      <c r="BY20" s="11">
        <f t="shared" ref="BY20" si="211">IF(OR(BV20="",BV20=0),"",BW20/BV20)</f>
        <v>0</v>
      </c>
      <c r="BZ20" s="102">
        <v>3000000</v>
      </c>
      <c r="CA20" s="33">
        <f>SUMIFS(TablaEgresos[Valor],TablaEgresos[Categoría],$A20,TablaEgresos[Mes],BZ$4)</f>
        <v>0</v>
      </c>
      <c r="CB20" s="33">
        <f t="shared" ref="CB20" si="212">IF(BZ20="","",BZ20-CA20)</f>
        <v>3000000</v>
      </c>
      <c r="CC20" s="11">
        <f t="shared" ref="CC20" si="213">IF(OR(BZ20="",BZ20=0),"",CA20/BZ20)</f>
        <v>0</v>
      </c>
      <c r="CD20" s="102">
        <v>3000000</v>
      </c>
      <c r="CE20" s="33">
        <f>SUMIFS(TablaEgresos[Valor],TablaEgresos[Categoría],$A20,TablaEgresos[Mes],CD$4)</f>
        <v>0</v>
      </c>
      <c r="CF20" s="33">
        <f t="shared" ref="CF20" si="214">IF(CD20="","",CD20-CE20)</f>
        <v>3000000</v>
      </c>
      <c r="CG20" s="11">
        <f t="shared" ref="CG20" si="215">IF(OR(CD20="",CD20=0),"",CE20/CD20)</f>
        <v>0</v>
      </c>
      <c r="CH20" s="102">
        <v>3000000</v>
      </c>
      <c r="CI20" s="33">
        <f>SUMIFS(TablaEgresos[Valor],TablaEgresos[Categoría],$A20,TablaEgresos[Mes],CH$4)</f>
        <v>0</v>
      </c>
      <c r="CJ20" s="33">
        <f t="shared" ref="CJ20" si="216">IF(CH20="","",CH20-CI20)</f>
        <v>3000000</v>
      </c>
      <c r="CK20" s="11">
        <f t="shared" ref="CK20" si="217">IF(OR(CH20="",CH20=0),"",CI20/CH20)</f>
        <v>0</v>
      </c>
      <c r="CL20" s="102">
        <v>3000000</v>
      </c>
      <c r="CM20" s="33">
        <f>SUMIFS(TablaEgresos[Valor],TablaEgresos[Categoría],$A20,TablaEgresos[Mes],CL$4)</f>
        <v>0</v>
      </c>
      <c r="CN20" s="33">
        <f t="shared" ref="CN20" si="218">IF(CL20="","",CL20-CM20)</f>
        <v>3000000</v>
      </c>
      <c r="CO20" s="11">
        <f t="shared" ref="CO20" si="219">IF(OR(CL20="",CL20=0),"",CM20/CL20)</f>
        <v>0</v>
      </c>
    </row>
    <row r="21" spans="1:93" outlineLevel="1" x14ac:dyDescent="0.3">
      <c r="A21" s="101" t="s">
        <v>1182</v>
      </c>
      <c r="B21" s="33">
        <f ca="1">IFERROR(AVERAGE(INDEX($B62:$W62,MATCH($B$3,$B$51:$W$51,0)-2):INDEX($B62:$W62,MATCH($B$3,$B$51:$W$51,0))),0)</f>
        <v>572143.66666666663</v>
      </c>
      <c r="C21" s="33">
        <f ca="1">IFERROR(SLOPE(INDEX($B62:$W62,1):INDEX($B62:$W62,MATCH($B$3,$B$51:$W$51,0)),INDEX($B$50:$W$50,1):INDEX($B$50:$W$50,MATCH($B$3,$B$51:$W$51,0))),0)</f>
        <v>137239.1</v>
      </c>
      <c r="D21" s="11">
        <f ca="1">IF($B21=0,"",$C21/$B21)</f>
        <v>0.23986824987430316</v>
      </c>
      <c r="E21" s="33">
        <f ca="1">MAX(0,ROUND($B21+$C21*3,-3))</f>
        <v>984000</v>
      </c>
      <c r="F21" s="33"/>
      <c r="G21" s="33">
        <f>SUMIFS(TablaEgresos[Valor],TablaEgresos[Categoría],$A21,TablaEgresos[Mes],F$4)</f>
        <v>0</v>
      </c>
      <c r="H21" s="33" t="str">
        <f t="shared" ref="H21" si="220">IF(F21="","",F21-G21)</f>
        <v/>
      </c>
      <c r="I21" s="11" t="str">
        <f t="shared" ref="I21" si="221">IF(OR(F21="",F21=0),"",G21/F21)</f>
        <v/>
      </c>
      <c r="J21" s="33"/>
      <c r="K21" s="33">
        <f>SUMIFS(TablaEgresos[Valor],TablaEgresos[Categoría],$A21,TablaEgresos[Mes],J$4)</f>
        <v>557076</v>
      </c>
      <c r="L21" s="33" t="str">
        <f t="shared" ref="L21" si="222">IF(J21="","",J21-K21)</f>
        <v/>
      </c>
      <c r="M21" s="11" t="str">
        <f t="shared" ref="M21" si="223">IF(OR(J21="",J21=0),"",K21/J21)</f>
        <v/>
      </c>
      <c r="N21" s="33"/>
      <c r="O21" s="33">
        <f>SUMIFS(TablaEgresos[Valor],TablaEgresos[Categoría],$A21,TablaEgresos[Mes],N$4)</f>
        <v>774299</v>
      </c>
      <c r="P21" s="33" t="str">
        <f t="shared" ref="P21" si="224">IF(N21="","",N21-O21)</f>
        <v/>
      </c>
      <c r="Q21" s="11" t="str">
        <f t="shared" ref="Q21" si="225">IF(OR(N21="",N21=0),"",O21/N21)</f>
        <v/>
      </c>
      <c r="R21" s="33"/>
      <c r="S21" s="33">
        <f>SUMIFS(TablaEgresos[Valor],TablaEgresos[Categoría],$A21,TablaEgresos[Mes],R$4)</f>
        <v>385056</v>
      </c>
      <c r="T21" s="33" t="str">
        <f t="shared" ref="T21" si="226">IF(R21="","",R21-S21)</f>
        <v/>
      </c>
      <c r="U21" s="11" t="str">
        <f t="shared" ref="U21" si="227">IF(OR(R21="",R21=0),"",S21/R21)</f>
        <v/>
      </c>
      <c r="V21" s="102">
        <v>0</v>
      </c>
      <c r="W21" s="33">
        <f>SUMIFS(TablaEgresos[Valor],TablaEgresos[Categoría],$A21,TablaEgresos[Mes],V$4)</f>
        <v>0</v>
      </c>
      <c r="X21" s="33">
        <f t="shared" ref="X21" si="228">IF(V21="","",V21-W21)</f>
        <v>0</v>
      </c>
      <c r="Y21" s="11" t="str">
        <f t="shared" ref="Y21" si="229">IF(OR(V21="",V21=0),"",W21/V21)</f>
        <v/>
      </c>
      <c r="Z21" s="102">
        <v>1000000</v>
      </c>
      <c r="AA21" s="33">
        <f>SUMIFS(TablaEgresos[Valor],TablaEgresos[Categoría],$A21,TablaEgresos[Mes],Z$4)</f>
        <v>0</v>
      </c>
      <c r="AB21" s="33">
        <f t="shared" ref="AB21" si="230">IF(Z21="","",Z21-AA21)</f>
        <v>1000000</v>
      </c>
      <c r="AC21" s="11">
        <f t="shared" ref="AC21" si="231">IF(OR(Z21="",Z21=0),"",AA21/Z21)</f>
        <v>0</v>
      </c>
      <c r="AD21" s="102">
        <v>1000000</v>
      </c>
      <c r="AE21" s="33">
        <f>SUMIFS(TablaEgresos[Valor],TablaEgresos[Categoría],$A21,TablaEgresos[Mes],AD$4)</f>
        <v>0</v>
      </c>
      <c r="AF21" s="33">
        <f t="shared" ref="AF21" si="232">IF(AD21="","",AD21-AE21)</f>
        <v>1000000</v>
      </c>
      <c r="AG21" s="11">
        <f t="shared" ref="AG21" si="233">IF(OR(AD21="",AD21=0),"",AE21/AD21)</f>
        <v>0</v>
      </c>
      <c r="AH21" s="102">
        <v>1000000</v>
      </c>
      <c r="AI21" s="33">
        <f>SUMIFS(TablaEgresos[Valor],TablaEgresos[Categoría],$A21,TablaEgresos[Mes],AH$4)</f>
        <v>0</v>
      </c>
      <c r="AJ21" s="33">
        <f t="shared" ref="AJ21" si="234">IF(AH21="","",AH21-AI21)</f>
        <v>1000000</v>
      </c>
      <c r="AK21" s="11">
        <f t="shared" ref="AK21" si="235">IF(OR(AH21="",AH21=0),"",AI21/AH21)</f>
        <v>0</v>
      </c>
      <c r="AL21" s="102">
        <v>1000000</v>
      </c>
      <c r="AM21" s="33">
        <f>SUMIFS(TablaEgresos[Valor],TablaEgresos[Categoría],$A21,TablaEgresos[Mes],AL$4)</f>
        <v>0</v>
      </c>
      <c r="AN21" s="33">
        <f t="shared" ref="AN21" si="236">IF(AL21="","",AL21-AM21)</f>
        <v>1000000</v>
      </c>
      <c r="AO21" s="11">
        <f t="shared" ref="AO21" si="237">IF(OR(AL21="",AL21=0),"",AM21/AL21)</f>
        <v>0</v>
      </c>
      <c r="AP21" s="102">
        <v>1000000</v>
      </c>
      <c r="AQ21" s="33">
        <f>SUMIFS(TablaEgresos[Valor],TablaEgresos[Categoría],$A21,TablaEgresos[Mes],AP$4)</f>
        <v>0</v>
      </c>
      <c r="AR21" s="33">
        <f t="shared" ref="AR21" si="238">IF(AP21="","",AP21-AQ21)</f>
        <v>1000000</v>
      </c>
      <c r="AS21" s="11">
        <f t="shared" ref="AS21" si="239">IF(OR(AP21="",AP21=0),"",AQ21/AP21)</f>
        <v>0</v>
      </c>
      <c r="AT21" s="102">
        <v>1000000</v>
      </c>
      <c r="AU21" s="33">
        <f>SUMIFS(TablaEgresos[Valor],TablaEgresos[Categoría],$A21,TablaEgresos[Mes],AT$4)</f>
        <v>0</v>
      </c>
      <c r="AV21" s="33">
        <f t="shared" ref="AV21" si="240">IF(AT21="","",AT21-AU21)</f>
        <v>1000000</v>
      </c>
      <c r="AW21" s="11">
        <f t="shared" ref="AW21" si="241">IF(OR(AT21="",AT21=0),"",AU21/AT21)</f>
        <v>0</v>
      </c>
      <c r="AX21" s="102">
        <v>1000000</v>
      </c>
      <c r="AY21" s="33">
        <f>SUMIFS(TablaEgresos[Valor],TablaEgresos[Categoría],$A21,TablaEgresos[Mes],AX$4)</f>
        <v>0</v>
      </c>
      <c r="AZ21" s="33">
        <f t="shared" ref="AZ21" si="242">IF(AX21="","",AX21-AY21)</f>
        <v>1000000</v>
      </c>
      <c r="BA21" s="11">
        <f t="shared" ref="BA21" si="243">IF(OR(AX21="",AX21=0),"",AY21/AX21)</f>
        <v>0</v>
      </c>
      <c r="BB21" s="102">
        <v>1000000</v>
      </c>
      <c r="BC21" s="33">
        <f>SUMIFS(TablaEgresos[Valor],TablaEgresos[Categoría],$A21,TablaEgresos[Mes],BB$4)</f>
        <v>0</v>
      </c>
      <c r="BD21" s="33">
        <f t="shared" ref="BD21" si="244">IF(BB21="","",BB21-BC21)</f>
        <v>1000000</v>
      </c>
      <c r="BE21" s="11">
        <f t="shared" ref="BE21" si="245">IF(OR(BB21="",BB21=0),"",BC21/BB21)</f>
        <v>0</v>
      </c>
      <c r="BF21" s="102">
        <v>1000000</v>
      </c>
      <c r="BG21" s="33">
        <f>SUMIFS(TablaEgresos[Valor],TablaEgresos[Categoría],$A21,TablaEgresos[Mes],BF$4)</f>
        <v>0</v>
      </c>
      <c r="BH21" s="33">
        <f t="shared" ref="BH21" si="246">IF(BF21="","",BF21-BG21)</f>
        <v>1000000</v>
      </c>
      <c r="BI21" s="11">
        <f t="shared" ref="BI21" si="247">IF(OR(BF21="",BF21=0),"",BG21/BF21)</f>
        <v>0</v>
      </c>
      <c r="BJ21" s="102">
        <v>1000000</v>
      </c>
      <c r="BK21" s="33">
        <f>SUMIFS(TablaEgresos[Valor],TablaEgresos[Categoría],$A21,TablaEgresos[Mes],BJ$4)</f>
        <v>0</v>
      </c>
      <c r="BL21" s="33">
        <f t="shared" ref="BL21" si="248">IF(BJ21="","",BJ21-BK21)</f>
        <v>1000000</v>
      </c>
      <c r="BM21" s="11">
        <f t="shared" ref="BM21" si="249">IF(OR(BJ21="",BJ21=0),"",BK21/BJ21)</f>
        <v>0</v>
      </c>
      <c r="BN21" s="102">
        <v>1000000</v>
      </c>
      <c r="BO21" s="33">
        <f>SUMIFS(TablaEgresos[Valor],TablaEgresos[Categoría],$A21,TablaEgresos[Mes],BN$4)</f>
        <v>0</v>
      </c>
      <c r="BP21" s="33">
        <f t="shared" ref="BP21" si="250">IF(BN21="","",BN21-BO21)</f>
        <v>1000000</v>
      </c>
      <c r="BQ21" s="11">
        <f t="shared" ref="BQ21" si="251">IF(OR(BN21="",BN21=0),"",BO21/BN21)</f>
        <v>0</v>
      </c>
      <c r="BR21" s="102">
        <v>1000000</v>
      </c>
      <c r="BS21" s="33">
        <f>SUMIFS(TablaEgresos[Valor],TablaEgresos[Categoría],$A21,TablaEgresos[Mes],BR$4)</f>
        <v>0</v>
      </c>
      <c r="BT21" s="33">
        <f t="shared" ref="BT21" si="252">IF(BR21="","",BR21-BS21)</f>
        <v>1000000</v>
      </c>
      <c r="BU21" s="11">
        <f t="shared" ref="BU21" si="253">IF(OR(BR21="",BR21=0),"",BS21/BR21)</f>
        <v>0</v>
      </c>
      <c r="BV21" s="102">
        <v>1000000</v>
      </c>
      <c r="BW21" s="33">
        <f>SUMIFS(TablaEgresos[Valor],TablaEgresos[Categoría],$A21,TablaEgresos[Mes],BV$4)</f>
        <v>0</v>
      </c>
      <c r="BX21" s="33">
        <f t="shared" ref="BX21" si="254">IF(BV21="","",BV21-BW21)</f>
        <v>1000000</v>
      </c>
      <c r="BY21" s="11">
        <f t="shared" ref="BY21" si="255">IF(OR(BV21="",BV21=0),"",BW21/BV21)</f>
        <v>0</v>
      </c>
      <c r="BZ21" s="102">
        <v>1000000</v>
      </c>
      <c r="CA21" s="33">
        <f>SUMIFS(TablaEgresos[Valor],TablaEgresos[Categoría],$A21,TablaEgresos[Mes],BZ$4)</f>
        <v>0</v>
      </c>
      <c r="CB21" s="33">
        <f t="shared" ref="CB21" si="256">IF(BZ21="","",BZ21-CA21)</f>
        <v>1000000</v>
      </c>
      <c r="CC21" s="11">
        <f t="shared" ref="CC21" si="257">IF(OR(BZ21="",BZ21=0),"",CA21/BZ21)</f>
        <v>0</v>
      </c>
      <c r="CD21" s="102">
        <v>1000000</v>
      </c>
      <c r="CE21" s="33">
        <f>SUMIFS(TablaEgresos[Valor],TablaEgresos[Categoría],$A21,TablaEgresos[Mes],CD$4)</f>
        <v>0</v>
      </c>
      <c r="CF21" s="33">
        <f t="shared" ref="CF21" si="258">IF(CD21="","",CD21-CE21)</f>
        <v>1000000</v>
      </c>
      <c r="CG21" s="11">
        <f t="shared" ref="CG21" si="259">IF(OR(CD21="",CD21=0),"",CE21/CD21)</f>
        <v>0</v>
      </c>
      <c r="CH21" s="102">
        <v>1000000</v>
      </c>
      <c r="CI21" s="33">
        <f>SUMIFS(TablaEgresos[Valor],TablaEgresos[Categoría],$A21,TablaEgresos[Mes],CH$4)</f>
        <v>0</v>
      </c>
      <c r="CJ21" s="33">
        <f t="shared" ref="CJ21" si="260">IF(CH21="","",CH21-CI21)</f>
        <v>1000000</v>
      </c>
      <c r="CK21" s="11">
        <f t="shared" ref="CK21" si="261">IF(OR(CH21="",CH21=0),"",CI21/CH21)</f>
        <v>0</v>
      </c>
      <c r="CL21" s="102">
        <v>1000000</v>
      </c>
      <c r="CM21" s="33">
        <f>SUMIFS(TablaEgresos[Valor],TablaEgresos[Categoría],$A21,TablaEgresos[Mes],CL$4)</f>
        <v>0</v>
      </c>
      <c r="CN21" s="33">
        <f t="shared" ref="CN21" si="262">IF(CL21="","",CL21-CM21)</f>
        <v>1000000</v>
      </c>
      <c r="CO21" s="11">
        <f t="shared" ref="CO21" si="263">IF(OR(CL21="",CL21=0),"",CM21/CL21)</f>
        <v>0</v>
      </c>
    </row>
    <row r="22" spans="1:93" outlineLevel="1" x14ac:dyDescent="0.3">
      <c r="A22" s="101" t="s">
        <v>94</v>
      </c>
      <c r="B22" s="33">
        <f ca="1">IFERROR(AVERAGE(INDEX($B66:$W66,MATCH($B$3,$B$51:$W$51,0)-2):INDEX($B66:$W66,MATCH($B$3,$B$51:$W$51,0))),0)</f>
        <v>0</v>
      </c>
      <c r="C22" s="33">
        <f ca="1">IFERROR(SLOPE(INDEX($B66:$W66,1):INDEX($B66:$W66,MATCH($B$3,$B$51:$W$51,0)),INDEX($B$50:$W$50,1):INDEX($B$50:$W$50,MATCH($B$3,$B$51:$W$51,0))),0)</f>
        <v>0</v>
      </c>
      <c r="D22" s="11" t="str">
        <f t="shared" ca="1" si="128"/>
        <v/>
      </c>
      <c r="E22" s="33">
        <f t="shared" ca="1" si="129"/>
        <v>0</v>
      </c>
      <c r="F22" s="33"/>
      <c r="G22" s="33">
        <f>SUMIFS(TablaEgresos[Valor],TablaEgresos[Categoría],$A22,TablaEgresos[Mes],F$4)</f>
        <v>0</v>
      </c>
      <c r="H22" s="33" t="str">
        <f t="shared" si="130"/>
        <v/>
      </c>
      <c r="I22" s="11" t="str">
        <f t="shared" si="131"/>
        <v/>
      </c>
      <c r="J22" s="33"/>
      <c r="K22" s="33">
        <f>SUMIFS(TablaEgresos[Valor],TablaEgresos[Categoría],$A22,TablaEgresos[Mes],J$4)</f>
        <v>0</v>
      </c>
      <c r="L22" s="33" t="str">
        <f t="shared" si="86"/>
        <v/>
      </c>
      <c r="M22" s="11" t="str">
        <f t="shared" si="87"/>
        <v/>
      </c>
      <c r="N22" s="33"/>
      <c r="O22" s="33">
        <f>SUMIFS(TablaEgresos[Valor],TablaEgresos[Categoría],$A22,TablaEgresos[Mes],N$4)</f>
        <v>0</v>
      </c>
      <c r="P22" s="33" t="str">
        <f t="shared" si="88"/>
        <v/>
      </c>
      <c r="Q22" s="11" t="str">
        <f t="shared" si="89"/>
        <v/>
      </c>
      <c r="R22" s="33"/>
      <c r="S22" s="33">
        <f>SUMIFS(TablaEgresos[Valor],TablaEgresos[Categoría],$A22,TablaEgresos[Mes],R$4)</f>
        <v>0</v>
      </c>
      <c r="T22" s="33" t="str">
        <f t="shared" si="90"/>
        <v/>
      </c>
      <c r="U22" s="11" t="str">
        <f t="shared" si="91"/>
        <v/>
      </c>
      <c r="V22" s="102">
        <v>12000000</v>
      </c>
      <c r="W22" s="33">
        <f>SUMIFS(TablaEgresos[Valor],TablaEgresos[Categoría],$A22,TablaEgresos[Mes],V$4)</f>
        <v>0</v>
      </c>
      <c r="X22" s="33">
        <f t="shared" si="92"/>
        <v>12000000</v>
      </c>
      <c r="Y22" s="11">
        <f t="shared" si="93"/>
        <v>0</v>
      </c>
      <c r="Z22" s="102">
        <v>12000000</v>
      </c>
      <c r="AA22" s="33">
        <f>SUMIFS(TablaEgresos[Valor],TablaEgresos[Categoría],$A22,TablaEgresos[Mes],Z$4)</f>
        <v>0</v>
      </c>
      <c r="AB22" s="33">
        <f t="shared" si="94"/>
        <v>12000000</v>
      </c>
      <c r="AC22" s="11">
        <f t="shared" si="95"/>
        <v>0</v>
      </c>
      <c r="AD22" s="102">
        <v>12000000</v>
      </c>
      <c r="AE22" s="33">
        <f>SUMIFS(TablaEgresos[Valor],TablaEgresos[Categoría],$A22,TablaEgresos[Mes],AD$4)</f>
        <v>0</v>
      </c>
      <c r="AF22" s="33">
        <f t="shared" si="96"/>
        <v>12000000</v>
      </c>
      <c r="AG22" s="11">
        <f t="shared" si="97"/>
        <v>0</v>
      </c>
      <c r="AH22" s="102">
        <v>12000000</v>
      </c>
      <c r="AI22" s="33">
        <f>SUMIFS(TablaEgresos[Valor],TablaEgresos[Categoría],$A22,TablaEgresos[Mes],AH$4)</f>
        <v>0</v>
      </c>
      <c r="AJ22" s="33">
        <f t="shared" si="98"/>
        <v>12000000</v>
      </c>
      <c r="AK22" s="11">
        <f t="shared" si="99"/>
        <v>0</v>
      </c>
      <c r="AL22" s="102">
        <v>12000000</v>
      </c>
      <c r="AM22" s="33">
        <f>SUMIFS(TablaEgresos[Valor],TablaEgresos[Categoría],$A22,TablaEgresos[Mes],AL$4)</f>
        <v>0</v>
      </c>
      <c r="AN22" s="33">
        <f t="shared" si="100"/>
        <v>12000000</v>
      </c>
      <c r="AO22" s="11">
        <f t="shared" si="101"/>
        <v>0</v>
      </c>
      <c r="AP22" s="102">
        <v>12000000</v>
      </c>
      <c r="AQ22" s="33">
        <f>SUMIFS(TablaEgresos[Valor],TablaEgresos[Categoría],$A22,TablaEgresos[Mes],AP$4)</f>
        <v>0</v>
      </c>
      <c r="AR22" s="33">
        <f t="shared" si="102"/>
        <v>12000000</v>
      </c>
      <c r="AS22" s="11">
        <f t="shared" si="103"/>
        <v>0</v>
      </c>
      <c r="AT22" s="102">
        <v>12000000</v>
      </c>
      <c r="AU22" s="33">
        <f>SUMIFS(TablaEgresos[Valor],TablaEgresos[Categoría],$A22,TablaEgresos[Mes],AT$4)</f>
        <v>0</v>
      </c>
      <c r="AV22" s="33">
        <f t="shared" si="104"/>
        <v>12000000</v>
      </c>
      <c r="AW22" s="11">
        <f t="shared" si="105"/>
        <v>0</v>
      </c>
      <c r="AX22" s="102">
        <v>12000000</v>
      </c>
      <c r="AY22" s="33">
        <f>SUMIFS(TablaEgresos[Valor],TablaEgresos[Categoría],$A22,TablaEgresos[Mes],AX$4)</f>
        <v>0</v>
      </c>
      <c r="AZ22" s="33">
        <f t="shared" si="106"/>
        <v>12000000</v>
      </c>
      <c r="BA22" s="11">
        <f t="shared" si="107"/>
        <v>0</v>
      </c>
      <c r="BB22" s="102">
        <v>12000000</v>
      </c>
      <c r="BC22" s="33">
        <f>SUMIFS(TablaEgresos[Valor],TablaEgresos[Categoría],$A22,TablaEgresos[Mes],BB$4)</f>
        <v>0</v>
      </c>
      <c r="BD22" s="33">
        <f t="shared" si="108"/>
        <v>12000000</v>
      </c>
      <c r="BE22" s="11">
        <f t="shared" si="109"/>
        <v>0</v>
      </c>
      <c r="BF22" s="102">
        <v>12000000</v>
      </c>
      <c r="BG22" s="33">
        <f>SUMIFS(TablaEgresos[Valor],TablaEgresos[Categoría],$A22,TablaEgresos[Mes],BF$4)</f>
        <v>0</v>
      </c>
      <c r="BH22" s="33">
        <f t="shared" si="110"/>
        <v>12000000</v>
      </c>
      <c r="BI22" s="11">
        <f t="shared" si="111"/>
        <v>0</v>
      </c>
      <c r="BJ22" s="102">
        <v>12000000</v>
      </c>
      <c r="BK22" s="33">
        <f>SUMIFS(TablaEgresos[Valor],TablaEgresos[Categoría],$A22,TablaEgresos[Mes],BJ$4)</f>
        <v>0</v>
      </c>
      <c r="BL22" s="33">
        <f t="shared" si="112"/>
        <v>12000000</v>
      </c>
      <c r="BM22" s="11">
        <f t="shared" si="113"/>
        <v>0</v>
      </c>
      <c r="BN22" s="102">
        <v>12000000</v>
      </c>
      <c r="BO22" s="33">
        <f>SUMIFS(TablaEgresos[Valor],TablaEgresos[Categoría],$A22,TablaEgresos[Mes],BN$4)</f>
        <v>0</v>
      </c>
      <c r="BP22" s="33">
        <f t="shared" si="114"/>
        <v>12000000</v>
      </c>
      <c r="BQ22" s="11">
        <f t="shared" si="115"/>
        <v>0</v>
      </c>
      <c r="BR22" s="102">
        <v>12000000</v>
      </c>
      <c r="BS22" s="33">
        <f>SUMIFS(TablaEgresos[Valor],TablaEgresos[Categoría],$A22,TablaEgresos[Mes],BR$4)</f>
        <v>0</v>
      </c>
      <c r="BT22" s="33">
        <f t="shared" si="116"/>
        <v>12000000</v>
      </c>
      <c r="BU22" s="11">
        <f t="shared" si="117"/>
        <v>0</v>
      </c>
      <c r="BV22" s="102">
        <v>12000000</v>
      </c>
      <c r="BW22" s="33">
        <f>SUMIFS(TablaEgresos[Valor],TablaEgresos[Categoría],$A22,TablaEgresos[Mes],BV$4)</f>
        <v>0</v>
      </c>
      <c r="BX22" s="33">
        <f t="shared" si="118"/>
        <v>12000000</v>
      </c>
      <c r="BY22" s="11">
        <f t="shared" si="119"/>
        <v>0</v>
      </c>
      <c r="BZ22" s="102">
        <v>12000000</v>
      </c>
      <c r="CA22" s="33">
        <f>SUMIFS(TablaEgresos[Valor],TablaEgresos[Categoría],$A22,TablaEgresos[Mes],BZ$4)</f>
        <v>0</v>
      </c>
      <c r="CB22" s="33">
        <f t="shared" si="120"/>
        <v>12000000</v>
      </c>
      <c r="CC22" s="11">
        <f t="shared" si="121"/>
        <v>0</v>
      </c>
      <c r="CD22" s="102">
        <v>12000000</v>
      </c>
      <c r="CE22" s="33">
        <f>SUMIFS(TablaEgresos[Valor],TablaEgresos[Categoría],$A22,TablaEgresos[Mes],CD$4)</f>
        <v>0</v>
      </c>
      <c r="CF22" s="33">
        <f t="shared" si="122"/>
        <v>12000000</v>
      </c>
      <c r="CG22" s="11">
        <f t="shared" si="123"/>
        <v>0</v>
      </c>
      <c r="CH22" s="102">
        <v>12000000</v>
      </c>
      <c r="CI22" s="33">
        <f>SUMIFS(TablaEgresos[Valor],TablaEgresos[Categoría],$A22,TablaEgresos[Mes],CH$4)</f>
        <v>0</v>
      </c>
      <c r="CJ22" s="33">
        <f t="shared" si="124"/>
        <v>12000000</v>
      </c>
      <c r="CK22" s="11">
        <f t="shared" si="125"/>
        <v>0</v>
      </c>
      <c r="CL22" s="102">
        <v>12000000</v>
      </c>
      <c r="CM22" s="33">
        <f>SUMIFS(TablaEgresos[Valor],TablaEgresos[Categoría],$A22,TablaEgresos[Mes],CL$4)</f>
        <v>0</v>
      </c>
      <c r="CN22" s="33">
        <f t="shared" si="126"/>
        <v>12000000</v>
      </c>
      <c r="CO22" s="11">
        <f t="shared" si="127"/>
        <v>0</v>
      </c>
    </row>
    <row r="23" spans="1:93" x14ac:dyDescent="0.3">
      <c r="A23" s="109" t="s">
        <v>404</v>
      </c>
      <c r="B23" s="110">
        <f ca="1">SUM(B12:B22)</f>
        <v>7805236.9399999995</v>
      </c>
      <c r="C23" s="110">
        <f ca="1">SUM(C12:C22)</f>
        <v>2949321.6629999997</v>
      </c>
      <c r="D23" s="111">
        <f ca="1">IF(B23=0,"",C23/B23)</f>
        <v>0.37786446275390073</v>
      </c>
      <c r="E23" s="110">
        <f ca="1">SUM(E12:E22)</f>
        <v>16653000</v>
      </c>
      <c r="F23" s="110">
        <f>SUM(F12:F22)</f>
        <v>0</v>
      </c>
      <c r="G23" s="110">
        <f>SUM(G12:G22)</f>
        <v>468019.13</v>
      </c>
      <c r="H23" s="110">
        <f>SUM(H12:H22)</f>
        <v>0</v>
      </c>
      <c r="I23" s="111" t="str">
        <f>IF(F23=0,"",G23/F23)</f>
        <v/>
      </c>
      <c r="J23" s="110">
        <f>SUM(J12:J22)</f>
        <v>0</v>
      </c>
      <c r="K23" s="110">
        <f>SUM(K12:K22)</f>
        <v>5403578.5300000003</v>
      </c>
      <c r="L23" s="110">
        <f>SUM(L12:L22)</f>
        <v>0</v>
      </c>
      <c r="M23" s="111" t="str">
        <f t="shared" ref="M23" si="264">IF(J23=0,"",K23/J23)</f>
        <v/>
      </c>
      <c r="N23" s="110">
        <f>SUM(N12:N22)</f>
        <v>0</v>
      </c>
      <c r="O23" s="110">
        <f>SUM(O12:O22)</f>
        <v>8867772.1600000001</v>
      </c>
      <c r="P23" s="110">
        <f>SUM(P12:P22)</f>
        <v>0</v>
      </c>
      <c r="Q23" s="111" t="str">
        <f t="shared" ref="Q23" si="265">IF(N23=0,"",O23/N23)</f>
        <v/>
      </c>
      <c r="R23" s="110">
        <f>SUM(R12:R22)</f>
        <v>0</v>
      </c>
      <c r="S23" s="110">
        <f>SUM(S12:S22)</f>
        <v>9144360.129999999</v>
      </c>
      <c r="T23" s="110">
        <f>SUM(T12:T22)</f>
        <v>0</v>
      </c>
      <c r="U23" s="111" t="str">
        <f t="shared" ref="U23" si="266">IF(R23=0,"",S23/R23)</f>
        <v/>
      </c>
      <c r="V23" s="110">
        <f>SUM(V12:V22)</f>
        <v>27500000</v>
      </c>
      <c r="W23" s="110">
        <f>SUM(W12:W22)</f>
        <v>6365783.3799999999</v>
      </c>
      <c r="X23" s="110">
        <f>SUM(X12:X22)</f>
        <v>21134216.620000001</v>
      </c>
      <c r="Y23" s="111">
        <f t="shared" ref="Y23" si="267">IF(V23=0,"",W23/V23)</f>
        <v>0.23148303200000001</v>
      </c>
      <c r="Z23" s="110">
        <f>SUM(Z12:Z22)</f>
        <v>32800000</v>
      </c>
      <c r="AA23" s="110">
        <f>SUM(AA12:AA22)</f>
        <v>0</v>
      </c>
      <c r="AB23" s="110">
        <f>SUM(AB12:AB22)</f>
        <v>32800000</v>
      </c>
      <c r="AC23" s="111">
        <f t="shared" ref="AC23" si="268">IF(Z23=0,"",AA23/Z23)</f>
        <v>0</v>
      </c>
      <c r="AD23" s="110">
        <f>SUM(AD12:AD22)</f>
        <v>32800000</v>
      </c>
      <c r="AE23" s="110">
        <f>SUM(AE12:AE22)</f>
        <v>0</v>
      </c>
      <c r="AF23" s="110">
        <f>SUM(AF12:AF22)</f>
        <v>32800000</v>
      </c>
      <c r="AG23" s="111">
        <f t="shared" ref="AG23" si="269">IF(AD23=0,"",AE23/AD23)</f>
        <v>0</v>
      </c>
      <c r="AH23" s="110">
        <f>SUM(AH12:AH22)</f>
        <v>32800000</v>
      </c>
      <c r="AI23" s="110">
        <f>SUM(AI12:AI22)</f>
        <v>0</v>
      </c>
      <c r="AJ23" s="110">
        <f>SUM(AJ12:AJ22)</f>
        <v>32800000</v>
      </c>
      <c r="AK23" s="111">
        <f t="shared" ref="AK23" si="270">IF(AH23=0,"",AI23/AH23)</f>
        <v>0</v>
      </c>
      <c r="AL23" s="110">
        <f>SUM(AL12:AL22)</f>
        <v>32800000</v>
      </c>
      <c r="AM23" s="110">
        <f>SUM(AM12:AM22)</f>
        <v>0</v>
      </c>
      <c r="AN23" s="110">
        <f>SUM(AN12:AN22)</f>
        <v>32800000</v>
      </c>
      <c r="AO23" s="111">
        <f t="shared" ref="AO23" si="271">IF(AL23=0,"",AM23/AL23)</f>
        <v>0</v>
      </c>
      <c r="AP23" s="110">
        <f>SUM(AP12:AP22)</f>
        <v>32800000</v>
      </c>
      <c r="AQ23" s="110">
        <f>SUM(AQ12:AQ22)</f>
        <v>0</v>
      </c>
      <c r="AR23" s="110">
        <f>SUM(AR12:AR22)</f>
        <v>32800000</v>
      </c>
      <c r="AS23" s="111">
        <f t="shared" ref="AS23" si="272">IF(AP23=0,"",AQ23/AP23)</f>
        <v>0</v>
      </c>
      <c r="AT23" s="112">
        <f>SUM(AT12:AT22)</f>
        <v>32800000</v>
      </c>
      <c r="AU23" s="110">
        <f>SUM(AU12:AU22)</f>
        <v>0</v>
      </c>
      <c r="AV23" s="110">
        <f>SUM(AV12:AV22)</f>
        <v>32800000</v>
      </c>
      <c r="AW23" s="111">
        <f t="shared" ref="AW23" si="273">IF(AT23=0,"",AU23/AT23)</f>
        <v>0</v>
      </c>
      <c r="AX23" s="112">
        <f>SUM(AX12:AX22)</f>
        <v>32800000</v>
      </c>
      <c r="AY23" s="110">
        <f>SUM(AY12:AY22)</f>
        <v>0</v>
      </c>
      <c r="AZ23" s="110">
        <f>SUM(AZ12:AZ22)</f>
        <v>32800000</v>
      </c>
      <c r="BA23" s="111">
        <f t="shared" ref="BA23" si="274">IF(AX23=0,"",AY23/AX23)</f>
        <v>0</v>
      </c>
      <c r="BB23" s="112">
        <f>SUM(BB12:BB22)</f>
        <v>32800000</v>
      </c>
      <c r="BC23" s="110">
        <f>SUM(BC12:BC22)</f>
        <v>0</v>
      </c>
      <c r="BD23" s="110">
        <f>SUM(BD12:BD22)</f>
        <v>32800000</v>
      </c>
      <c r="BE23" s="111">
        <f t="shared" ref="BE23" si="275">IF(BB23=0,"",BC23/BB23)</f>
        <v>0</v>
      </c>
      <c r="BF23" s="112">
        <f>SUM(BF12:BF22)</f>
        <v>32800000</v>
      </c>
      <c r="BG23" s="110">
        <f>SUM(BG12:BG22)</f>
        <v>0</v>
      </c>
      <c r="BH23" s="110">
        <f>SUM(BH12:BH22)</f>
        <v>32800000</v>
      </c>
      <c r="BI23" s="111">
        <f t="shared" ref="BI23" si="276">IF(BF23=0,"",BG23/BF23)</f>
        <v>0</v>
      </c>
      <c r="BJ23" s="112">
        <f>SUM(BJ12:BJ22)</f>
        <v>32800000</v>
      </c>
      <c r="BK23" s="110">
        <f>SUM(BK12:BK22)</f>
        <v>0</v>
      </c>
      <c r="BL23" s="110">
        <f>SUM(BL12:BL22)</f>
        <v>32800000</v>
      </c>
      <c r="BM23" s="111">
        <f t="shared" ref="BM23" si="277">IF(BJ23=0,"",BK23/BJ23)</f>
        <v>0</v>
      </c>
      <c r="BN23" s="112">
        <f>SUM(BN12:BN22)</f>
        <v>32800000</v>
      </c>
      <c r="BO23" s="110">
        <f>SUM(BO12:BO22)</f>
        <v>0</v>
      </c>
      <c r="BP23" s="110">
        <f>SUM(BP12:BP22)</f>
        <v>32800000</v>
      </c>
      <c r="BQ23" s="111">
        <f t="shared" ref="BQ23" si="278">IF(BN23=0,"",BO23/BN23)</f>
        <v>0</v>
      </c>
      <c r="BR23" s="112">
        <f>SUM(BR12:BR22)</f>
        <v>32800000</v>
      </c>
      <c r="BS23" s="110">
        <f>SUM(BS12:BS22)</f>
        <v>0</v>
      </c>
      <c r="BT23" s="110">
        <f>SUM(BT12:BT22)</f>
        <v>32800000</v>
      </c>
      <c r="BU23" s="111">
        <f t="shared" ref="BU23" si="279">IF(BR23=0,"",BS23/BR23)</f>
        <v>0</v>
      </c>
      <c r="BV23" s="112">
        <f>SUM(BV12:BV22)</f>
        <v>32800000</v>
      </c>
      <c r="BW23" s="110">
        <f>SUM(BW12:BW22)</f>
        <v>0</v>
      </c>
      <c r="BX23" s="110">
        <f>SUM(BX12:BX22)</f>
        <v>32800000</v>
      </c>
      <c r="BY23" s="111">
        <f t="shared" ref="BY23" si="280">IF(BV23=0,"",BW23/BV23)</f>
        <v>0</v>
      </c>
      <c r="BZ23" s="112">
        <f>SUM(BZ12:BZ22)</f>
        <v>32800000</v>
      </c>
      <c r="CA23" s="110">
        <f>SUM(CA12:CA22)</f>
        <v>0</v>
      </c>
      <c r="CB23" s="110">
        <f>SUM(CB12:CB22)</f>
        <v>32800000</v>
      </c>
      <c r="CC23" s="111">
        <f t="shared" ref="CC23" si="281">IF(BZ23=0,"",CA23/BZ23)</f>
        <v>0</v>
      </c>
      <c r="CD23" s="112">
        <f>SUM(CD12:CD22)</f>
        <v>32800000</v>
      </c>
      <c r="CE23" s="110">
        <f>SUM(CE12:CE22)</f>
        <v>0</v>
      </c>
      <c r="CF23" s="110">
        <f>SUM(CF12:CF22)</f>
        <v>32800000</v>
      </c>
      <c r="CG23" s="111">
        <f t="shared" ref="CG23" si="282">IF(CD23=0,"",CE23/CD23)</f>
        <v>0</v>
      </c>
      <c r="CH23" s="112">
        <f>SUM(CH12:CH22)</f>
        <v>32800000</v>
      </c>
      <c r="CI23" s="110">
        <f>SUM(CI12:CI22)</f>
        <v>0</v>
      </c>
      <c r="CJ23" s="110">
        <f>SUM(CJ12:CJ22)</f>
        <v>32800000</v>
      </c>
      <c r="CK23" s="111">
        <f t="shared" ref="CK23" si="283">IF(CH23=0,"",CI23/CH23)</f>
        <v>0</v>
      </c>
      <c r="CL23" s="112">
        <f>SUM(CL12:CL22)</f>
        <v>32800000</v>
      </c>
      <c r="CM23" s="110">
        <f>SUM(CM12:CM22)</f>
        <v>0</v>
      </c>
      <c r="CN23" s="110">
        <f>SUM(CN12:CN22)</f>
        <v>32800000</v>
      </c>
      <c r="CO23" s="111">
        <f t="shared" ref="CO23" si="284">IF(CL23=0,"",CM23/CL23)</f>
        <v>0</v>
      </c>
    </row>
    <row r="24" spans="1:93" x14ac:dyDescent="0.3">
      <c r="A24" s="113" t="s">
        <v>405</v>
      </c>
      <c r="B24" s="114"/>
      <c r="C24" s="114"/>
      <c r="D24" s="115"/>
      <c r="E24" s="114"/>
      <c r="F24" s="114"/>
      <c r="G24" s="114"/>
      <c r="H24" s="114"/>
      <c r="I24" s="115"/>
      <c r="J24" s="114"/>
      <c r="K24" s="114"/>
      <c r="L24" s="114"/>
      <c r="M24" s="115"/>
      <c r="N24" s="114"/>
      <c r="O24" s="114"/>
      <c r="P24" s="114"/>
      <c r="Q24" s="115"/>
      <c r="R24" s="114"/>
      <c r="S24" s="114"/>
      <c r="T24" s="114"/>
      <c r="U24" s="115"/>
      <c r="V24" s="114"/>
      <c r="W24" s="114"/>
      <c r="X24" s="114"/>
      <c r="Y24" s="115"/>
      <c r="Z24" s="114"/>
      <c r="AA24" s="114"/>
      <c r="AB24" s="114"/>
      <c r="AC24" s="115"/>
      <c r="AD24" s="114"/>
      <c r="AE24" s="114"/>
      <c r="AF24" s="114"/>
      <c r="AG24" s="115"/>
      <c r="AH24" s="114"/>
      <c r="AI24" s="114"/>
      <c r="AJ24" s="114"/>
      <c r="AK24" s="115"/>
      <c r="AL24" s="114"/>
      <c r="AM24" s="114"/>
      <c r="AN24" s="114"/>
      <c r="AO24" s="115"/>
      <c r="AP24" s="114"/>
      <c r="AQ24" s="114"/>
      <c r="AR24" s="114"/>
      <c r="AS24" s="115"/>
      <c r="AT24" s="116"/>
      <c r="AU24" s="114"/>
      <c r="AV24" s="114"/>
      <c r="AW24" s="115"/>
      <c r="AX24" s="116"/>
      <c r="AY24" s="114"/>
      <c r="AZ24" s="114"/>
      <c r="BA24" s="115"/>
      <c r="BB24" s="116"/>
      <c r="BC24" s="114"/>
      <c r="BD24" s="114"/>
      <c r="BE24" s="115"/>
      <c r="BF24" s="116"/>
      <c r="BG24" s="114"/>
      <c r="BH24" s="114"/>
      <c r="BI24" s="115"/>
      <c r="BJ24" s="116"/>
      <c r="BK24" s="114"/>
      <c r="BL24" s="114"/>
      <c r="BM24" s="115"/>
      <c r="BN24" s="116"/>
      <c r="BO24" s="114"/>
      <c r="BP24" s="114"/>
      <c r="BQ24" s="115"/>
      <c r="BR24" s="116"/>
      <c r="BS24" s="114"/>
      <c r="BT24" s="114"/>
      <c r="BU24" s="115"/>
      <c r="BV24" s="116"/>
      <c r="BW24" s="114"/>
      <c r="BX24" s="114"/>
      <c r="BY24" s="115"/>
      <c r="BZ24" s="116"/>
      <c r="CA24" s="114"/>
      <c r="CB24" s="114"/>
      <c r="CC24" s="115"/>
      <c r="CD24" s="116"/>
      <c r="CE24" s="114"/>
      <c r="CF24" s="114"/>
      <c r="CG24" s="115"/>
      <c r="CH24" s="116"/>
      <c r="CI24" s="114"/>
      <c r="CJ24" s="114"/>
      <c r="CK24" s="115"/>
      <c r="CL24" s="116"/>
      <c r="CM24" s="114"/>
      <c r="CN24" s="114"/>
      <c r="CO24" s="115"/>
    </row>
    <row r="25" spans="1:93" outlineLevel="1" x14ac:dyDescent="0.3">
      <c r="A25" s="101" t="s">
        <v>82</v>
      </c>
      <c r="B25" s="33">
        <f ca="1">IFERROR(AVERAGE(INDEX($B69:$W69,MATCH($B$3,$B$51:$W$51,0)-2):INDEX($B69:$W69,MATCH($B$3,$B$51:$W$51,0))),0)</f>
        <v>3384593.563333333</v>
      </c>
      <c r="C25" s="33">
        <f ca="1">IFERROR(SLOPE(INDEX($B69:$W69,1):INDEX($B69:$W69,MATCH($B$3,$B$51:$W$51,0)),INDEX($B$50:$W$50,1):INDEX($B$50:$W$50,MATCH($B$3,$B$51:$W$51,0))),0)</f>
        <v>1930977.8589999999</v>
      </c>
      <c r="D25" s="11">
        <f t="shared" ref="D25:D30" ca="1" si="285">IF($B25=0,"",$C25/$B25)</f>
        <v>0.57051986386757392</v>
      </c>
      <c r="E25" s="33">
        <f t="shared" ref="E25:E30" ca="1" si="286">MAX(0,ROUND($B25+$C25*3,-3))</f>
        <v>9178000</v>
      </c>
      <c r="F25" s="33"/>
      <c r="G25" s="33">
        <f>SUMIFS(TablaEgresos[Valor],TablaEgresos[Categoría],$A25,TablaEgresos[Mes],F$4)</f>
        <v>0</v>
      </c>
      <c r="H25" s="33" t="str">
        <f t="shared" ref="H25:H30" si="287">IF(F25="","",F25-G25)</f>
        <v/>
      </c>
      <c r="I25" s="11" t="str">
        <f t="shared" ref="I25:I30" si="288">IF(OR(F25="",F25=0),"",G25/F25)</f>
        <v/>
      </c>
      <c r="J25" s="33"/>
      <c r="K25" s="33">
        <f>SUMIFS(TablaEgresos[Valor],TablaEgresos[Categoría],$A25,TablaEgresos[Mes],J$4)</f>
        <v>1765927.37</v>
      </c>
      <c r="L25" s="33" t="str">
        <f t="shared" ref="L25:L30" si="289">IF(J25="","",J25-K25)</f>
        <v/>
      </c>
      <c r="M25" s="11" t="str">
        <f t="shared" ref="M25:M30" si="290">IF(OR(J25="",J25=0),"",K25/J25)</f>
        <v/>
      </c>
      <c r="N25" s="33"/>
      <c r="O25" s="33">
        <f>SUMIFS(TablaEgresos[Valor],TablaEgresos[Categoría],$A25,TablaEgresos[Mes],N$4)</f>
        <v>2043927</v>
      </c>
      <c r="P25" s="33" t="str">
        <f t="shared" ref="P25:P30" si="291">IF(N25="","",N25-O25)</f>
        <v/>
      </c>
      <c r="Q25" s="11" t="str">
        <f t="shared" ref="Q25:Q30" si="292">IF(OR(N25="",N25=0),"",O25/N25)</f>
        <v/>
      </c>
      <c r="R25" s="33"/>
      <c r="S25" s="33">
        <f>SUMIFS(TablaEgresos[Valor],TablaEgresos[Categoría],$A25,TablaEgresos[Mes],R$4)</f>
        <v>6343926.3199999994</v>
      </c>
      <c r="T25" s="33" t="str">
        <f t="shared" ref="T25:T30" si="293">IF(R25="","",R25-S25)</f>
        <v/>
      </c>
      <c r="U25" s="11" t="str">
        <f t="shared" ref="U25:U30" si="294">IF(OR(R25="",R25=0),"",S25/R25)</f>
        <v/>
      </c>
      <c r="V25" s="102">
        <v>10000000</v>
      </c>
      <c r="W25" s="33">
        <f>SUMIFS(TablaEgresos[Valor],TablaEgresos[Categoría],$A25,TablaEgresos[Mes],V$4)</f>
        <v>9656272.7599999998</v>
      </c>
      <c r="X25" s="33">
        <f t="shared" ref="X25:X30" si="295">IF(V25="","",V25-W25)</f>
        <v>343727.24000000022</v>
      </c>
      <c r="Y25" s="11">
        <f t="shared" ref="Y25:Y30" si="296">IF(OR(V25="",V25=0),"",W25/V25)</f>
        <v>0.96562727599999998</v>
      </c>
      <c r="Z25" s="102">
        <v>11000000</v>
      </c>
      <c r="AA25" s="33">
        <f>SUMIFS(TablaEgresos[Valor],TablaEgresos[Categoría],$A25,TablaEgresos[Mes],Z$4)</f>
        <v>0</v>
      </c>
      <c r="AB25" s="33">
        <f t="shared" ref="AB25:AB30" si="297">IF(Z25="","",Z25-AA25)</f>
        <v>11000000</v>
      </c>
      <c r="AC25" s="11">
        <f t="shared" ref="AC25:AC30" si="298">IF(OR(Z25="",Z25=0),"",AA25/Z25)</f>
        <v>0</v>
      </c>
      <c r="AD25" s="102">
        <v>11000000</v>
      </c>
      <c r="AE25" s="33">
        <f>SUMIFS(TablaEgresos[Valor],TablaEgresos[Categoría],$A25,TablaEgresos[Mes],AD$4)</f>
        <v>0</v>
      </c>
      <c r="AF25" s="33">
        <f t="shared" ref="AF25:AF30" si="299">IF(AD25="","",AD25-AE25)</f>
        <v>11000000</v>
      </c>
      <c r="AG25" s="11">
        <f t="shared" ref="AG25:AG30" si="300">IF(OR(AD25="",AD25=0),"",AE25/AD25)</f>
        <v>0</v>
      </c>
      <c r="AH25" s="102">
        <v>11000000</v>
      </c>
      <c r="AI25" s="33">
        <f>SUMIFS(TablaEgresos[Valor],TablaEgresos[Categoría],$A25,TablaEgresos[Mes],AH$4)</f>
        <v>0</v>
      </c>
      <c r="AJ25" s="33">
        <f t="shared" ref="AJ25:AJ30" si="301">IF(AH25="","",AH25-AI25)</f>
        <v>11000000</v>
      </c>
      <c r="AK25" s="11">
        <f t="shared" ref="AK25:AK30" si="302">IF(OR(AH25="",AH25=0),"",AI25/AH25)</f>
        <v>0</v>
      </c>
      <c r="AL25" s="102">
        <v>11000000</v>
      </c>
      <c r="AM25" s="33">
        <f>SUMIFS(TablaEgresos[Valor],TablaEgresos[Categoría],$A25,TablaEgresos[Mes],AL$4)</f>
        <v>0</v>
      </c>
      <c r="AN25" s="33">
        <f t="shared" ref="AN25:AN30" si="303">IF(AL25="","",AL25-AM25)</f>
        <v>11000000</v>
      </c>
      <c r="AO25" s="11">
        <f t="shared" ref="AO25:AO30" si="304">IF(OR(AL25="",AL25=0),"",AM25/AL25)</f>
        <v>0</v>
      </c>
      <c r="AP25" s="102">
        <v>11000000</v>
      </c>
      <c r="AQ25" s="33">
        <f>SUMIFS(TablaEgresos[Valor],TablaEgresos[Categoría],$A25,TablaEgresos[Mes],AP$4)</f>
        <v>0</v>
      </c>
      <c r="AR25" s="33">
        <f t="shared" ref="AR25:AR30" si="305">IF(AP25="","",AP25-AQ25)</f>
        <v>11000000</v>
      </c>
      <c r="AS25" s="11">
        <f t="shared" ref="AS25:AS30" si="306">IF(OR(AP25="",AP25=0),"",AQ25/AP25)</f>
        <v>0</v>
      </c>
      <c r="AT25" s="102">
        <v>11000000</v>
      </c>
      <c r="AU25" s="33">
        <f>SUMIFS(TablaEgresos[Valor],TablaEgresos[Categoría],$A25,TablaEgresos[Mes],AT$4)</f>
        <v>0</v>
      </c>
      <c r="AV25" s="33">
        <f t="shared" ref="AV25:AV30" si="307">IF(AT25="","",AT25-AU25)</f>
        <v>11000000</v>
      </c>
      <c r="AW25" s="11">
        <f t="shared" ref="AW25:AW30" si="308">IF(OR(AT25="",AT25=0),"",AU25/AT25)</f>
        <v>0</v>
      </c>
      <c r="AX25" s="102">
        <v>11000000</v>
      </c>
      <c r="AY25" s="33">
        <f>SUMIFS(TablaEgresos[Valor],TablaEgresos[Categoría],$A25,TablaEgresos[Mes],AX$4)</f>
        <v>0</v>
      </c>
      <c r="AZ25" s="33">
        <f t="shared" ref="AZ25:AZ30" si="309">IF(AX25="","",AX25-AY25)</f>
        <v>11000000</v>
      </c>
      <c r="BA25" s="11">
        <f t="shared" ref="BA25:BA30" si="310">IF(OR(AX25="",AX25=0),"",AY25/AX25)</f>
        <v>0</v>
      </c>
      <c r="BB25" s="102">
        <v>11000000</v>
      </c>
      <c r="BC25" s="33">
        <f>SUMIFS(TablaEgresos[Valor],TablaEgresos[Categoría],$A25,TablaEgresos[Mes],BB$4)</f>
        <v>0</v>
      </c>
      <c r="BD25" s="33">
        <f t="shared" ref="BD25:BD30" si="311">IF(BB25="","",BB25-BC25)</f>
        <v>11000000</v>
      </c>
      <c r="BE25" s="11">
        <f t="shared" ref="BE25:BE30" si="312">IF(OR(BB25="",BB25=0),"",BC25/BB25)</f>
        <v>0</v>
      </c>
      <c r="BF25" s="102">
        <v>11000000</v>
      </c>
      <c r="BG25" s="33">
        <f>SUMIFS(TablaEgresos[Valor],TablaEgresos[Categoría],$A25,TablaEgresos[Mes],BF$4)</f>
        <v>0</v>
      </c>
      <c r="BH25" s="33">
        <f t="shared" ref="BH25:BH30" si="313">IF(BF25="","",BF25-BG25)</f>
        <v>11000000</v>
      </c>
      <c r="BI25" s="11">
        <f t="shared" ref="BI25:BI30" si="314">IF(OR(BF25="",BF25=0),"",BG25/BF25)</f>
        <v>0</v>
      </c>
      <c r="BJ25" s="102">
        <v>11000000</v>
      </c>
      <c r="BK25" s="33">
        <f>SUMIFS(TablaEgresos[Valor],TablaEgresos[Categoría],$A25,TablaEgresos[Mes],BJ$4)</f>
        <v>0</v>
      </c>
      <c r="BL25" s="33">
        <f t="shared" ref="BL25:BL30" si="315">IF(BJ25="","",BJ25-BK25)</f>
        <v>11000000</v>
      </c>
      <c r="BM25" s="11">
        <f t="shared" ref="BM25:BM30" si="316">IF(OR(BJ25="",BJ25=0),"",BK25/BJ25)</f>
        <v>0</v>
      </c>
      <c r="BN25" s="102">
        <v>11000000</v>
      </c>
      <c r="BO25" s="33">
        <f>SUMIFS(TablaEgresos[Valor],TablaEgresos[Categoría],$A25,TablaEgresos[Mes],BN$4)</f>
        <v>0</v>
      </c>
      <c r="BP25" s="33">
        <f t="shared" ref="BP25:BP30" si="317">IF(BN25="","",BN25-BO25)</f>
        <v>11000000</v>
      </c>
      <c r="BQ25" s="11">
        <f t="shared" ref="BQ25:BQ30" si="318">IF(OR(BN25="",BN25=0),"",BO25/BN25)</f>
        <v>0</v>
      </c>
      <c r="BR25" s="102">
        <v>11000000</v>
      </c>
      <c r="BS25" s="33">
        <f>SUMIFS(TablaEgresos[Valor],TablaEgresos[Categoría],$A25,TablaEgresos[Mes],BR$4)</f>
        <v>0</v>
      </c>
      <c r="BT25" s="33">
        <f t="shared" ref="BT25:BT30" si="319">IF(BR25="","",BR25-BS25)</f>
        <v>11000000</v>
      </c>
      <c r="BU25" s="11">
        <f t="shared" ref="BU25:BU30" si="320">IF(OR(BR25="",BR25=0),"",BS25/BR25)</f>
        <v>0</v>
      </c>
      <c r="BV25" s="102">
        <v>11000000</v>
      </c>
      <c r="BW25" s="33">
        <f>SUMIFS(TablaEgresos[Valor],TablaEgresos[Categoría],$A25,TablaEgresos[Mes],BV$4)</f>
        <v>0</v>
      </c>
      <c r="BX25" s="33">
        <f t="shared" ref="BX25:BX30" si="321">IF(BV25="","",BV25-BW25)</f>
        <v>11000000</v>
      </c>
      <c r="BY25" s="11">
        <f t="shared" ref="BY25:BY30" si="322">IF(OR(BV25="",BV25=0),"",BW25/BV25)</f>
        <v>0</v>
      </c>
      <c r="BZ25" s="102">
        <v>11000000</v>
      </c>
      <c r="CA25" s="33">
        <f>SUMIFS(TablaEgresos[Valor],TablaEgresos[Categoría],$A25,TablaEgresos[Mes],BZ$4)</f>
        <v>0</v>
      </c>
      <c r="CB25" s="33">
        <f t="shared" ref="CB25:CB30" si="323">IF(BZ25="","",BZ25-CA25)</f>
        <v>11000000</v>
      </c>
      <c r="CC25" s="11">
        <f t="shared" ref="CC25:CC30" si="324">IF(OR(BZ25="",BZ25=0),"",CA25/BZ25)</f>
        <v>0</v>
      </c>
      <c r="CD25" s="102">
        <v>11000000</v>
      </c>
      <c r="CE25" s="33">
        <f>SUMIFS(TablaEgresos[Valor],TablaEgresos[Categoría],$A25,TablaEgresos[Mes],CD$4)</f>
        <v>0</v>
      </c>
      <c r="CF25" s="33">
        <f t="shared" ref="CF25:CF30" si="325">IF(CD25="","",CD25-CE25)</f>
        <v>11000000</v>
      </c>
      <c r="CG25" s="11">
        <f t="shared" ref="CG25:CG30" si="326">IF(OR(CD25="",CD25=0),"",CE25/CD25)</f>
        <v>0</v>
      </c>
      <c r="CH25" s="102">
        <v>11000000</v>
      </c>
      <c r="CI25" s="33">
        <f>SUMIFS(TablaEgresos[Valor],TablaEgresos[Categoría],$A25,TablaEgresos[Mes],CH$4)</f>
        <v>0</v>
      </c>
      <c r="CJ25" s="33">
        <f t="shared" ref="CJ25:CJ30" si="327">IF(CH25="","",CH25-CI25)</f>
        <v>11000000</v>
      </c>
      <c r="CK25" s="11">
        <f t="shared" ref="CK25:CK30" si="328">IF(OR(CH25="",CH25=0),"",CI25/CH25)</f>
        <v>0</v>
      </c>
      <c r="CL25" s="102">
        <v>11000000</v>
      </c>
      <c r="CM25" s="33">
        <f>SUMIFS(TablaEgresos[Valor],TablaEgresos[Categoría],$A25,TablaEgresos[Mes],CL$4)</f>
        <v>0</v>
      </c>
      <c r="CN25" s="33">
        <f t="shared" ref="CN25:CN30" si="329">IF(CL25="","",CL25-CM25)</f>
        <v>11000000</v>
      </c>
      <c r="CO25" s="11">
        <f t="shared" ref="CO25:CO30" si="330">IF(OR(CL25="",CL25=0),"",CM25/CL25)</f>
        <v>0</v>
      </c>
    </row>
    <row r="26" spans="1:93" outlineLevel="1" x14ac:dyDescent="0.3">
      <c r="A26" s="101" t="s">
        <v>79</v>
      </c>
      <c r="B26" s="33">
        <f ca="1">IFERROR(AVERAGE(INDEX($B70:$W70,MATCH($B$3,$B$51:$W$51,0)-2):INDEX($B70:$W70,MATCH($B$3,$B$51:$W$51,0))),0)</f>
        <v>0</v>
      </c>
      <c r="C26" s="33">
        <f ca="1">IFERROR(SLOPE(INDEX($B70:$W70,1):INDEX($B70:$W70,MATCH($B$3,$B$51:$W$51,0)),INDEX($B$50:$W$50,1):INDEX($B$50:$W$50,MATCH($B$3,$B$51:$W$51,0))),0)</f>
        <v>0</v>
      </c>
      <c r="D26" s="11" t="str">
        <f t="shared" ca="1" si="285"/>
        <v/>
      </c>
      <c r="E26" s="33">
        <f t="shared" ca="1" si="286"/>
        <v>0</v>
      </c>
      <c r="F26" s="33"/>
      <c r="G26" s="33">
        <f>SUMIFS(TablaEgresos[Valor],TablaEgresos[Categoría],$A26,TablaEgresos[Mes],F$4)</f>
        <v>0</v>
      </c>
      <c r="H26" s="33" t="str">
        <f t="shared" si="287"/>
        <v/>
      </c>
      <c r="I26" s="11" t="str">
        <f t="shared" si="288"/>
        <v/>
      </c>
      <c r="J26" s="33"/>
      <c r="K26" s="33">
        <f>SUMIFS(TablaEgresos[Valor],TablaEgresos[Categoría],$A26,TablaEgresos[Mes],J$4)</f>
        <v>0</v>
      </c>
      <c r="L26" s="33" t="str">
        <f t="shared" si="289"/>
        <v/>
      </c>
      <c r="M26" s="11" t="str">
        <f t="shared" si="290"/>
        <v/>
      </c>
      <c r="N26" s="33"/>
      <c r="O26" s="33">
        <f>SUMIFS(TablaEgresos[Valor],TablaEgresos[Categoría],$A26,TablaEgresos[Mes],N$4)</f>
        <v>0</v>
      </c>
      <c r="P26" s="33" t="str">
        <f t="shared" si="291"/>
        <v/>
      </c>
      <c r="Q26" s="11" t="str">
        <f t="shared" si="292"/>
        <v/>
      </c>
      <c r="R26" s="33"/>
      <c r="S26" s="33">
        <f>SUMIFS(TablaEgresos[Valor],TablaEgresos[Categoría],$A26,TablaEgresos[Mes],R$4)</f>
        <v>0</v>
      </c>
      <c r="T26" s="33" t="str">
        <f t="shared" si="293"/>
        <v/>
      </c>
      <c r="U26" s="11" t="str">
        <f t="shared" si="294"/>
        <v/>
      </c>
      <c r="V26" s="102">
        <v>36791951.18</v>
      </c>
      <c r="W26" s="33">
        <f>SUMIFS(TablaEgresos[Valor],TablaEgresos[Categoría],$A26,TablaEgresos[Mes],V$4)</f>
        <v>20291951.18</v>
      </c>
      <c r="X26" s="33">
        <f t="shared" si="295"/>
        <v>16500000</v>
      </c>
      <c r="Y26" s="11">
        <f t="shared" si="296"/>
        <v>0.5515323468636979</v>
      </c>
      <c r="Z26" s="102">
        <v>31723000</v>
      </c>
      <c r="AA26" s="33">
        <f>SUMIFS(TablaEgresos[Valor],TablaEgresos[Categoría],$A26,TablaEgresos[Mes],Z$4)</f>
        <v>0</v>
      </c>
      <c r="AB26" s="33">
        <f t="shared" si="297"/>
        <v>31723000</v>
      </c>
      <c r="AC26" s="11">
        <f t="shared" si="298"/>
        <v>0</v>
      </c>
      <c r="AD26" s="102">
        <v>31723000</v>
      </c>
      <c r="AE26" s="33">
        <f>SUMIFS(TablaEgresos[Valor],TablaEgresos[Categoría],$A26,TablaEgresos[Mes],AD$4)</f>
        <v>0</v>
      </c>
      <c r="AF26" s="33">
        <f t="shared" si="299"/>
        <v>31723000</v>
      </c>
      <c r="AG26" s="11">
        <f t="shared" si="300"/>
        <v>0</v>
      </c>
      <c r="AH26" s="102">
        <v>31723000</v>
      </c>
      <c r="AI26" s="33">
        <f>SUMIFS(TablaEgresos[Valor],TablaEgresos[Categoría],$A26,TablaEgresos[Mes],AH$4)</f>
        <v>0</v>
      </c>
      <c r="AJ26" s="33">
        <f t="shared" si="301"/>
        <v>31723000</v>
      </c>
      <c r="AK26" s="11">
        <f t="shared" si="302"/>
        <v>0</v>
      </c>
      <c r="AL26" s="102">
        <v>31723000</v>
      </c>
      <c r="AM26" s="33">
        <f>SUMIFS(TablaEgresos[Valor],TablaEgresos[Categoría],$A26,TablaEgresos[Mes],AL$4)</f>
        <v>0</v>
      </c>
      <c r="AN26" s="33">
        <f t="shared" si="303"/>
        <v>31723000</v>
      </c>
      <c r="AO26" s="11">
        <f t="shared" si="304"/>
        <v>0</v>
      </c>
      <c r="AP26" s="102">
        <v>31723000</v>
      </c>
      <c r="AQ26" s="33">
        <f>SUMIFS(TablaEgresos[Valor],TablaEgresos[Categoría],$A26,TablaEgresos[Mes],AP$4)</f>
        <v>0</v>
      </c>
      <c r="AR26" s="33">
        <f t="shared" si="305"/>
        <v>31723000</v>
      </c>
      <c r="AS26" s="11">
        <f t="shared" si="306"/>
        <v>0</v>
      </c>
      <c r="AT26" s="102">
        <v>31723000</v>
      </c>
      <c r="AU26" s="33">
        <f>SUMIFS(TablaEgresos[Valor],TablaEgresos[Categoría],$A26,TablaEgresos[Mes],AT$4)</f>
        <v>0</v>
      </c>
      <c r="AV26" s="33">
        <f t="shared" si="307"/>
        <v>31723000</v>
      </c>
      <c r="AW26" s="11">
        <f t="shared" si="308"/>
        <v>0</v>
      </c>
      <c r="AX26" s="102">
        <v>31723000</v>
      </c>
      <c r="AY26" s="33">
        <f>SUMIFS(TablaEgresos[Valor],TablaEgresos[Categoría],$A26,TablaEgresos[Mes],AX$4)</f>
        <v>0</v>
      </c>
      <c r="AZ26" s="33">
        <f t="shared" si="309"/>
        <v>31723000</v>
      </c>
      <c r="BA26" s="11">
        <f t="shared" si="310"/>
        <v>0</v>
      </c>
      <c r="BB26" s="102">
        <v>31723000</v>
      </c>
      <c r="BC26" s="33">
        <f>SUMIFS(TablaEgresos[Valor],TablaEgresos[Categoría],$A26,TablaEgresos[Mes],BB$4)</f>
        <v>0</v>
      </c>
      <c r="BD26" s="33">
        <f t="shared" si="311"/>
        <v>31723000</v>
      </c>
      <c r="BE26" s="11">
        <f t="shared" si="312"/>
        <v>0</v>
      </c>
      <c r="BF26" s="102">
        <v>31723000</v>
      </c>
      <c r="BG26" s="33">
        <f>SUMIFS(TablaEgresos[Valor],TablaEgresos[Categoría],$A26,TablaEgresos[Mes],BF$4)</f>
        <v>0</v>
      </c>
      <c r="BH26" s="33">
        <f t="shared" si="313"/>
        <v>31723000</v>
      </c>
      <c r="BI26" s="11">
        <f t="shared" si="314"/>
        <v>0</v>
      </c>
      <c r="BJ26" s="102">
        <v>31723000</v>
      </c>
      <c r="BK26" s="33">
        <f>SUMIFS(TablaEgresos[Valor],TablaEgresos[Categoría],$A26,TablaEgresos[Mes],BJ$4)</f>
        <v>0</v>
      </c>
      <c r="BL26" s="33">
        <f t="shared" si="315"/>
        <v>31723000</v>
      </c>
      <c r="BM26" s="11">
        <f t="shared" si="316"/>
        <v>0</v>
      </c>
      <c r="BN26" s="102">
        <v>31723000</v>
      </c>
      <c r="BO26" s="33">
        <f>SUMIFS(TablaEgresos[Valor],TablaEgresos[Categoría],$A26,TablaEgresos[Mes],BN$4)</f>
        <v>0</v>
      </c>
      <c r="BP26" s="33">
        <f t="shared" si="317"/>
        <v>31723000</v>
      </c>
      <c r="BQ26" s="11">
        <f t="shared" si="318"/>
        <v>0</v>
      </c>
      <c r="BR26" s="102">
        <v>31723000</v>
      </c>
      <c r="BS26" s="33">
        <f>SUMIFS(TablaEgresos[Valor],TablaEgresos[Categoría],$A26,TablaEgresos[Mes],BR$4)</f>
        <v>0</v>
      </c>
      <c r="BT26" s="33">
        <f t="shared" si="319"/>
        <v>31723000</v>
      </c>
      <c r="BU26" s="11">
        <f t="shared" si="320"/>
        <v>0</v>
      </c>
      <c r="BV26" s="102">
        <v>31723000</v>
      </c>
      <c r="BW26" s="33">
        <f>SUMIFS(TablaEgresos[Valor],TablaEgresos[Categoría],$A26,TablaEgresos[Mes],BV$4)</f>
        <v>0</v>
      </c>
      <c r="BX26" s="33">
        <f t="shared" si="321"/>
        <v>31723000</v>
      </c>
      <c r="BY26" s="11">
        <f t="shared" si="322"/>
        <v>0</v>
      </c>
      <c r="BZ26" s="102">
        <v>31723000</v>
      </c>
      <c r="CA26" s="33">
        <f>SUMIFS(TablaEgresos[Valor],TablaEgresos[Categoría],$A26,TablaEgresos[Mes],BZ$4)</f>
        <v>0</v>
      </c>
      <c r="CB26" s="33">
        <f t="shared" si="323"/>
        <v>31723000</v>
      </c>
      <c r="CC26" s="11">
        <f t="shared" si="324"/>
        <v>0</v>
      </c>
      <c r="CD26" s="102">
        <v>31723000</v>
      </c>
      <c r="CE26" s="33">
        <f>SUMIFS(TablaEgresos[Valor],TablaEgresos[Categoría],$A26,TablaEgresos[Mes],CD$4)</f>
        <v>0</v>
      </c>
      <c r="CF26" s="33">
        <f t="shared" si="325"/>
        <v>31723000</v>
      </c>
      <c r="CG26" s="11">
        <f t="shared" si="326"/>
        <v>0</v>
      </c>
      <c r="CH26" s="102">
        <v>31723000</v>
      </c>
      <c r="CI26" s="33">
        <f>SUMIFS(TablaEgresos[Valor],TablaEgresos[Categoría],$A26,TablaEgresos[Mes],CH$4)</f>
        <v>0</v>
      </c>
      <c r="CJ26" s="33">
        <f t="shared" si="327"/>
        <v>31723000</v>
      </c>
      <c r="CK26" s="11">
        <f t="shared" si="328"/>
        <v>0</v>
      </c>
      <c r="CL26" s="102">
        <v>31723000</v>
      </c>
      <c r="CM26" s="33">
        <f>SUMIFS(TablaEgresos[Valor],TablaEgresos[Categoría],$A26,TablaEgresos[Mes],CL$4)</f>
        <v>0</v>
      </c>
      <c r="CN26" s="33">
        <f t="shared" si="329"/>
        <v>31723000</v>
      </c>
      <c r="CO26" s="11">
        <f t="shared" si="330"/>
        <v>0</v>
      </c>
    </row>
    <row r="27" spans="1:93" outlineLevel="1" x14ac:dyDescent="0.3">
      <c r="A27" s="101" t="s">
        <v>97</v>
      </c>
      <c r="B27" s="33">
        <f ca="1">IFERROR(AVERAGE(INDEX($B71:$W71,MATCH($B$3,$B$51:$W$51,0)-2):INDEX($B71:$W71,MATCH($B$3,$B$51:$W$51,0))),0)</f>
        <v>5338206.4666666659</v>
      </c>
      <c r="C27" s="33">
        <f ca="1">IFERROR(SLOPE(INDEX($B71:$W71,1):INDEX($B71:$W71,MATCH($B$3,$B$51:$W$51,0)),INDEX($B$50:$W$50,1):INDEX($B$50:$W$50,MATCH($B$3,$B$51:$W$51,0))),0)</f>
        <v>2053944.2519999999</v>
      </c>
      <c r="D27" s="11">
        <f t="shared" ca="1" si="285"/>
        <v>0.38476298450152369</v>
      </c>
      <c r="E27" s="33">
        <f t="shared" ca="1" si="286"/>
        <v>11500000</v>
      </c>
      <c r="F27" s="33"/>
      <c r="G27" s="33">
        <f>SUMIFS(TablaEgresos[Valor],TablaEgresos[Categoría],$A27,TablaEgresos[Mes],F$4)</f>
        <v>0</v>
      </c>
      <c r="H27" s="33" t="str">
        <f t="shared" si="287"/>
        <v/>
      </c>
      <c r="I27" s="11" t="str">
        <f t="shared" si="288"/>
        <v/>
      </c>
      <c r="J27" s="33"/>
      <c r="K27" s="33">
        <f>SUMIFS(TablaEgresos[Valor],TablaEgresos[Categoría],$A27,TablaEgresos[Mes],J$4)</f>
        <v>4017588</v>
      </c>
      <c r="L27" s="33" t="str">
        <f t="shared" si="289"/>
        <v/>
      </c>
      <c r="M27" s="11" t="str">
        <f t="shared" si="290"/>
        <v/>
      </c>
      <c r="N27" s="33"/>
      <c r="O27" s="33">
        <f>SUMIFS(TablaEgresos[Valor],TablaEgresos[Categoría],$A27,TablaEgresos[Mes],N$4)</f>
        <v>5717031.8399999999</v>
      </c>
      <c r="P27" s="33" t="str">
        <f t="shared" si="291"/>
        <v/>
      </c>
      <c r="Q27" s="11" t="str">
        <f t="shared" si="292"/>
        <v/>
      </c>
      <c r="R27" s="33"/>
      <c r="S27" s="33">
        <f>SUMIFS(TablaEgresos[Valor],TablaEgresos[Categoría],$A27,TablaEgresos[Mes],R$4)</f>
        <v>6279999.5599999996</v>
      </c>
      <c r="T27" s="33" t="str">
        <f t="shared" si="293"/>
        <v/>
      </c>
      <c r="U27" s="11" t="str">
        <f t="shared" si="294"/>
        <v/>
      </c>
      <c r="V27" s="102">
        <v>82000000</v>
      </c>
      <c r="W27" s="33">
        <f>SUMIFS(TablaEgresos[Valor],TablaEgresos[Categoría],$A27,TablaEgresos[Mes],V$4)</f>
        <v>80314004.410000011</v>
      </c>
      <c r="X27" s="33">
        <f t="shared" si="295"/>
        <v>1685995.5899999887</v>
      </c>
      <c r="Y27" s="11">
        <f t="shared" si="296"/>
        <v>0.97943907817073184</v>
      </c>
      <c r="Z27" s="102">
        <v>0</v>
      </c>
      <c r="AA27" s="33">
        <f>SUMIFS(TablaEgresos[Valor],TablaEgresos[Categoría],$A27,TablaEgresos[Mes],Z$4)</f>
        <v>0</v>
      </c>
      <c r="AB27" s="33">
        <f t="shared" si="297"/>
        <v>0</v>
      </c>
      <c r="AC27" s="11" t="str">
        <f t="shared" si="298"/>
        <v/>
      </c>
      <c r="AD27" s="102">
        <v>0</v>
      </c>
      <c r="AE27" s="33">
        <f>SUMIFS(TablaEgresos[Valor],TablaEgresos[Categoría],$A27,TablaEgresos[Mes],AD$4)</f>
        <v>0</v>
      </c>
      <c r="AF27" s="33">
        <f t="shared" si="299"/>
        <v>0</v>
      </c>
      <c r="AG27" s="11" t="str">
        <f t="shared" si="300"/>
        <v/>
      </c>
      <c r="AH27" s="102">
        <v>0</v>
      </c>
      <c r="AI27" s="33">
        <f>SUMIFS(TablaEgresos[Valor],TablaEgresos[Categoría],$A27,TablaEgresos[Mes],AH$4)</f>
        <v>0</v>
      </c>
      <c r="AJ27" s="33">
        <f t="shared" si="301"/>
        <v>0</v>
      </c>
      <c r="AK27" s="11" t="str">
        <f t="shared" si="302"/>
        <v/>
      </c>
      <c r="AL27" s="102">
        <v>0</v>
      </c>
      <c r="AM27" s="33">
        <f>SUMIFS(TablaEgresos[Valor],TablaEgresos[Categoría],$A27,TablaEgresos[Mes],AL$4)</f>
        <v>0</v>
      </c>
      <c r="AN27" s="33">
        <f t="shared" si="303"/>
        <v>0</v>
      </c>
      <c r="AO27" s="11" t="str">
        <f t="shared" si="304"/>
        <v/>
      </c>
      <c r="AP27" s="102">
        <v>0</v>
      </c>
      <c r="AQ27" s="33">
        <f>SUMIFS(TablaEgresos[Valor],TablaEgresos[Categoría],$A27,TablaEgresos[Mes],AP$4)</f>
        <v>0</v>
      </c>
      <c r="AR27" s="33">
        <f t="shared" si="305"/>
        <v>0</v>
      </c>
      <c r="AS27" s="11" t="str">
        <f t="shared" si="306"/>
        <v/>
      </c>
      <c r="AT27" s="102">
        <v>0</v>
      </c>
      <c r="AU27" s="33">
        <f>SUMIFS(TablaEgresos[Valor],TablaEgresos[Categoría],$A27,TablaEgresos[Mes],AT$4)</f>
        <v>0</v>
      </c>
      <c r="AV27" s="33">
        <f t="shared" si="307"/>
        <v>0</v>
      </c>
      <c r="AW27" s="11" t="str">
        <f t="shared" si="308"/>
        <v/>
      </c>
      <c r="AX27" s="102">
        <v>0</v>
      </c>
      <c r="AY27" s="33">
        <f>SUMIFS(TablaEgresos[Valor],TablaEgresos[Categoría],$A27,TablaEgresos[Mes],AX$4)</f>
        <v>0</v>
      </c>
      <c r="AZ27" s="33">
        <f t="shared" si="309"/>
        <v>0</v>
      </c>
      <c r="BA27" s="11" t="str">
        <f t="shared" si="310"/>
        <v/>
      </c>
      <c r="BB27" s="102">
        <v>0</v>
      </c>
      <c r="BC27" s="33">
        <f>SUMIFS(TablaEgresos[Valor],TablaEgresos[Categoría],$A27,TablaEgresos[Mes],BB$4)</f>
        <v>0</v>
      </c>
      <c r="BD27" s="33">
        <f t="shared" si="311"/>
        <v>0</v>
      </c>
      <c r="BE27" s="11" t="str">
        <f t="shared" si="312"/>
        <v/>
      </c>
      <c r="BF27" s="102">
        <v>0</v>
      </c>
      <c r="BG27" s="33">
        <f>SUMIFS(TablaEgresos[Valor],TablaEgresos[Categoría],$A27,TablaEgresos[Mes],BF$4)</f>
        <v>0</v>
      </c>
      <c r="BH27" s="33">
        <f t="shared" si="313"/>
        <v>0</v>
      </c>
      <c r="BI27" s="11" t="str">
        <f t="shared" si="314"/>
        <v/>
      </c>
      <c r="BJ27" s="102">
        <v>0</v>
      </c>
      <c r="BK27" s="33">
        <f>SUMIFS(TablaEgresos[Valor],TablaEgresos[Categoría],$A27,TablaEgresos[Mes],BJ$4)</f>
        <v>0</v>
      </c>
      <c r="BL27" s="33">
        <f t="shared" si="315"/>
        <v>0</v>
      </c>
      <c r="BM27" s="11" t="str">
        <f t="shared" si="316"/>
        <v/>
      </c>
      <c r="BN27" s="102">
        <v>0</v>
      </c>
      <c r="BO27" s="33">
        <f>SUMIFS(TablaEgresos[Valor],TablaEgresos[Categoría],$A27,TablaEgresos[Mes],BN$4)</f>
        <v>0</v>
      </c>
      <c r="BP27" s="33">
        <f t="shared" si="317"/>
        <v>0</v>
      </c>
      <c r="BQ27" s="11" t="str">
        <f t="shared" si="318"/>
        <v/>
      </c>
      <c r="BR27" s="102">
        <v>0</v>
      </c>
      <c r="BS27" s="33">
        <f>SUMIFS(TablaEgresos[Valor],TablaEgresos[Categoría],$A27,TablaEgresos[Mes],BR$4)</f>
        <v>0</v>
      </c>
      <c r="BT27" s="33">
        <f t="shared" si="319"/>
        <v>0</v>
      </c>
      <c r="BU27" s="11" t="str">
        <f t="shared" si="320"/>
        <v/>
      </c>
      <c r="BV27" s="102">
        <v>0</v>
      </c>
      <c r="BW27" s="33">
        <f>SUMIFS(TablaEgresos[Valor],TablaEgresos[Categoría],$A27,TablaEgresos[Mes],BV$4)</f>
        <v>0</v>
      </c>
      <c r="BX27" s="33">
        <f t="shared" si="321"/>
        <v>0</v>
      </c>
      <c r="BY27" s="11" t="str">
        <f t="shared" si="322"/>
        <v/>
      </c>
      <c r="BZ27" s="102">
        <v>0</v>
      </c>
      <c r="CA27" s="33">
        <f>SUMIFS(TablaEgresos[Valor],TablaEgresos[Categoría],$A27,TablaEgresos[Mes],BZ$4)</f>
        <v>0</v>
      </c>
      <c r="CB27" s="33">
        <f t="shared" si="323"/>
        <v>0</v>
      </c>
      <c r="CC27" s="11" t="str">
        <f t="shared" si="324"/>
        <v/>
      </c>
      <c r="CD27" s="102">
        <v>0</v>
      </c>
      <c r="CE27" s="33">
        <f>SUMIFS(TablaEgresos[Valor],TablaEgresos[Categoría],$A27,TablaEgresos[Mes],CD$4)</f>
        <v>0</v>
      </c>
      <c r="CF27" s="33">
        <f t="shared" si="325"/>
        <v>0</v>
      </c>
      <c r="CG27" s="11" t="str">
        <f t="shared" si="326"/>
        <v/>
      </c>
      <c r="CH27" s="102">
        <v>0</v>
      </c>
      <c r="CI27" s="33">
        <f>SUMIFS(TablaEgresos[Valor],TablaEgresos[Categoría],$A27,TablaEgresos[Mes],CH$4)</f>
        <v>0</v>
      </c>
      <c r="CJ27" s="33">
        <f t="shared" si="327"/>
        <v>0</v>
      </c>
      <c r="CK27" s="11" t="str">
        <f t="shared" si="328"/>
        <v/>
      </c>
      <c r="CL27" s="102">
        <v>0</v>
      </c>
      <c r="CM27" s="33">
        <f>SUMIFS(TablaEgresos[Valor],TablaEgresos[Categoría],$A27,TablaEgresos[Mes],CL$4)</f>
        <v>0</v>
      </c>
      <c r="CN27" s="33">
        <f t="shared" si="329"/>
        <v>0</v>
      </c>
      <c r="CO27" s="11" t="str">
        <f t="shared" si="330"/>
        <v/>
      </c>
    </row>
    <row r="28" spans="1:93" outlineLevel="1" x14ac:dyDescent="0.3">
      <c r="A28" s="101" t="s">
        <v>1183</v>
      </c>
      <c r="B28" s="33">
        <f ca="1">IFERROR(AVERAGE(INDEX($B72:$W72,MATCH($B$3,$B$51:$W$51,0)-2):INDEX($B72:$W72,MATCH($B$3,$B$51:$W$51,0))),0)</f>
        <v>109264.33333333333</v>
      </c>
      <c r="C28" s="33">
        <f ca="1">IFERROR(SLOPE(INDEX($B72:$W72,1):INDEX($B72:$W72,MATCH($B$3,$B$51:$W$51,0)),INDEX($B$50:$W$50,1):INDEX($B$50:$W$50,MATCH($B$3,$B$51:$W$51,0))),0)</f>
        <v>-32779.300000000003</v>
      </c>
      <c r="D28" s="11">
        <f ca="1">IF($B28=0,"",$C28/$B28)</f>
        <v>-0.30000000000000004</v>
      </c>
      <c r="E28" s="33">
        <f ca="1">MAX(0,ROUND($B28+$C28*3,-3))</f>
        <v>11000</v>
      </c>
      <c r="F28" s="33"/>
      <c r="G28" s="33">
        <f>SUMIFS(TablaEgresos[Valor],TablaEgresos[Categoría],$A28,TablaEgresos[Mes],F$4)</f>
        <v>0</v>
      </c>
      <c r="H28" s="33" t="str">
        <f t="shared" ref="H28" si="331">IF(F28="","",F28-G28)</f>
        <v/>
      </c>
      <c r="I28" s="11" t="str">
        <f t="shared" ref="I28" si="332">IF(OR(F28="",F28=0),"",G28/F28)</f>
        <v/>
      </c>
      <c r="J28" s="33"/>
      <c r="K28" s="33">
        <f>SUMIFS(TablaEgresos[Valor],TablaEgresos[Categoría],$A28,TablaEgresos[Mes],J$4)</f>
        <v>327793</v>
      </c>
      <c r="L28" s="33" t="str">
        <f t="shared" ref="L28" si="333">IF(J28="","",J28-K28)</f>
        <v/>
      </c>
      <c r="M28" s="11" t="str">
        <f t="shared" ref="M28" si="334">IF(OR(J28="",J28=0),"",K28/J28)</f>
        <v/>
      </c>
      <c r="N28" s="33"/>
      <c r="O28" s="33">
        <f>SUMIFS(TablaEgresos[Valor],TablaEgresos[Categoría],$A28,TablaEgresos[Mes],N$4)</f>
        <v>0</v>
      </c>
      <c r="P28" s="33" t="str">
        <f t="shared" ref="P28" si="335">IF(N28="","",N28-O28)</f>
        <v/>
      </c>
      <c r="Q28" s="11" t="str">
        <f t="shared" ref="Q28" si="336">IF(OR(N28="",N28=0),"",O28/N28)</f>
        <v/>
      </c>
      <c r="R28" s="33"/>
      <c r="S28" s="33">
        <f>SUMIFS(TablaEgresos[Valor],TablaEgresos[Categoría],$A28,TablaEgresos[Mes],R$4)</f>
        <v>0</v>
      </c>
      <c r="T28" s="33" t="str">
        <f t="shared" ref="T28" si="337">IF(R28="","",R28-S28)</f>
        <v/>
      </c>
      <c r="U28" s="11" t="str">
        <f t="shared" ref="U28" si="338">IF(OR(R28="",R28=0),"",S28/R28)</f>
        <v/>
      </c>
      <c r="V28" s="102">
        <v>0</v>
      </c>
      <c r="W28" s="33">
        <f>SUMIFS(TablaEgresos[Valor],TablaEgresos[Categoría],$A28,TablaEgresos[Mes],V$4)</f>
        <v>0</v>
      </c>
      <c r="X28" s="33">
        <f t="shared" ref="X28" si="339">IF(V28="","",V28-W28)</f>
        <v>0</v>
      </c>
      <c r="Y28" s="11" t="str">
        <f t="shared" ref="Y28" si="340">IF(OR(V28="",V28=0),"",W28/V28)</f>
        <v/>
      </c>
      <c r="Z28" s="102">
        <v>350000</v>
      </c>
      <c r="AA28" s="33">
        <f>SUMIFS(TablaEgresos[Valor],TablaEgresos[Categoría],$A28,TablaEgresos[Mes],Z$4)</f>
        <v>0</v>
      </c>
      <c r="AB28" s="33">
        <f t="shared" ref="AB28" si="341">IF(Z28="","",Z28-AA28)</f>
        <v>350000</v>
      </c>
      <c r="AC28" s="11">
        <f t="shared" ref="AC28" si="342">IF(OR(Z28="",Z28=0),"",AA28/Z28)</f>
        <v>0</v>
      </c>
      <c r="AD28" s="102">
        <v>350000</v>
      </c>
      <c r="AE28" s="33">
        <f>SUMIFS(TablaEgresos[Valor],TablaEgresos[Categoría],$A28,TablaEgresos[Mes],AD$4)</f>
        <v>0</v>
      </c>
      <c r="AF28" s="33">
        <f t="shared" ref="AF28" si="343">IF(AD28="","",AD28-AE28)</f>
        <v>350000</v>
      </c>
      <c r="AG28" s="11">
        <f t="shared" ref="AG28" si="344">IF(OR(AD28="",AD28=0),"",AE28/AD28)</f>
        <v>0</v>
      </c>
      <c r="AH28" s="102">
        <v>350000</v>
      </c>
      <c r="AI28" s="33">
        <f>SUMIFS(TablaEgresos[Valor],TablaEgresos[Categoría],$A28,TablaEgresos[Mes],AH$4)</f>
        <v>0</v>
      </c>
      <c r="AJ28" s="33">
        <f t="shared" ref="AJ28" si="345">IF(AH28="","",AH28-AI28)</f>
        <v>350000</v>
      </c>
      <c r="AK28" s="11">
        <f t="shared" ref="AK28" si="346">IF(OR(AH28="",AH28=0),"",AI28/AH28)</f>
        <v>0</v>
      </c>
      <c r="AL28" s="102">
        <v>350000</v>
      </c>
      <c r="AM28" s="33">
        <f>SUMIFS(TablaEgresos[Valor],TablaEgresos[Categoría],$A28,TablaEgresos[Mes],AL$4)</f>
        <v>0</v>
      </c>
      <c r="AN28" s="33">
        <f t="shared" ref="AN28" si="347">IF(AL28="","",AL28-AM28)</f>
        <v>350000</v>
      </c>
      <c r="AO28" s="11">
        <f t="shared" ref="AO28" si="348">IF(OR(AL28="",AL28=0),"",AM28/AL28)</f>
        <v>0</v>
      </c>
      <c r="AP28" s="102">
        <v>350000</v>
      </c>
      <c r="AQ28" s="33">
        <f>SUMIFS(TablaEgresos[Valor],TablaEgresos[Categoría],$A28,TablaEgresos[Mes],AP$4)</f>
        <v>0</v>
      </c>
      <c r="AR28" s="33">
        <f t="shared" ref="AR28" si="349">IF(AP28="","",AP28-AQ28)</f>
        <v>350000</v>
      </c>
      <c r="AS28" s="11">
        <f t="shared" ref="AS28" si="350">IF(OR(AP28="",AP28=0),"",AQ28/AP28)</f>
        <v>0</v>
      </c>
      <c r="AT28" s="102">
        <v>350000</v>
      </c>
      <c r="AU28" s="33">
        <f>SUMIFS(TablaEgresos[Valor],TablaEgresos[Categoría],$A28,TablaEgresos[Mes],AT$4)</f>
        <v>0</v>
      </c>
      <c r="AV28" s="33">
        <f t="shared" ref="AV28" si="351">IF(AT28="","",AT28-AU28)</f>
        <v>350000</v>
      </c>
      <c r="AW28" s="11">
        <f t="shared" ref="AW28" si="352">IF(OR(AT28="",AT28=0),"",AU28/AT28)</f>
        <v>0</v>
      </c>
      <c r="AX28" s="102">
        <v>350000</v>
      </c>
      <c r="AY28" s="33">
        <f>SUMIFS(TablaEgresos[Valor],TablaEgresos[Categoría],$A28,TablaEgresos[Mes],AX$4)</f>
        <v>0</v>
      </c>
      <c r="AZ28" s="33">
        <f t="shared" ref="AZ28" si="353">IF(AX28="","",AX28-AY28)</f>
        <v>350000</v>
      </c>
      <c r="BA28" s="11">
        <f t="shared" ref="BA28" si="354">IF(OR(AX28="",AX28=0),"",AY28/AX28)</f>
        <v>0</v>
      </c>
      <c r="BB28" s="102">
        <v>350000</v>
      </c>
      <c r="BC28" s="33">
        <f>SUMIFS(TablaEgresos[Valor],TablaEgresos[Categoría],$A28,TablaEgresos[Mes],BB$4)</f>
        <v>0</v>
      </c>
      <c r="BD28" s="33">
        <f t="shared" ref="BD28" si="355">IF(BB28="","",BB28-BC28)</f>
        <v>350000</v>
      </c>
      <c r="BE28" s="11">
        <f t="shared" ref="BE28" si="356">IF(OR(BB28="",BB28=0),"",BC28/BB28)</f>
        <v>0</v>
      </c>
      <c r="BF28" s="102">
        <v>350000</v>
      </c>
      <c r="BG28" s="33">
        <f>SUMIFS(TablaEgresos[Valor],TablaEgresos[Categoría],$A28,TablaEgresos[Mes],BF$4)</f>
        <v>0</v>
      </c>
      <c r="BH28" s="33">
        <f t="shared" ref="BH28" si="357">IF(BF28="","",BF28-BG28)</f>
        <v>350000</v>
      </c>
      <c r="BI28" s="11">
        <f t="shared" ref="BI28" si="358">IF(OR(BF28="",BF28=0),"",BG28/BF28)</f>
        <v>0</v>
      </c>
      <c r="BJ28" s="102">
        <v>350000</v>
      </c>
      <c r="BK28" s="33">
        <f>SUMIFS(TablaEgresos[Valor],TablaEgresos[Categoría],$A28,TablaEgresos[Mes],BJ$4)</f>
        <v>0</v>
      </c>
      <c r="BL28" s="33">
        <f t="shared" ref="BL28" si="359">IF(BJ28="","",BJ28-BK28)</f>
        <v>350000</v>
      </c>
      <c r="BM28" s="11">
        <f t="shared" ref="BM28" si="360">IF(OR(BJ28="",BJ28=0),"",BK28/BJ28)</f>
        <v>0</v>
      </c>
      <c r="BN28" s="102">
        <v>350000</v>
      </c>
      <c r="BO28" s="33">
        <f>SUMIFS(TablaEgresos[Valor],TablaEgresos[Categoría],$A28,TablaEgresos[Mes],BN$4)</f>
        <v>0</v>
      </c>
      <c r="BP28" s="33">
        <f t="shared" ref="BP28" si="361">IF(BN28="","",BN28-BO28)</f>
        <v>350000</v>
      </c>
      <c r="BQ28" s="11">
        <f t="shared" ref="BQ28" si="362">IF(OR(BN28="",BN28=0),"",BO28/BN28)</f>
        <v>0</v>
      </c>
      <c r="BR28" s="102">
        <v>350000</v>
      </c>
      <c r="BS28" s="33">
        <f>SUMIFS(TablaEgresos[Valor],TablaEgresos[Categoría],$A28,TablaEgresos[Mes],BR$4)</f>
        <v>0</v>
      </c>
      <c r="BT28" s="33">
        <f t="shared" ref="BT28" si="363">IF(BR28="","",BR28-BS28)</f>
        <v>350000</v>
      </c>
      <c r="BU28" s="11">
        <f t="shared" ref="BU28" si="364">IF(OR(BR28="",BR28=0),"",BS28/BR28)</f>
        <v>0</v>
      </c>
      <c r="BV28" s="102">
        <v>350000</v>
      </c>
      <c r="BW28" s="33">
        <f>SUMIFS(TablaEgresos[Valor],TablaEgresos[Categoría],$A28,TablaEgresos[Mes],BV$4)</f>
        <v>0</v>
      </c>
      <c r="BX28" s="33">
        <f t="shared" ref="BX28" si="365">IF(BV28="","",BV28-BW28)</f>
        <v>350000</v>
      </c>
      <c r="BY28" s="11">
        <f t="shared" ref="BY28" si="366">IF(OR(BV28="",BV28=0),"",BW28/BV28)</f>
        <v>0</v>
      </c>
      <c r="BZ28" s="102">
        <v>350000</v>
      </c>
      <c r="CA28" s="33">
        <f>SUMIFS(TablaEgresos[Valor],TablaEgresos[Categoría],$A28,TablaEgresos[Mes],BZ$4)</f>
        <v>0</v>
      </c>
      <c r="CB28" s="33">
        <f t="shared" ref="CB28" si="367">IF(BZ28="","",BZ28-CA28)</f>
        <v>350000</v>
      </c>
      <c r="CC28" s="11">
        <f t="shared" ref="CC28" si="368">IF(OR(BZ28="",BZ28=0),"",CA28/BZ28)</f>
        <v>0</v>
      </c>
      <c r="CD28" s="102">
        <v>350000</v>
      </c>
      <c r="CE28" s="33">
        <f>SUMIFS(TablaEgresos[Valor],TablaEgresos[Categoría],$A28,TablaEgresos[Mes],CD$4)</f>
        <v>0</v>
      </c>
      <c r="CF28" s="33">
        <f t="shared" ref="CF28" si="369">IF(CD28="","",CD28-CE28)</f>
        <v>350000</v>
      </c>
      <c r="CG28" s="11">
        <f t="shared" ref="CG28" si="370">IF(OR(CD28="",CD28=0),"",CE28/CD28)</f>
        <v>0</v>
      </c>
      <c r="CH28" s="102">
        <v>350000</v>
      </c>
      <c r="CI28" s="33">
        <f>SUMIFS(TablaEgresos[Valor],TablaEgresos[Categoría],$A28,TablaEgresos[Mes],CH$4)</f>
        <v>0</v>
      </c>
      <c r="CJ28" s="33">
        <f t="shared" ref="CJ28" si="371">IF(CH28="","",CH28-CI28)</f>
        <v>350000</v>
      </c>
      <c r="CK28" s="11">
        <f t="shared" ref="CK28" si="372">IF(OR(CH28="",CH28=0),"",CI28/CH28)</f>
        <v>0</v>
      </c>
      <c r="CL28" s="102">
        <v>350000</v>
      </c>
      <c r="CM28" s="33">
        <f>SUMIFS(TablaEgresos[Valor],TablaEgresos[Categoría],$A28,TablaEgresos[Mes],CL$4)</f>
        <v>0</v>
      </c>
      <c r="CN28" s="33">
        <f t="shared" ref="CN28" si="373">IF(CL28="","",CL28-CM28)</f>
        <v>350000</v>
      </c>
      <c r="CO28" s="11">
        <f t="shared" ref="CO28" si="374">IF(OR(CL28="",CL28=0),"",CM28/CL28)</f>
        <v>0</v>
      </c>
    </row>
    <row r="29" spans="1:93" outlineLevel="1" x14ac:dyDescent="0.3">
      <c r="A29" s="101" t="s">
        <v>92</v>
      </c>
      <c r="B29" s="33">
        <f ca="1">IFERROR(AVERAGE(INDEX($B73:$W73,MATCH($B$3,$B$51:$W$51,0)-2):INDEX($B73:$W73,MATCH($B$3,$B$51:$W$51,0))),0)</f>
        <v>0</v>
      </c>
      <c r="C29" s="33">
        <f ca="1">IFERROR(SLOPE(INDEX($B73:$W73,1):INDEX($B73:$W73,MATCH($B$3,$B$51:$W$51,0)),INDEX($B$50:$W$50,1):INDEX($B$50:$W$50,MATCH($B$3,$B$51:$W$51,0))),0)</f>
        <v>0</v>
      </c>
      <c r="D29" s="11" t="str">
        <f t="shared" ca="1" si="285"/>
        <v/>
      </c>
      <c r="E29" s="33">
        <f t="shared" ca="1" si="286"/>
        <v>0</v>
      </c>
      <c r="F29" s="33"/>
      <c r="G29" s="33">
        <f>SUMIFS(TablaEgresos[Valor],TablaEgresos[Categoría],$A29,TablaEgresos[Mes],F$4)</f>
        <v>0</v>
      </c>
      <c r="H29" s="33" t="str">
        <f t="shared" si="287"/>
        <v/>
      </c>
      <c r="I29" s="11" t="str">
        <f t="shared" si="288"/>
        <v/>
      </c>
      <c r="J29" s="33"/>
      <c r="K29" s="33">
        <f>SUMIFS(TablaEgresos[Valor],TablaEgresos[Categoría],$A29,TablaEgresos[Mes],J$4)</f>
        <v>0</v>
      </c>
      <c r="L29" s="33" t="str">
        <f t="shared" si="289"/>
        <v/>
      </c>
      <c r="M29" s="11" t="str">
        <f t="shared" si="290"/>
        <v/>
      </c>
      <c r="N29" s="33"/>
      <c r="O29" s="33">
        <f>SUMIFS(TablaEgresos[Valor],TablaEgresos[Categoría],$A29,TablaEgresos[Mes],N$4)</f>
        <v>0</v>
      </c>
      <c r="P29" s="33" t="str">
        <f t="shared" si="291"/>
        <v/>
      </c>
      <c r="Q29" s="11" t="str">
        <f t="shared" si="292"/>
        <v/>
      </c>
      <c r="R29" s="33"/>
      <c r="S29" s="33">
        <f>SUMIFS(TablaEgresos[Valor],TablaEgresos[Categoría],$A29,TablaEgresos[Mes],R$4)</f>
        <v>0</v>
      </c>
      <c r="T29" s="33" t="str">
        <f t="shared" si="293"/>
        <v/>
      </c>
      <c r="U29" s="11" t="str">
        <f t="shared" si="294"/>
        <v/>
      </c>
      <c r="V29" s="102">
        <v>0</v>
      </c>
      <c r="W29" s="33">
        <f>SUMIFS(TablaEgresos[Valor],TablaEgresos[Categoría],$A29,TablaEgresos[Mes],V$4)</f>
        <v>0</v>
      </c>
      <c r="X29" s="33">
        <f t="shared" si="295"/>
        <v>0</v>
      </c>
      <c r="Y29" s="11" t="str">
        <f t="shared" si="296"/>
        <v/>
      </c>
      <c r="Z29" s="102">
        <v>6000000</v>
      </c>
      <c r="AA29" s="33">
        <f>SUMIFS(TablaEgresos[Valor],TablaEgresos[Categoría],$A29,TablaEgresos[Mes],Z$4)</f>
        <v>0</v>
      </c>
      <c r="AB29" s="33">
        <f t="shared" si="297"/>
        <v>6000000</v>
      </c>
      <c r="AC29" s="11">
        <f t="shared" si="298"/>
        <v>0</v>
      </c>
      <c r="AD29" s="102">
        <v>6000000</v>
      </c>
      <c r="AE29" s="33">
        <f>SUMIFS(TablaEgresos[Valor],TablaEgresos[Categoría],$A29,TablaEgresos[Mes],AD$4)</f>
        <v>0</v>
      </c>
      <c r="AF29" s="33">
        <f t="shared" si="299"/>
        <v>6000000</v>
      </c>
      <c r="AG29" s="11">
        <f t="shared" si="300"/>
        <v>0</v>
      </c>
      <c r="AH29" s="102">
        <v>6000000</v>
      </c>
      <c r="AI29" s="33">
        <f>SUMIFS(TablaEgresos[Valor],TablaEgresos[Categoría],$A29,TablaEgresos[Mes],AH$4)</f>
        <v>0</v>
      </c>
      <c r="AJ29" s="33">
        <f t="shared" si="301"/>
        <v>6000000</v>
      </c>
      <c r="AK29" s="11">
        <f t="shared" si="302"/>
        <v>0</v>
      </c>
      <c r="AL29" s="102">
        <v>6000000</v>
      </c>
      <c r="AM29" s="33">
        <f>SUMIFS(TablaEgresos[Valor],TablaEgresos[Categoría],$A29,TablaEgresos[Mes],AL$4)</f>
        <v>0</v>
      </c>
      <c r="AN29" s="33">
        <f t="shared" si="303"/>
        <v>6000000</v>
      </c>
      <c r="AO29" s="11">
        <f t="shared" si="304"/>
        <v>0</v>
      </c>
      <c r="AP29" s="102">
        <v>6000000</v>
      </c>
      <c r="AQ29" s="33">
        <f>SUMIFS(TablaEgresos[Valor],TablaEgresos[Categoría],$A29,TablaEgresos[Mes],AP$4)</f>
        <v>0</v>
      </c>
      <c r="AR29" s="33">
        <f t="shared" si="305"/>
        <v>6000000</v>
      </c>
      <c r="AS29" s="11">
        <f t="shared" si="306"/>
        <v>0</v>
      </c>
      <c r="AT29" s="102">
        <v>6000000</v>
      </c>
      <c r="AU29" s="33">
        <f>SUMIFS(TablaEgresos[Valor],TablaEgresos[Categoría],$A29,TablaEgresos[Mes],AT$4)</f>
        <v>0</v>
      </c>
      <c r="AV29" s="33">
        <f t="shared" si="307"/>
        <v>6000000</v>
      </c>
      <c r="AW29" s="11">
        <f t="shared" si="308"/>
        <v>0</v>
      </c>
      <c r="AX29" s="102">
        <v>6000000</v>
      </c>
      <c r="AY29" s="33">
        <f>SUMIFS(TablaEgresos[Valor],TablaEgresos[Categoría],$A29,TablaEgresos[Mes],AX$4)</f>
        <v>0</v>
      </c>
      <c r="AZ29" s="33">
        <f t="shared" si="309"/>
        <v>6000000</v>
      </c>
      <c r="BA29" s="11">
        <f t="shared" si="310"/>
        <v>0</v>
      </c>
      <c r="BB29" s="102">
        <v>6000000</v>
      </c>
      <c r="BC29" s="33">
        <f>SUMIFS(TablaEgresos[Valor],TablaEgresos[Categoría],$A29,TablaEgresos[Mes],BB$4)</f>
        <v>0</v>
      </c>
      <c r="BD29" s="33">
        <f t="shared" si="311"/>
        <v>6000000</v>
      </c>
      <c r="BE29" s="11">
        <f t="shared" si="312"/>
        <v>0</v>
      </c>
      <c r="BF29" s="102">
        <v>6000000</v>
      </c>
      <c r="BG29" s="33">
        <f>SUMIFS(TablaEgresos[Valor],TablaEgresos[Categoría],$A29,TablaEgresos[Mes],BF$4)</f>
        <v>0</v>
      </c>
      <c r="BH29" s="33">
        <f t="shared" si="313"/>
        <v>6000000</v>
      </c>
      <c r="BI29" s="11">
        <f t="shared" si="314"/>
        <v>0</v>
      </c>
      <c r="BJ29" s="102">
        <v>6000000</v>
      </c>
      <c r="BK29" s="33">
        <f>SUMIFS(TablaEgresos[Valor],TablaEgresos[Categoría],$A29,TablaEgresos[Mes],BJ$4)</f>
        <v>0</v>
      </c>
      <c r="BL29" s="33">
        <f t="shared" si="315"/>
        <v>6000000</v>
      </c>
      <c r="BM29" s="11">
        <f t="shared" si="316"/>
        <v>0</v>
      </c>
      <c r="BN29" s="102">
        <v>6000000</v>
      </c>
      <c r="BO29" s="33">
        <f>SUMIFS(TablaEgresos[Valor],TablaEgresos[Categoría],$A29,TablaEgresos[Mes],BN$4)</f>
        <v>0</v>
      </c>
      <c r="BP29" s="33">
        <f t="shared" si="317"/>
        <v>6000000</v>
      </c>
      <c r="BQ29" s="11">
        <f t="shared" si="318"/>
        <v>0</v>
      </c>
      <c r="BR29" s="102">
        <v>6000000</v>
      </c>
      <c r="BS29" s="33">
        <f>SUMIFS(TablaEgresos[Valor],TablaEgresos[Categoría],$A29,TablaEgresos[Mes],BR$4)</f>
        <v>0</v>
      </c>
      <c r="BT29" s="33">
        <f t="shared" si="319"/>
        <v>6000000</v>
      </c>
      <c r="BU29" s="11">
        <f t="shared" si="320"/>
        <v>0</v>
      </c>
      <c r="BV29" s="102">
        <v>6000000</v>
      </c>
      <c r="BW29" s="33">
        <f>SUMIFS(TablaEgresos[Valor],TablaEgresos[Categoría],$A29,TablaEgresos[Mes],BV$4)</f>
        <v>0</v>
      </c>
      <c r="BX29" s="33">
        <f t="shared" si="321"/>
        <v>6000000</v>
      </c>
      <c r="BY29" s="11">
        <f t="shared" si="322"/>
        <v>0</v>
      </c>
      <c r="BZ29" s="102">
        <v>6000000</v>
      </c>
      <c r="CA29" s="33">
        <f>SUMIFS(TablaEgresos[Valor],TablaEgresos[Categoría],$A29,TablaEgresos[Mes],BZ$4)</f>
        <v>0</v>
      </c>
      <c r="CB29" s="33">
        <f t="shared" si="323"/>
        <v>6000000</v>
      </c>
      <c r="CC29" s="11">
        <f t="shared" si="324"/>
        <v>0</v>
      </c>
      <c r="CD29" s="102">
        <v>6000000</v>
      </c>
      <c r="CE29" s="33">
        <f>SUMIFS(TablaEgresos[Valor],TablaEgresos[Categoría],$A29,TablaEgresos[Mes],CD$4)</f>
        <v>0</v>
      </c>
      <c r="CF29" s="33">
        <f t="shared" si="325"/>
        <v>6000000</v>
      </c>
      <c r="CG29" s="11">
        <f t="shared" si="326"/>
        <v>0</v>
      </c>
      <c r="CH29" s="102">
        <v>6000000</v>
      </c>
      <c r="CI29" s="33">
        <f>SUMIFS(TablaEgresos[Valor],TablaEgresos[Categoría],$A29,TablaEgresos[Mes],CH$4)</f>
        <v>0</v>
      </c>
      <c r="CJ29" s="33">
        <f t="shared" si="327"/>
        <v>6000000</v>
      </c>
      <c r="CK29" s="11">
        <f t="shared" si="328"/>
        <v>0</v>
      </c>
      <c r="CL29" s="102">
        <v>6000000</v>
      </c>
      <c r="CM29" s="33">
        <f>SUMIFS(TablaEgresos[Valor],TablaEgresos[Categoría],$A29,TablaEgresos[Mes],CL$4)</f>
        <v>0</v>
      </c>
      <c r="CN29" s="33">
        <f t="shared" si="329"/>
        <v>6000000</v>
      </c>
      <c r="CO29" s="11">
        <f t="shared" si="330"/>
        <v>0</v>
      </c>
    </row>
    <row r="30" spans="1:93" outlineLevel="1" x14ac:dyDescent="0.3">
      <c r="A30" s="101" t="s">
        <v>93</v>
      </c>
      <c r="B30" s="33">
        <f ca="1">IFERROR(AVERAGE(INDEX($B74:$W74,MATCH($B$3,$B$51:$W$51,0)-2):INDEX($B74:$W74,MATCH($B$3,$B$51:$W$51,0))),0)</f>
        <v>0</v>
      </c>
      <c r="C30" s="33">
        <f ca="1">IFERROR(SLOPE(INDEX($B74:$W74,1):INDEX($B74:$W74,MATCH($B$3,$B$51:$W$51,0)),INDEX($B$50:$W$50,1):INDEX($B$50:$W$50,MATCH($B$3,$B$51:$W$51,0))),0)</f>
        <v>0</v>
      </c>
      <c r="D30" s="11" t="str">
        <f t="shared" ca="1" si="285"/>
        <v/>
      </c>
      <c r="E30" s="33">
        <f t="shared" ca="1" si="286"/>
        <v>0</v>
      </c>
      <c r="F30" s="33"/>
      <c r="G30" s="33">
        <f>SUMIFS(TablaEgresos[Valor],TablaEgresos[Categoría],$A30,TablaEgresos[Mes],F$4)</f>
        <v>0</v>
      </c>
      <c r="H30" s="33" t="str">
        <f t="shared" si="287"/>
        <v/>
      </c>
      <c r="I30" s="11" t="str">
        <f t="shared" si="288"/>
        <v/>
      </c>
      <c r="J30" s="33"/>
      <c r="K30" s="33">
        <f>SUMIFS(TablaEgresos[Valor],TablaEgresos[Categoría],$A30,TablaEgresos[Mes],J$4)</f>
        <v>0</v>
      </c>
      <c r="L30" s="33" t="str">
        <f t="shared" si="289"/>
        <v/>
      </c>
      <c r="M30" s="11" t="str">
        <f t="shared" si="290"/>
        <v/>
      </c>
      <c r="N30" s="33"/>
      <c r="O30" s="33">
        <f>SUMIFS(TablaEgresos[Valor],TablaEgresos[Categoría],$A30,TablaEgresos[Mes],N$4)</f>
        <v>0</v>
      </c>
      <c r="P30" s="33" t="str">
        <f t="shared" si="291"/>
        <v/>
      </c>
      <c r="Q30" s="11" t="str">
        <f t="shared" si="292"/>
        <v/>
      </c>
      <c r="R30" s="33"/>
      <c r="S30" s="33">
        <f>SUMIFS(TablaEgresos[Valor],TablaEgresos[Categoría],$A30,TablaEgresos[Mes],R$4)</f>
        <v>0</v>
      </c>
      <c r="T30" s="33" t="str">
        <f t="shared" si="293"/>
        <v/>
      </c>
      <c r="U30" s="11" t="str">
        <f t="shared" si="294"/>
        <v/>
      </c>
      <c r="V30" s="102">
        <v>38979200</v>
      </c>
      <c r="W30" s="33">
        <f>SUMIFS(TablaEgresos[Valor],TablaEgresos[Categoría],$A30,TablaEgresos[Mes],V$4)</f>
        <v>38979200</v>
      </c>
      <c r="X30" s="33">
        <f t="shared" si="295"/>
        <v>0</v>
      </c>
      <c r="Y30" s="11">
        <f t="shared" si="296"/>
        <v>1</v>
      </c>
      <c r="Z30" s="102">
        <v>0</v>
      </c>
      <c r="AA30" s="33">
        <f>SUMIFS(TablaEgresos[Valor],TablaEgresos[Categoría],$A30,TablaEgresos[Mes],Z$4)</f>
        <v>0</v>
      </c>
      <c r="AB30" s="33">
        <f t="shared" si="297"/>
        <v>0</v>
      </c>
      <c r="AC30" s="11" t="str">
        <f t="shared" si="298"/>
        <v/>
      </c>
      <c r="AD30" s="102">
        <v>0</v>
      </c>
      <c r="AE30" s="33">
        <f>SUMIFS(TablaEgresos[Valor],TablaEgresos[Categoría],$A30,TablaEgresos[Mes],AD$4)</f>
        <v>0</v>
      </c>
      <c r="AF30" s="33">
        <f t="shared" si="299"/>
        <v>0</v>
      </c>
      <c r="AG30" s="11" t="str">
        <f t="shared" si="300"/>
        <v/>
      </c>
      <c r="AH30" s="102">
        <v>0</v>
      </c>
      <c r="AI30" s="33">
        <f>SUMIFS(TablaEgresos[Valor],TablaEgresos[Categoría],$A30,TablaEgresos[Mes],AH$4)</f>
        <v>0</v>
      </c>
      <c r="AJ30" s="33">
        <f t="shared" si="301"/>
        <v>0</v>
      </c>
      <c r="AK30" s="11" t="str">
        <f t="shared" si="302"/>
        <v/>
      </c>
      <c r="AL30" s="102">
        <v>0</v>
      </c>
      <c r="AM30" s="33">
        <f>SUMIFS(TablaEgresos[Valor],TablaEgresos[Categoría],$A30,TablaEgresos[Mes],AL$4)</f>
        <v>0</v>
      </c>
      <c r="AN30" s="33">
        <f t="shared" si="303"/>
        <v>0</v>
      </c>
      <c r="AO30" s="11" t="str">
        <f t="shared" si="304"/>
        <v/>
      </c>
      <c r="AP30" s="102">
        <v>0</v>
      </c>
      <c r="AQ30" s="33">
        <f>SUMIFS(TablaEgresos[Valor],TablaEgresos[Categoría],$A30,TablaEgresos[Mes],AP$4)</f>
        <v>0</v>
      </c>
      <c r="AR30" s="33">
        <f t="shared" si="305"/>
        <v>0</v>
      </c>
      <c r="AS30" s="11" t="str">
        <f t="shared" si="306"/>
        <v/>
      </c>
      <c r="AT30" s="102">
        <v>0</v>
      </c>
      <c r="AU30" s="33">
        <f>SUMIFS(TablaEgresos[Valor],TablaEgresos[Categoría],$A30,TablaEgresos[Mes],AT$4)</f>
        <v>0</v>
      </c>
      <c r="AV30" s="33">
        <f t="shared" si="307"/>
        <v>0</v>
      </c>
      <c r="AW30" s="11" t="str">
        <f t="shared" si="308"/>
        <v/>
      </c>
      <c r="AX30" s="102">
        <v>0</v>
      </c>
      <c r="AY30" s="33">
        <f>SUMIFS(TablaEgresos[Valor],TablaEgresos[Categoría],$A30,TablaEgresos[Mes],AX$4)</f>
        <v>0</v>
      </c>
      <c r="AZ30" s="33">
        <f t="shared" si="309"/>
        <v>0</v>
      </c>
      <c r="BA30" s="11" t="str">
        <f t="shared" si="310"/>
        <v/>
      </c>
      <c r="BB30" s="102">
        <v>0</v>
      </c>
      <c r="BC30" s="33">
        <f>SUMIFS(TablaEgresos[Valor],TablaEgresos[Categoría],$A30,TablaEgresos[Mes],BB$4)</f>
        <v>0</v>
      </c>
      <c r="BD30" s="33">
        <f t="shared" si="311"/>
        <v>0</v>
      </c>
      <c r="BE30" s="11" t="str">
        <f t="shared" si="312"/>
        <v/>
      </c>
      <c r="BF30" s="102">
        <v>0</v>
      </c>
      <c r="BG30" s="33">
        <f>SUMIFS(TablaEgresos[Valor],TablaEgresos[Categoría],$A30,TablaEgresos[Mes],BF$4)</f>
        <v>0</v>
      </c>
      <c r="BH30" s="33">
        <f t="shared" si="313"/>
        <v>0</v>
      </c>
      <c r="BI30" s="11" t="str">
        <f t="shared" si="314"/>
        <v/>
      </c>
      <c r="BJ30" s="102">
        <v>0</v>
      </c>
      <c r="BK30" s="33">
        <f>SUMIFS(TablaEgresos[Valor],TablaEgresos[Categoría],$A30,TablaEgresos[Mes],BJ$4)</f>
        <v>0</v>
      </c>
      <c r="BL30" s="33">
        <f t="shared" si="315"/>
        <v>0</v>
      </c>
      <c r="BM30" s="11" t="str">
        <f t="shared" si="316"/>
        <v/>
      </c>
      <c r="BN30" s="102">
        <v>0</v>
      </c>
      <c r="BO30" s="33">
        <f>SUMIFS(TablaEgresos[Valor],TablaEgresos[Categoría],$A30,TablaEgresos[Mes],BN$4)</f>
        <v>0</v>
      </c>
      <c r="BP30" s="33">
        <f t="shared" si="317"/>
        <v>0</v>
      </c>
      <c r="BQ30" s="11" t="str">
        <f t="shared" si="318"/>
        <v/>
      </c>
      <c r="BR30" s="102">
        <v>0</v>
      </c>
      <c r="BS30" s="33">
        <f>SUMIFS(TablaEgresos[Valor],TablaEgresos[Categoría],$A30,TablaEgresos[Mes],BR$4)</f>
        <v>0</v>
      </c>
      <c r="BT30" s="33">
        <f t="shared" si="319"/>
        <v>0</v>
      </c>
      <c r="BU30" s="11" t="str">
        <f t="shared" si="320"/>
        <v/>
      </c>
      <c r="BV30" s="102">
        <v>0</v>
      </c>
      <c r="BW30" s="33">
        <f>SUMIFS(TablaEgresos[Valor],TablaEgresos[Categoría],$A30,TablaEgresos[Mes],BV$4)</f>
        <v>0</v>
      </c>
      <c r="BX30" s="33">
        <f t="shared" si="321"/>
        <v>0</v>
      </c>
      <c r="BY30" s="11" t="str">
        <f t="shared" si="322"/>
        <v/>
      </c>
      <c r="BZ30" s="102">
        <v>0</v>
      </c>
      <c r="CA30" s="33">
        <f>SUMIFS(TablaEgresos[Valor],TablaEgresos[Categoría],$A30,TablaEgresos[Mes],BZ$4)</f>
        <v>0</v>
      </c>
      <c r="CB30" s="33">
        <f t="shared" si="323"/>
        <v>0</v>
      </c>
      <c r="CC30" s="11" t="str">
        <f t="shared" si="324"/>
        <v/>
      </c>
      <c r="CD30" s="102">
        <v>0</v>
      </c>
      <c r="CE30" s="33">
        <f>SUMIFS(TablaEgresos[Valor],TablaEgresos[Categoría],$A30,TablaEgresos[Mes],CD$4)</f>
        <v>0</v>
      </c>
      <c r="CF30" s="33">
        <f t="shared" si="325"/>
        <v>0</v>
      </c>
      <c r="CG30" s="11" t="str">
        <f t="shared" si="326"/>
        <v/>
      </c>
      <c r="CH30" s="102">
        <v>0</v>
      </c>
      <c r="CI30" s="33">
        <f>SUMIFS(TablaEgresos[Valor],TablaEgresos[Categoría],$A30,TablaEgresos[Mes],CH$4)</f>
        <v>0</v>
      </c>
      <c r="CJ30" s="33">
        <f t="shared" si="327"/>
        <v>0</v>
      </c>
      <c r="CK30" s="11" t="str">
        <f t="shared" si="328"/>
        <v/>
      </c>
      <c r="CL30" s="102">
        <v>0</v>
      </c>
      <c r="CM30" s="33">
        <f>SUMIFS(TablaEgresos[Valor],TablaEgresos[Categoría],$A30,TablaEgresos[Mes],CL$4)</f>
        <v>0</v>
      </c>
      <c r="CN30" s="33">
        <f t="shared" si="329"/>
        <v>0</v>
      </c>
      <c r="CO30" s="11" t="str">
        <f t="shared" si="330"/>
        <v/>
      </c>
    </row>
    <row r="31" spans="1:93" x14ac:dyDescent="0.3">
      <c r="A31" s="117" t="s">
        <v>406</v>
      </c>
      <c r="B31" s="118">
        <f ca="1">SUM(B25:B30)</f>
        <v>8832064.3633333333</v>
      </c>
      <c r="C31" s="118">
        <f ca="1">SUM(C25:C30)</f>
        <v>3952142.8109999998</v>
      </c>
      <c r="D31" s="119">
        <f ca="1">IF(B31=0,"",C31/B31)</f>
        <v>0.447476676846636</v>
      </c>
      <c r="E31" s="118">
        <f ca="1">SUM(E25:E30)</f>
        <v>20689000</v>
      </c>
      <c r="F31" s="118">
        <f>SUM(F25:F30)</f>
        <v>0</v>
      </c>
      <c r="G31" s="118">
        <f>SUM(G25:G30)</f>
        <v>0</v>
      </c>
      <c r="H31" s="118">
        <f>SUM(H25:H30)</f>
        <v>0</v>
      </c>
      <c r="I31" s="119" t="str">
        <f>IF(F31=0,"",G31/F31)</f>
        <v/>
      </c>
      <c r="J31" s="118">
        <f t="shared" ref="J31:L31" si="375">SUM(J25:J30)</f>
        <v>0</v>
      </c>
      <c r="K31" s="118">
        <f t="shared" si="375"/>
        <v>6111308.3700000001</v>
      </c>
      <c r="L31" s="118">
        <f t="shared" si="375"/>
        <v>0</v>
      </c>
      <c r="M31" s="119" t="str">
        <f t="shared" ref="M31" si="376">IF(J31=0,"",K31/J31)</f>
        <v/>
      </c>
      <c r="N31" s="118">
        <f t="shared" ref="N31:P31" si="377">SUM(N25:N30)</f>
        <v>0</v>
      </c>
      <c r="O31" s="118">
        <f t="shared" si="377"/>
        <v>7760958.8399999999</v>
      </c>
      <c r="P31" s="118">
        <f t="shared" si="377"/>
        <v>0</v>
      </c>
      <c r="Q31" s="119" t="str">
        <f t="shared" ref="Q31" si="378">IF(N31=0,"",O31/N31)</f>
        <v/>
      </c>
      <c r="R31" s="118">
        <f t="shared" ref="R31:T31" si="379">SUM(R25:R30)</f>
        <v>0</v>
      </c>
      <c r="S31" s="118">
        <f t="shared" si="379"/>
        <v>12623925.879999999</v>
      </c>
      <c r="T31" s="118">
        <f t="shared" si="379"/>
        <v>0</v>
      </c>
      <c r="U31" s="119" t="str">
        <f t="shared" ref="U31" si="380">IF(R31=0,"",S31/R31)</f>
        <v/>
      </c>
      <c r="V31" s="118">
        <f t="shared" ref="V31:X31" si="381">SUM(V25:V30)</f>
        <v>167771151.18000001</v>
      </c>
      <c r="W31" s="118">
        <f t="shared" si="381"/>
        <v>149241428.35000002</v>
      </c>
      <c r="X31" s="118">
        <f t="shared" si="381"/>
        <v>18529722.829999991</v>
      </c>
      <c r="Y31" s="119">
        <f t="shared" ref="Y31" si="382">IF(V31=0,"",W31/V31)</f>
        <v>0.88955358117487293</v>
      </c>
      <c r="Z31" s="118">
        <f t="shared" ref="Z31:AB31" si="383">SUM(Z25:Z30)</f>
        <v>49073000</v>
      </c>
      <c r="AA31" s="118">
        <f t="shared" si="383"/>
        <v>0</v>
      </c>
      <c r="AB31" s="118">
        <f t="shared" si="383"/>
        <v>49073000</v>
      </c>
      <c r="AC31" s="119">
        <f t="shared" ref="AC31" si="384">IF(Z31=0,"",AA31/Z31)</f>
        <v>0</v>
      </c>
      <c r="AD31" s="118">
        <f t="shared" ref="AD31:AF31" si="385">SUM(AD25:AD30)</f>
        <v>49073000</v>
      </c>
      <c r="AE31" s="118">
        <f t="shared" si="385"/>
        <v>0</v>
      </c>
      <c r="AF31" s="118">
        <f t="shared" si="385"/>
        <v>49073000</v>
      </c>
      <c r="AG31" s="119">
        <f t="shared" ref="AG31" si="386">IF(AD31=0,"",AE31/AD31)</f>
        <v>0</v>
      </c>
      <c r="AH31" s="118">
        <f t="shared" ref="AH31:AJ31" si="387">SUM(AH25:AH30)</f>
        <v>49073000</v>
      </c>
      <c r="AI31" s="118">
        <f t="shared" si="387"/>
        <v>0</v>
      </c>
      <c r="AJ31" s="118">
        <f t="shared" si="387"/>
        <v>49073000</v>
      </c>
      <c r="AK31" s="119">
        <f t="shared" ref="AK31" si="388">IF(AH31=0,"",AI31/AH31)</f>
        <v>0</v>
      </c>
      <c r="AL31" s="118">
        <f t="shared" ref="AL31:AN31" si="389">SUM(AL25:AL30)</f>
        <v>49073000</v>
      </c>
      <c r="AM31" s="118">
        <f t="shared" si="389"/>
        <v>0</v>
      </c>
      <c r="AN31" s="118">
        <f t="shared" si="389"/>
        <v>49073000</v>
      </c>
      <c r="AO31" s="119">
        <f t="shared" ref="AO31" si="390">IF(AL31=0,"",AM31/AL31)</f>
        <v>0</v>
      </c>
      <c r="AP31" s="118">
        <f t="shared" ref="AP31:AR31" si="391">SUM(AP25:AP30)</f>
        <v>49073000</v>
      </c>
      <c r="AQ31" s="118">
        <f t="shared" si="391"/>
        <v>0</v>
      </c>
      <c r="AR31" s="118">
        <f t="shared" si="391"/>
        <v>49073000</v>
      </c>
      <c r="AS31" s="119">
        <f t="shared" ref="AS31" si="392">IF(AP31=0,"",AQ31/AP31)</f>
        <v>0</v>
      </c>
      <c r="AT31" s="120">
        <f t="shared" ref="AT31:AX31" si="393">SUM(AT25:AT30)</f>
        <v>49073000</v>
      </c>
      <c r="AU31" s="118">
        <f t="shared" si="393"/>
        <v>0</v>
      </c>
      <c r="AV31" s="118">
        <f t="shared" si="393"/>
        <v>49073000</v>
      </c>
      <c r="AW31" s="119">
        <f t="shared" ref="AW31" si="394">IF(AT31=0,"",AU31/AT31)</f>
        <v>0</v>
      </c>
      <c r="AX31" s="120">
        <f t="shared" si="393"/>
        <v>49073000</v>
      </c>
      <c r="AY31" s="118">
        <f t="shared" ref="AY31:AZ31" si="395">SUM(AY25:AY30)</f>
        <v>0</v>
      </c>
      <c r="AZ31" s="118">
        <f t="shared" si="395"/>
        <v>49073000</v>
      </c>
      <c r="BA31" s="119">
        <f t="shared" ref="BA31" si="396">IF(AX31=0,"",AY31/AX31)</f>
        <v>0</v>
      </c>
      <c r="BB31" s="120">
        <f t="shared" ref="BB31" si="397">SUM(BB25:BB30)</f>
        <v>49073000</v>
      </c>
      <c r="BC31" s="118">
        <f t="shared" ref="BC31:BD31" si="398">SUM(BC25:BC30)</f>
        <v>0</v>
      </c>
      <c r="BD31" s="118">
        <f t="shared" si="398"/>
        <v>49073000</v>
      </c>
      <c r="BE31" s="119">
        <f t="shared" ref="BE31" si="399">IF(BB31=0,"",BC31/BB31)</f>
        <v>0</v>
      </c>
      <c r="BF31" s="120">
        <f t="shared" ref="BF31" si="400">SUM(BF25:BF30)</f>
        <v>49073000</v>
      </c>
      <c r="BG31" s="118">
        <f t="shared" ref="BG31:BH31" si="401">SUM(BG25:BG30)</f>
        <v>0</v>
      </c>
      <c r="BH31" s="118">
        <f t="shared" si="401"/>
        <v>49073000</v>
      </c>
      <c r="BI31" s="119">
        <f t="shared" ref="BI31" si="402">IF(BF31=0,"",BG31/BF31)</f>
        <v>0</v>
      </c>
      <c r="BJ31" s="120">
        <f t="shared" ref="BJ31" si="403">SUM(BJ25:BJ30)</f>
        <v>49073000</v>
      </c>
      <c r="BK31" s="118">
        <f t="shared" ref="BK31:BL31" si="404">SUM(BK25:BK30)</f>
        <v>0</v>
      </c>
      <c r="BL31" s="118">
        <f t="shared" si="404"/>
        <v>49073000</v>
      </c>
      <c r="BM31" s="119">
        <f t="shared" ref="BM31" si="405">IF(BJ31=0,"",BK31/BJ31)</f>
        <v>0</v>
      </c>
      <c r="BN31" s="120">
        <f t="shared" ref="BN31" si="406">SUM(BN25:BN30)</f>
        <v>49073000</v>
      </c>
      <c r="BO31" s="118">
        <f t="shared" ref="BO31:BP31" si="407">SUM(BO25:BO30)</f>
        <v>0</v>
      </c>
      <c r="BP31" s="118">
        <f t="shared" si="407"/>
        <v>49073000</v>
      </c>
      <c r="BQ31" s="119">
        <f t="shared" ref="BQ31" si="408">IF(BN31=0,"",BO31/BN31)</f>
        <v>0</v>
      </c>
      <c r="BR31" s="120">
        <f t="shared" ref="BR31" si="409">SUM(BR25:BR30)</f>
        <v>49073000</v>
      </c>
      <c r="BS31" s="118">
        <f t="shared" ref="BS31:BT31" si="410">SUM(BS25:BS30)</f>
        <v>0</v>
      </c>
      <c r="BT31" s="118">
        <f t="shared" si="410"/>
        <v>49073000</v>
      </c>
      <c r="BU31" s="119">
        <f t="shared" ref="BU31" si="411">IF(BR31=0,"",BS31/BR31)</f>
        <v>0</v>
      </c>
      <c r="BV31" s="120">
        <f t="shared" ref="BV31" si="412">SUM(BV25:BV30)</f>
        <v>49073000</v>
      </c>
      <c r="BW31" s="118">
        <f t="shared" ref="BW31:BX31" si="413">SUM(BW25:BW30)</f>
        <v>0</v>
      </c>
      <c r="BX31" s="118">
        <f t="shared" si="413"/>
        <v>49073000</v>
      </c>
      <c r="BY31" s="119">
        <f t="shared" ref="BY31" si="414">IF(BV31=0,"",BW31/BV31)</f>
        <v>0</v>
      </c>
      <c r="BZ31" s="120">
        <f t="shared" ref="BZ31" si="415">SUM(BZ25:BZ30)</f>
        <v>49073000</v>
      </c>
      <c r="CA31" s="118">
        <f t="shared" ref="CA31:CB31" si="416">SUM(CA25:CA30)</f>
        <v>0</v>
      </c>
      <c r="CB31" s="118">
        <f t="shared" si="416"/>
        <v>49073000</v>
      </c>
      <c r="CC31" s="119">
        <f t="shared" ref="CC31" si="417">IF(BZ31=0,"",CA31/BZ31)</f>
        <v>0</v>
      </c>
      <c r="CD31" s="120">
        <f t="shared" ref="CD31" si="418">SUM(CD25:CD30)</f>
        <v>49073000</v>
      </c>
      <c r="CE31" s="118">
        <f t="shared" ref="CE31:CF31" si="419">SUM(CE25:CE30)</f>
        <v>0</v>
      </c>
      <c r="CF31" s="118">
        <f t="shared" si="419"/>
        <v>49073000</v>
      </c>
      <c r="CG31" s="119">
        <f t="shared" ref="CG31" si="420">IF(CD31=0,"",CE31/CD31)</f>
        <v>0</v>
      </c>
      <c r="CH31" s="120">
        <f t="shared" ref="CH31" si="421">SUM(CH25:CH30)</f>
        <v>49073000</v>
      </c>
      <c r="CI31" s="118">
        <f t="shared" ref="CI31:CJ31" si="422">SUM(CI25:CI30)</f>
        <v>0</v>
      </c>
      <c r="CJ31" s="118">
        <f t="shared" si="422"/>
        <v>49073000</v>
      </c>
      <c r="CK31" s="119">
        <f t="shared" ref="CK31" si="423">IF(CH31=0,"",CI31/CH31)</f>
        <v>0</v>
      </c>
      <c r="CL31" s="120">
        <f t="shared" ref="CL31" si="424">SUM(CL25:CL30)</f>
        <v>49073000</v>
      </c>
      <c r="CM31" s="118">
        <f t="shared" ref="CM31:CN31" si="425">SUM(CM25:CM30)</f>
        <v>0</v>
      </c>
      <c r="CN31" s="118">
        <f t="shared" si="425"/>
        <v>49073000</v>
      </c>
      <c r="CO31" s="119">
        <f t="shared" ref="CO31" si="426">IF(CL31=0,"",CM31/CL31)</f>
        <v>0</v>
      </c>
    </row>
    <row r="32" spans="1:93" x14ac:dyDescent="0.3">
      <c r="A32" s="121" t="s">
        <v>407</v>
      </c>
      <c r="B32" s="122"/>
      <c r="C32" s="122"/>
      <c r="D32" s="123"/>
      <c r="E32" s="122"/>
      <c r="F32" s="122"/>
      <c r="G32" s="122"/>
      <c r="H32" s="122"/>
      <c r="I32" s="123"/>
      <c r="J32" s="122"/>
      <c r="K32" s="122"/>
      <c r="L32" s="122"/>
      <c r="M32" s="123"/>
      <c r="N32" s="122"/>
      <c r="O32" s="122"/>
      <c r="P32" s="122"/>
      <c r="Q32" s="123"/>
      <c r="R32" s="122"/>
      <c r="S32" s="122"/>
      <c r="T32" s="122"/>
      <c r="U32" s="123"/>
      <c r="V32" s="122"/>
      <c r="W32" s="122"/>
      <c r="X32" s="122"/>
      <c r="Y32" s="123"/>
      <c r="Z32" s="122"/>
      <c r="AA32" s="122"/>
      <c r="AB32" s="122"/>
      <c r="AC32" s="123"/>
      <c r="AD32" s="122"/>
      <c r="AE32" s="122"/>
      <c r="AF32" s="122"/>
      <c r="AG32" s="123"/>
      <c r="AH32" s="122"/>
      <c r="AI32" s="122"/>
      <c r="AJ32" s="122"/>
      <c r="AK32" s="123"/>
      <c r="AL32" s="122"/>
      <c r="AM32" s="122"/>
      <c r="AN32" s="122"/>
      <c r="AO32" s="123"/>
      <c r="AP32" s="122"/>
      <c r="AQ32" s="122"/>
      <c r="AR32" s="122"/>
      <c r="AS32" s="123"/>
      <c r="AT32" s="124"/>
      <c r="AU32" s="122"/>
      <c r="AV32" s="122"/>
      <c r="AW32" s="123"/>
      <c r="AX32" s="124"/>
      <c r="AY32" s="122"/>
      <c r="AZ32" s="122"/>
      <c r="BA32" s="123"/>
      <c r="BB32" s="124"/>
      <c r="BC32" s="122"/>
      <c r="BD32" s="122"/>
      <c r="BE32" s="123"/>
      <c r="BF32" s="124"/>
      <c r="BG32" s="122"/>
      <c r="BH32" s="122"/>
      <c r="BI32" s="123"/>
      <c r="BJ32" s="124"/>
      <c r="BK32" s="122"/>
      <c r="BL32" s="122"/>
      <c r="BM32" s="123"/>
      <c r="BN32" s="124"/>
      <c r="BO32" s="122"/>
      <c r="BP32" s="122"/>
      <c r="BQ32" s="123"/>
      <c r="BR32" s="124"/>
      <c r="BS32" s="122"/>
      <c r="BT32" s="122"/>
      <c r="BU32" s="123"/>
      <c r="BV32" s="124"/>
      <c r="BW32" s="122"/>
      <c r="BX32" s="122"/>
      <c r="BY32" s="123"/>
      <c r="BZ32" s="124"/>
      <c r="CA32" s="122"/>
      <c r="CB32" s="122"/>
      <c r="CC32" s="123"/>
      <c r="CD32" s="124"/>
      <c r="CE32" s="122"/>
      <c r="CF32" s="122"/>
      <c r="CG32" s="123"/>
      <c r="CH32" s="124"/>
      <c r="CI32" s="122"/>
      <c r="CJ32" s="122"/>
      <c r="CK32" s="123"/>
      <c r="CL32" s="124"/>
      <c r="CM32" s="122"/>
      <c r="CN32" s="122"/>
      <c r="CO32" s="123"/>
    </row>
    <row r="33" spans="1:93" outlineLevel="1" x14ac:dyDescent="0.3">
      <c r="A33" s="101" t="s">
        <v>1186</v>
      </c>
      <c r="B33" s="33">
        <f ca="1">IFERROR(AVERAGE(INDEX($B77:$W77,MATCH($B$3,$B$51:$W$51,0)-2):INDEX($B77:$W77,MATCH($B$3,$B$51:$W$51,0))),0)</f>
        <v>8152503.4733333327</v>
      </c>
      <c r="C33" s="33">
        <f ca="1">IFERROR(SLOPE(INDEX($B77:$W77,1):INDEX($B77:$W77,MATCH($B$3,$B$51:$W$51,0)),INDEX($B$50:$W$50,1):INDEX($B$50:$W$50,MATCH($B$3,$B$51:$W$51,0))),0)</f>
        <v>-4894011.209999999</v>
      </c>
      <c r="D33" s="11">
        <f t="shared" ref="D33:D37" ca="1" si="427">IF($B33=0,"",$C33/$B33)</f>
        <v>-0.60030777368058863</v>
      </c>
      <c r="E33" s="33">
        <f t="shared" ref="E33:E37" ca="1" si="428">MAX(0,ROUND($B33+$C33*3,-3))</f>
        <v>0</v>
      </c>
      <c r="F33" s="33"/>
      <c r="G33" s="33">
        <f>SUMIFS(TablaEgresos[Valor],TablaEgresos[Categoría],$A33,TablaEgresos[Mes],F$4)</f>
        <v>12734888.539999999</v>
      </c>
      <c r="H33" s="33" t="str">
        <f t="shared" ref="H33:H37" si="429">IF(F33="","",F33-G33)</f>
        <v/>
      </c>
      <c r="I33" s="11" t="str">
        <f t="shared" ref="I33:I37" si="430">IF(OR(F33="",F33=0),"",G33/F33)</f>
        <v/>
      </c>
      <c r="J33" s="33"/>
      <c r="K33" s="33">
        <f>SUMIFS(TablaEgresos[Valor],TablaEgresos[Categoría],$A33,TablaEgresos[Mes],J$4)</f>
        <v>17596478.449999999</v>
      </c>
      <c r="L33" s="33" t="str">
        <f t="shared" ref="L33:L37" si="431">IF(J33="","",J33-K33)</f>
        <v/>
      </c>
      <c r="M33" s="11" t="str">
        <f t="shared" ref="M33:M37" si="432">IF(OR(J33="",J33=0),"",K33/J33)</f>
        <v/>
      </c>
      <c r="N33" s="33"/>
      <c r="O33" s="33">
        <f>SUMIFS(TablaEgresos[Valor],TablaEgresos[Categoría],$A33,TablaEgresos[Mes],N$4)</f>
        <v>6861031.9699999997</v>
      </c>
      <c r="P33" s="33" t="str">
        <f t="shared" ref="P33:P37" si="433">IF(N33="","",N33-O33)</f>
        <v/>
      </c>
      <c r="Q33" s="11" t="str">
        <f t="shared" ref="Q33:Q37" si="434">IF(OR(N33="",N33=0),"",O33/N33)</f>
        <v/>
      </c>
      <c r="R33" s="33"/>
      <c r="S33" s="33">
        <f>SUMIFS(TablaEgresos[Valor],TablaEgresos[Categoría],$A33,TablaEgresos[Mes],R$4)</f>
        <v>0</v>
      </c>
      <c r="T33" s="33" t="str">
        <f t="shared" ref="T33:T37" si="435">IF(R33="","",R33-S33)</f>
        <v/>
      </c>
      <c r="U33" s="11" t="str">
        <f t="shared" ref="U33:U37" si="436">IF(OR(R33="",R33=0),"",S33/R33)</f>
        <v/>
      </c>
      <c r="V33" s="102">
        <v>21000000</v>
      </c>
      <c r="W33" s="33">
        <f>SUMIFS(TablaEgresos[Valor],TablaEgresos[Categoría],$A33,TablaEgresos[Mes],V$4)</f>
        <v>17653260.960000001</v>
      </c>
      <c r="X33" s="33">
        <f t="shared" ref="X33:X37" si="437">IF(V33="","",V33-W33)</f>
        <v>3346739.0399999991</v>
      </c>
      <c r="Y33" s="11">
        <f t="shared" ref="Y33:Y37" si="438">IF(OR(V33="",V33=0),"",W33/V33)</f>
        <v>0.84063147428571428</v>
      </c>
      <c r="Z33" s="102">
        <v>21000000</v>
      </c>
      <c r="AA33" s="33">
        <f>SUMIFS(TablaEgresos[Valor],TablaEgresos[Categoría],$A33,TablaEgresos[Mes],Z$4)</f>
        <v>0</v>
      </c>
      <c r="AB33" s="33">
        <f t="shared" ref="AB33:AB37" si="439">IF(Z33="","",Z33-AA33)</f>
        <v>21000000</v>
      </c>
      <c r="AC33" s="11">
        <f t="shared" ref="AC33:AC37" si="440">IF(OR(Z33="",Z33=0),"",AA33/Z33)</f>
        <v>0</v>
      </c>
      <c r="AD33" s="102">
        <v>21000000</v>
      </c>
      <c r="AE33" s="33">
        <f>SUMIFS(TablaEgresos[Valor],TablaEgresos[Categoría],$A33,TablaEgresos[Mes],AD$4)</f>
        <v>0</v>
      </c>
      <c r="AF33" s="33">
        <f t="shared" ref="AF33:AF37" si="441">IF(AD33="","",AD33-AE33)</f>
        <v>21000000</v>
      </c>
      <c r="AG33" s="11">
        <f t="shared" ref="AG33:AG37" si="442">IF(OR(AD33="",AD33=0),"",AE33/AD33)</f>
        <v>0</v>
      </c>
      <c r="AH33" s="102">
        <v>21000000</v>
      </c>
      <c r="AI33" s="33">
        <f>SUMIFS(TablaEgresos[Valor],TablaEgresos[Categoría],$A33,TablaEgresos[Mes],AH$4)</f>
        <v>0</v>
      </c>
      <c r="AJ33" s="33">
        <f t="shared" ref="AJ33:AJ37" si="443">IF(AH33="","",AH33-AI33)</f>
        <v>21000000</v>
      </c>
      <c r="AK33" s="11">
        <f t="shared" ref="AK33:AK37" si="444">IF(OR(AH33="",AH33=0),"",AI33/AH33)</f>
        <v>0</v>
      </c>
      <c r="AL33" s="102">
        <v>21000000</v>
      </c>
      <c r="AM33" s="33">
        <f>SUMIFS(TablaEgresos[Valor],TablaEgresos[Categoría],$A33,TablaEgresos[Mes],AL$4)</f>
        <v>0</v>
      </c>
      <c r="AN33" s="33">
        <f t="shared" ref="AN33:AN37" si="445">IF(AL33="","",AL33-AM33)</f>
        <v>21000000</v>
      </c>
      <c r="AO33" s="11">
        <f t="shared" ref="AO33:AO37" si="446">IF(OR(AL33="",AL33=0),"",AM33/AL33)</f>
        <v>0</v>
      </c>
      <c r="AP33" s="102">
        <v>21000000</v>
      </c>
      <c r="AQ33" s="33">
        <f>SUMIFS(TablaEgresos[Valor],TablaEgresos[Categoría],$A33,TablaEgresos[Mes],AP$4)</f>
        <v>0</v>
      </c>
      <c r="AR33" s="33">
        <f t="shared" ref="AR33:AR37" si="447">IF(AP33="","",AP33-AQ33)</f>
        <v>21000000</v>
      </c>
      <c r="AS33" s="11">
        <f t="shared" ref="AS33:AS37" si="448">IF(OR(AP33="",AP33=0),"",AQ33/AP33)</f>
        <v>0</v>
      </c>
      <c r="AT33" s="102">
        <v>21000000</v>
      </c>
      <c r="AU33" s="33">
        <f>SUMIFS(TablaEgresos[Valor],TablaEgresos[Categoría],$A33,TablaEgresos[Mes],AT$4)</f>
        <v>0</v>
      </c>
      <c r="AV33" s="33">
        <f t="shared" ref="AV33:AV37" si="449">IF(AT33="","",AT33-AU33)</f>
        <v>21000000</v>
      </c>
      <c r="AW33" s="11">
        <f t="shared" ref="AW33:AW37" si="450">IF(OR(AT33="",AT33=0),"",AU33/AT33)</f>
        <v>0</v>
      </c>
      <c r="AX33" s="102">
        <v>21000000</v>
      </c>
      <c r="AY33" s="33">
        <f>SUMIFS(TablaEgresos[Valor],TablaEgresos[Categoría],$A33,TablaEgresos[Mes],AX$4)</f>
        <v>0</v>
      </c>
      <c r="AZ33" s="33">
        <f t="shared" ref="AZ33:AZ37" si="451">IF(AX33="","",AX33-AY33)</f>
        <v>21000000</v>
      </c>
      <c r="BA33" s="11">
        <f t="shared" ref="BA33:BA37" si="452">IF(OR(AX33="",AX33=0),"",AY33/AX33)</f>
        <v>0</v>
      </c>
      <c r="BB33" s="102">
        <v>21000000</v>
      </c>
      <c r="BC33" s="33">
        <f>SUMIFS(TablaEgresos[Valor],TablaEgresos[Categoría],$A33,TablaEgresos[Mes],BB$4)</f>
        <v>0</v>
      </c>
      <c r="BD33" s="33">
        <f t="shared" ref="BD33:BD37" si="453">IF(BB33="","",BB33-BC33)</f>
        <v>21000000</v>
      </c>
      <c r="BE33" s="11">
        <f t="shared" ref="BE33:BE37" si="454">IF(OR(BB33="",BB33=0),"",BC33/BB33)</f>
        <v>0</v>
      </c>
      <c r="BF33" s="102">
        <v>21000000</v>
      </c>
      <c r="BG33" s="33">
        <f>SUMIFS(TablaEgresos[Valor],TablaEgresos[Categoría],$A33,TablaEgresos[Mes],BF$4)</f>
        <v>0</v>
      </c>
      <c r="BH33" s="33">
        <f t="shared" ref="BH33:BH37" si="455">IF(BF33="","",BF33-BG33)</f>
        <v>21000000</v>
      </c>
      <c r="BI33" s="11">
        <f t="shared" ref="BI33:BI37" si="456">IF(OR(BF33="",BF33=0),"",BG33/BF33)</f>
        <v>0</v>
      </c>
      <c r="BJ33" s="102">
        <v>21000000</v>
      </c>
      <c r="BK33" s="33">
        <f>SUMIFS(TablaEgresos[Valor],TablaEgresos[Categoría],$A33,TablaEgresos[Mes],BJ$4)</f>
        <v>0</v>
      </c>
      <c r="BL33" s="33">
        <f t="shared" ref="BL33:BL37" si="457">IF(BJ33="","",BJ33-BK33)</f>
        <v>21000000</v>
      </c>
      <c r="BM33" s="11">
        <f t="shared" ref="BM33:BM37" si="458">IF(OR(BJ33="",BJ33=0),"",BK33/BJ33)</f>
        <v>0</v>
      </c>
      <c r="BN33" s="102">
        <v>21000000</v>
      </c>
      <c r="BO33" s="33">
        <f>SUMIFS(TablaEgresos[Valor],TablaEgresos[Categoría],$A33,TablaEgresos[Mes],BN$4)</f>
        <v>0</v>
      </c>
      <c r="BP33" s="33">
        <f t="shared" ref="BP33:BP37" si="459">IF(BN33="","",BN33-BO33)</f>
        <v>21000000</v>
      </c>
      <c r="BQ33" s="11">
        <f t="shared" ref="BQ33:BQ37" si="460">IF(OR(BN33="",BN33=0),"",BO33/BN33)</f>
        <v>0</v>
      </c>
      <c r="BR33" s="102">
        <v>21000000</v>
      </c>
      <c r="BS33" s="33">
        <f>SUMIFS(TablaEgresos[Valor],TablaEgresos[Categoría],$A33,TablaEgresos[Mes],BR$4)</f>
        <v>0</v>
      </c>
      <c r="BT33" s="33">
        <f t="shared" ref="BT33:BT37" si="461">IF(BR33="","",BR33-BS33)</f>
        <v>21000000</v>
      </c>
      <c r="BU33" s="11">
        <f t="shared" ref="BU33:BU37" si="462">IF(OR(BR33="",BR33=0),"",BS33/BR33)</f>
        <v>0</v>
      </c>
      <c r="BV33" s="102">
        <v>21000000</v>
      </c>
      <c r="BW33" s="33">
        <f>SUMIFS(TablaEgresos[Valor],TablaEgresos[Categoría],$A33,TablaEgresos[Mes],BV$4)</f>
        <v>0</v>
      </c>
      <c r="BX33" s="33">
        <f t="shared" ref="BX33:BX37" si="463">IF(BV33="","",BV33-BW33)</f>
        <v>21000000</v>
      </c>
      <c r="BY33" s="11">
        <f t="shared" ref="BY33:BY37" si="464">IF(OR(BV33="",BV33=0),"",BW33/BV33)</f>
        <v>0</v>
      </c>
      <c r="BZ33" s="102">
        <v>21000000</v>
      </c>
      <c r="CA33" s="33">
        <f>SUMIFS(TablaEgresos[Valor],TablaEgresos[Categoría],$A33,TablaEgresos[Mes],BZ$4)</f>
        <v>0</v>
      </c>
      <c r="CB33" s="33">
        <f t="shared" ref="CB33:CB37" si="465">IF(BZ33="","",BZ33-CA33)</f>
        <v>21000000</v>
      </c>
      <c r="CC33" s="11">
        <f t="shared" ref="CC33:CC37" si="466">IF(OR(BZ33="",BZ33=0),"",CA33/BZ33)</f>
        <v>0</v>
      </c>
      <c r="CD33" s="102">
        <v>21000000</v>
      </c>
      <c r="CE33" s="33">
        <f>SUMIFS(TablaEgresos[Valor],TablaEgresos[Categoría],$A33,TablaEgresos[Mes],CD$4)</f>
        <v>0</v>
      </c>
      <c r="CF33" s="33">
        <f t="shared" ref="CF33:CF37" si="467">IF(CD33="","",CD33-CE33)</f>
        <v>21000000</v>
      </c>
      <c r="CG33" s="11">
        <f t="shared" ref="CG33:CG37" si="468">IF(OR(CD33="",CD33=0),"",CE33/CD33)</f>
        <v>0</v>
      </c>
      <c r="CH33" s="102">
        <v>21000000</v>
      </c>
      <c r="CI33" s="33">
        <f>SUMIFS(TablaEgresos[Valor],TablaEgresos[Categoría],$A33,TablaEgresos[Mes],CH$4)</f>
        <v>0</v>
      </c>
      <c r="CJ33" s="33">
        <f t="shared" ref="CJ33:CJ37" si="469">IF(CH33="","",CH33-CI33)</f>
        <v>21000000</v>
      </c>
      <c r="CK33" s="11">
        <f t="shared" ref="CK33:CK37" si="470">IF(OR(CH33="",CH33=0),"",CI33/CH33)</f>
        <v>0</v>
      </c>
      <c r="CL33" s="102">
        <v>21000000</v>
      </c>
      <c r="CM33" s="33">
        <f>SUMIFS(TablaEgresos[Valor],TablaEgresos[Categoría],$A33,TablaEgresos[Mes],CL$4)</f>
        <v>0</v>
      </c>
      <c r="CN33" s="33">
        <f t="shared" ref="CN33:CN37" si="471">IF(CL33="","",CL33-CM33)</f>
        <v>21000000</v>
      </c>
      <c r="CO33" s="11">
        <f t="shared" ref="CO33:CO37" si="472">IF(OR(CL33="",CL33=0),"",CM33/CL33)</f>
        <v>0</v>
      </c>
    </row>
    <row r="34" spans="1:93" outlineLevel="1" x14ac:dyDescent="0.3">
      <c r="A34" s="101" t="s">
        <v>98</v>
      </c>
      <c r="B34" s="33">
        <f ca="1">IFERROR(AVERAGE(INDEX($B78:$W78,MATCH($B$3,$B$51:$W$51,0)-2):INDEX($B78:$W78,MATCH($B$3,$B$51:$W$51,0))),0)</f>
        <v>0</v>
      </c>
      <c r="C34" s="33">
        <f ca="1">IFERROR(SLOPE(INDEX($B78:$W78,1):INDEX($B78:$W78,MATCH($B$3,$B$51:$W$51,0)),INDEX($B$50:$W$50,1):INDEX($B$50:$W$50,MATCH($B$3,$B$51:$W$51,0))),0)</f>
        <v>0</v>
      </c>
      <c r="D34" s="11" t="str">
        <f t="shared" ca="1" si="427"/>
        <v/>
      </c>
      <c r="E34" s="33">
        <f t="shared" ca="1" si="428"/>
        <v>0</v>
      </c>
      <c r="F34" s="33"/>
      <c r="G34" s="33">
        <f>SUMIFS(TablaEgresos[Valor],TablaEgresos[Categoría],$A34,TablaEgresos[Mes],F$4)</f>
        <v>0</v>
      </c>
      <c r="H34" s="33" t="str">
        <f t="shared" si="429"/>
        <v/>
      </c>
      <c r="I34" s="11" t="str">
        <f t="shared" si="430"/>
        <v/>
      </c>
      <c r="J34" s="33"/>
      <c r="K34" s="33">
        <f>SUMIFS(TablaEgresos[Valor],TablaEgresos[Categoría],$A34,TablaEgresos[Mes],J$4)</f>
        <v>0</v>
      </c>
      <c r="L34" s="33" t="str">
        <f t="shared" si="431"/>
        <v/>
      </c>
      <c r="M34" s="11" t="str">
        <f t="shared" si="432"/>
        <v/>
      </c>
      <c r="N34" s="33"/>
      <c r="O34" s="33">
        <f>SUMIFS(TablaEgresos[Valor],TablaEgresos[Categoría],$A34,TablaEgresos[Mes],N$4)</f>
        <v>0</v>
      </c>
      <c r="P34" s="33" t="str">
        <f t="shared" si="433"/>
        <v/>
      </c>
      <c r="Q34" s="11" t="str">
        <f t="shared" si="434"/>
        <v/>
      </c>
      <c r="R34" s="33"/>
      <c r="S34" s="33">
        <f>SUMIFS(TablaEgresos[Valor],TablaEgresos[Categoría],$A34,TablaEgresos[Mes],R$4)</f>
        <v>0</v>
      </c>
      <c r="T34" s="33" t="str">
        <f t="shared" si="435"/>
        <v/>
      </c>
      <c r="U34" s="11" t="str">
        <f t="shared" si="436"/>
        <v/>
      </c>
      <c r="V34" s="102">
        <v>9200000</v>
      </c>
      <c r="W34" s="33">
        <f>SUMIFS(TablaEgresos[Valor],TablaEgresos[Categoría],$A34,TablaEgresos[Mes],V$4)</f>
        <v>9200000</v>
      </c>
      <c r="X34" s="33">
        <f t="shared" si="437"/>
        <v>0</v>
      </c>
      <c r="Y34" s="11">
        <f t="shared" si="438"/>
        <v>1</v>
      </c>
      <c r="Z34" s="102">
        <v>0</v>
      </c>
      <c r="AA34" s="33">
        <f>SUMIFS(TablaEgresos[Valor],TablaEgresos[Categoría],$A34,TablaEgresos[Mes],Z$4)</f>
        <v>0</v>
      </c>
      <c r="AB34" s="33">
        <f t="shared" si="439"/>
        <v>0</v>
      </c>
      <c r="AC34" s="11" t="str">
        <f t="shared" si="440"/>
        <v/>
      </c>
      <c r="AD34" s="102">
        <v>0</v>
      </c>
      <c r="AE34" s="33">
        <f>SUMIFS(TablaEgresos[Valor],TablaEgresos[Categoría],$A34,TablaEgresos[Mes],AD$4)</f>
        <v>0</v>
      </c>
      <c r="AF34" s="33">
        <f t="shared" si="441"/>
        <v>0</v>
      </c>
      <c r="AG34" s="11" t="str">
        <f t="shared" si="442"/>
        <v/>
      </c>
      <c r="AH34" s="102">
        <v>0</v>
      </c>
      <c r="AI34" s="33">
        <f>SUMIFS(TablaEgresos[Valor],TablaEgresos[Categoría],$A34,TablaEgresos[Mes],AH$4)</f>
        <v>0</v>
      </c>
      <c r="AJ34" s="33">
        <f t="shared" si="443"/>
        <v>0</v>
      </c>
      <c r="AK34" s="11" t="str">
        <f t="shared" si="444"/>
        <v/>
      </c>
      <c r="AL34" s="102">
        <v>0</v>
      </c>
      <c r="AM34" s="33">
        <f>SUMIFS(TablaEgresos[Valor],TablaEgresos[Categoría],$A34,TablaEgresos[Mes],AL$4)</f>
        <v>0</v>
      </c>
      <c r="AN34" s="33">
        <f t="shared" si="445"/>
        <v>0</v>
      </c>
      <c r="AO34" s="11" t="str">
        <f t="shared" si="446"/>
        <v/>
      </c>
      <c r="AP34" s="102">
        <v>0</v>
      </c>
      <c r="AQ34" s="33">
        <f>SUMIFS(TablaEgresos[Valor],TablaEgresos[Categoría],$A34,TablaEgresos[Mes],AP$4)</f>
        <v>0</v>
      </c>
      <c r="AR34" s="33">
        <f t="shared" si="447"/>
        <v>0</v>
      </c>
      <c r="AS34" s="11" t="str">
        <f t="shared" si="448"/>
        <v/>
      </c>
      <c r="AT34" s="102">
        <v>0</v>
      </c>
      <c r="AU34" s="33">
        <f>SUMIFS(TablaEgresos[Valor],TablaEgresos[Categoría],$A34,TablaEgresos[Mes],AT$4)</f>
        <v>0</v>
      </c>
      <c r="AV34" s="33">
        <f t="shared" si="449"/>
        <v>0</v>
      </c>
      <c r="AW34" s="11" t="str">
        <f t="shared" si="450"/>
        <v/>
      </c>
      <c r="AX34" s="102">
        <v>0</v>
      </c>
      <c r="AY34" s="33">
        <f>SUMIFS(TablaEgresos[Valor],TablaEgresos[Categoría],$A34,TablaEgresos[Mes],AX$4)</f>
        <v>0</v>
      </c>
      <c r="AZ34" s="33">
        <f t="shared" si="451"/>
        <v>0</v>
      </c>
      <c r="BA34" s="11" t="str">
        <f t="shared" si="452"/>
        <v/>
      </c>
      <c r="BB34" s="102">
        <v>0</v>
      </c>
      <c r="BC34" s="33">
        <f>SUMIFS(TablaEgresos[Valor],TablaEgresos[Categoría],$A34,TablaEgresos[Mes],BB$4)</f>
        <v>0</v>
      </c>
      <c r="BD34" s="33">
        <f t="shared" si="453"/>
        <v>0</v>
      </c>
      <c r="BE34" s="11" t="str">
        <f t="shared" si="454"/>
        <v/>
      </c>
      <c r="BF34" s="102">
        <v>0</v>
      </c>
      <c r="BG34" s="33">
        <f>SUMIFS(TablaEgresos[Valor],TablaEgresos[Categoría],$A34,TablaEgresos[Mes],BF$4)</f>
        <v>0</v>
      </c>
      <c r="BH34" s="33">
        <f t="shared" si="455"/>
        <v>0</v>
      </c>
      <c r="BI34" s="11" t="str">
        <f t="shared" si="456"/>
        <v/>
      </c>
      <c r="BJ34" s="102">
        <v>0</v>
      </c>
      <c r="BK34" s="33">
        <f>SUMIFS(TablaEgresos[Valor],TablaEgresos[Categoría],$A34,TablaEgresos[Mes],BJ$4)</f>
        <v>0</v>
      </c>
      <c r="BL34" s="33">
        <f t="shared" si="457"/>
        <v>0</v>
      </c>
      <c r="BM34" s="11" t="str">
        <f t="shared" si="458"/>
        <v/>
      </c>
      <c r="BN34" s="102">
        <v>0</v>
      </c>
      <c r="BO34" s="33">
        <f>SUMIFS(TablaEgresos[Valor],TablaEgresos[Categoría],$A34,TablaEgresos[Mes],BN$4)</f>
        <v>0</v>
      </c>
      <c r="BP34" s="33">
        <f t="shared" si="459"/>
        <v>0</v>
      </c>
      <c r="BQ34" s="11" t="str">
        <f t="shared" si="460"/>
        <v/>
      </c>
      <c r="BR34" s="102">
        <v>0</v>
      </c>
      <c r="BS34" s="33">
        <f>SUMIFS(TablaEgresos[Valor],TablaEgresos[Categoría],$A34,TablaEgresos[Mes],BR$4)</f>
        <v>0</v>
      </c>
      <c r="BT34" s="33">
        <f t="shared" si="461"/>
        <v>0</v>
      </c>
      <c r="BU34" s="11" t="str">
        <f t="shared" si="462"/>
        <v/>
      </c>
      <c r="BV34" s="102">
        <v>0</v>
      </c>
      <c r="BW34" s="33">
        <f>SUMIFS(TablaEgresos[Valor],TablaEgresos[Categoría],$A34,TablaEgresos[Mes],BV$4)</f>
        <v>0</v>
      </c>
      <c r="BX34" s="33">
        <f t="shared" si="463"/>
        <v>0</v>
      </c>
      <c r="BY34" s="11" t="str">
        <f t="shared" si="464"/>
        <v/>
      </c>
      <c r="BZ34" s="102">
        <v>0</v>
      </c>
      <c r="CA34" s="33">
        <f>SUMIFS(TablaEgresos[Valor],TablaEgresos[Categoría],$A34,TablaEgresos[Mes],BZ$4)</f>
        <v>0</v>
      </c>
      <c r="CB34" s="33">
        <f t="shared" si="465"/>
        <v>0</v>
      </c>
      <c r="CC34" s="11" t="str">
        <f t="shared" si="466"/>
        <v/>
      </c>
      <c r="CD34" s="102">
        <v>0</v>
      </c>
      <c r="CE34" s="33">
        <f>SUMIFS(TablaEgresos[Valor],TablaEgresos[Categoría],$A34,TablaEgresos[Mes],CD$4)</f>
        <v>0</v>
      </c>
      <c r="CF34" s="33">
        <f t="shared" si="467"/>
        <v>0</v>
      </c>
      <c r="CG34" s="11" t="str">
        <f t="shared" si="468"/>
        <v/>
      </c>
      <c r="CH34" s="102">
        <v>0</v>
      </c>
      <c r="CI34" s="33">
        <f>SUMIFS(TablaEgresos[Valor],TablaEgresos[Categoría],$A34,TablaEgresos[Mes],CH$4)</f>
        <v>0</v>
      </c>
      <c r="CJ34" s="33">
        <f t="shared" si="469"/>
        <v>0</v>
      </c>
      <c r="CK34" s="11" t="str">
        <f t="shared" si="470"/>
        <v/>
      </c>
      <c r="CL34" s="102">
        <v>0</v>
      </c>
      <c r="CM34" s="33">
        <f>SUMIFS(TablaEgresos[Valor],TablaEgresos[Categoría],$A34,TablaEgresos[Mes],CL$4)</f>
        <v>0</v>
      </c>
      <c r="CN34" s="33">
        <f t="shared" si="471"/>
        <v>0</v>
      </c>
      <c r="CO34" s="11" t="str">
        <f t="shared" si="472"/>
        <v/>
      </c>
    </row>
    <row r="35" spans="1:93" outlineLevel="1" x14ac:dyDescent="0.3">
      <c r="A35" s="101" t="s">
        <v>89</v>
      </c>
      <c r="B35" s="33">
        <f ca="1">IFERROR(AVERAGE(INDEX($B79:$W79,MATCH($B$3,$B$51:$W$51,0)-2):INDEX($B79:$W79,MATCH($B$3,$B$51:$W$51,0))),0)</f>
        <v>0</v>
      </c>
      <c r="C35" s="33">
        <f ca="1">IFERROR(SLOPE(INDEX($B79:$W79,1):INDEX($B79:$W79,MATCH($B$3,$B$51:$W$51,0)),INDEX($B$50:$W$50,1):INDEX($B$50:$W$50,MATCH($B$3,$B$51:$W$51,0))),0)</f>
        <v>0</v>
      </c>
      <c r="D35" s="11" t="str">
        <f t="shared" ca="1" si="427"/>
        <v/>
      </c>
      <c r="E35" s="33">
        <f t="shared" ca="1" si="428"/>
        <v>0</v>
      </c>
      <c r="F35" s="33"/>
      <c r="G35" s="33">
        <f>SUMIFS(TablaEgresos[Valor],TablaEgresos[Categoría],$A35,TablaEgresos[Mes],F$4)</f>
        <v>0</v>
      </c>
      <c r="H35" s="33" t="str">
        <f t="shared" si="429"/>
        <v/>
      </c>
      <c r="I35" s="11" t="str">
        <f t="shared" si="430"/>
        <v/>
      </c>
      <c r="J35" s="33"/>
      <c r="K35" s="33">
        <f>SUMIFS(TablaEgresos[Valor],TablaEgresos[Categoría],$A35,TablaEgresos[Mes],J$4)</f>
        <v>0</v>
      </c>
      <c r="L35" s="33" t="str">
        <f t="shared" si="431"/>
        <v/>
      </c>
      <c r="M35" s="11" t="str">
        <f t="shared" si="432"/>
        <v/>
      </c>
      <c r="N35" s="33"/>
      <c r="O35" s="33">
        <f>SUMIFS(TablaEgresos[Valor],TablaEgresos[Categoría],$A35,TablaEgresos[Mes],N$4)</f>
        <v>0</v>
      </c>
      <c r="P35" s="33" t="str">
        <f t="shared" si="433"/>
        <v/>
      </c>
      <c r="Q35" s="11" t="str">
        <f t="shared" si="434"/>
        <v/>
      </c>
      <c r="R35" s="33"/>
      <c r="S35" s="33">
        <f>SUMIFS(TablaEgresos[Valor],TablaEgresos[Categoría],$A35,TablaEgresos[Mes],R$4)</f>
        <v>0</v>
      </c>
      <c r="T35" s="33" t="str">
        <f t="shared" si="435"/>
        <v/>
      </c>
      <c r="U35" s="11" t="str">
        <f t="shared" si="436"/>
        <v/>
      </c>
      <c r="V35" s="102">
        <v>14000000</v>
      </c>
      <c r="W35" s="33">
        <f>SUMIFS(TablaEgresos[Valor],TablaEgresos[Categoría],$A35,TablaEgresos[Mes],V$4)</f>
        <v>0</v>
      </c>
      <c r="X35" s="33">
        <f t="shared" si="437"/>
        <v>14000000</v>
      </c>
      <c r="Y35" s="11">
        <f t="shared" si="438"/>
        <v>0</v>
      </c>
      <c r="Z35" s="102">
        <v>14000000</v>
      </c>
      <c r="AA35" s="33">
        <f>SUMIFS(TablaEgresos[Valor],TablaEgresos[Categoría],$A35,TablaEgresos[Mes],Z$4)</f>
        <v>0</v>
      </c>
      <c r="AB35" s="33">
        <f t="shared" si="439"/>
        <v>14000000</v>
      </c>
      <c r="AC35" s="11">
        <f t="shared" si="440"/>
        <v>0</v>
      </c>
      <c r="AD35" s="102">
        <v>14000000</v>
      </c>
      <c r="AE35" s="33">
        <f>SUMIFS(TablaEgresos[Valor],TablaEgresos[Categoría],$A35,TablaEgresos[Mes],AD$4)</f>
        <v>0</v>
      </c>
      <c r="AF35" s="33">
        <f t="shared" si="441"/>
        <v>14000000</v>
      </c>
      <c r="AG35" s="11">
        <f t="shared" si="442"/>
        <v>0</v>
      </c>
      <c r="AH35" s="102">
        <v>14000000</v>
      </c>
      <c r="AI35" s="33">
        <f>SUMIFS(TablaEgresos[Valor],TablaEgresos[Categoría],$A35,TablaEgresos[Mes],AH$4)</f>
        <v>0</v>
      </c>
      <c r="AJ35" s="33">
        <f t="shared" si="443"/>
        <v>14000000</v>
      </c>
      <c r="AK35" s="11">
        <f t="shared" si="444"/>
        <v>0</v>
      </c>
      <c r="AL35" s="102">
        <v>14000000</v>
      </c>
      <c r="AM35" s="33">
        <f>SUMIFS(TablaEgresos[Valor],TablaEgresos[Categoría],$A35,TablaEgresos[Mes],AL$4)</f>
        <v>0</v>
      </c>
      <c r="AN35" s="33">
        <f t="shared" si="445"/>
        <v>14000000</v>
      </c>
      <c r="AO35" s="11">
        <f t="shared" si="446"/>
        <v>0</v>
      </c>
      <c r="AP35" s="102">
        <v>14000000</v>
      </c>
      <c r="AQ35" s="33">
        <f>SUMIFS(TablaEgresos[Valor],TablaEgresos[Categoría],$A35,TablaEgresos[Mes],AP$4)</f>
        <v>0</v>
      </c>
      <c r="AR35" s="33">
        <f t="shared" si="447"/>
        <v>14000000</v>
      </c>
      <c r="AS35" s="11">
        <f t="shared" si="448"/>
        <v>0</v>
      </c>
      <c r="AT35" s="102">
        <v>14000000</v>
      </c>
      <c r="AU35" s="33">
        <f>SUMIFS(TablaEgresos[Valor],TablaEgresos[Categoría],$A35,TablaEgresos[Mes],AT$4)</f>
        <v>0</v>
      </c>
      <c r="AV35" s="33">
        <f t="shared" si="449"/>
        <v>14000000</v>
      </c>
      <c r="AW35" s="11">
        <f t="shared" si="450"/>
        <v>0</v>
      </c>
      <c r="AX35" s="102">
        <v>14000000</v>
      </c>
      <c r="AY35" s="33">
        <f>SUMIFS(TablaEgresos[Valor],TablaEgresos[Categoría],$A35,TablaEgresos[Mes],AX$4)</f>
        <v>0</v>
      </c>
      <c r="AZ35" s="33">
        <f t="shared" si="451"/>
        <v>14000000</v>
      </c>
      <c r="BA35" s="11">
        <f t="shared" si="452"/>
        <v>0</v>
      </c>
      <c r="BB35" s="102">
        <v>14000000</v>
      </c>
      <c r="BC35" s="33">
        <f>SUMIFS(TablaEgresos[Valor],TablaEgresos[Categoría],$A35,TablaEgresos[Mes],BB$4)</f>
        <v>0</v>
      </c>
      <c r="BD35" s="33">
        <f t="shared" si="453"/>
        <v>14000000</v>
      </c>
      <c r="BE35" s="11">
        <f t="shared" si="454"/>
        <v>0</v>
      </c>
      <c r="BF35" s="102">
        <v>14000000</v>
      </c>
      <c r="BG35" s="33">
        <f>SUMIFS(TablaEgresos[Valor],TablaEgresos[Categoría],$A35,TablaEgresos[Mes],BF$4)</f>
        <v>0</v>
      </c>
      <c r="BH35" s="33">
        <f t="shared" si="455"/>
        <v>14000000</v>
      </c>
      <c r="BI35" s="11">
        <f t="shared" si="456"/>
        <v>0</v>
      </c>
      <c r="BJ35" s="102">
        <v>14000000</v>
      </c>
      <c r="BK35" s="33">
        <f>SUMIFS(TablaEgresos[Valor],TablaEgresos[Categoría],$A35,TablaEgresos[Mes],BJ$4)</f>
        <v>0</v>
      </c>
      <c r="BL35" s="33">
        <f t="shared" si="457"/>
        <v>14000000</v>
      </c>
      <c r="BM35" s="11">
        <f t="shared" si="458"/>
        <v>0</v>
      </c>
      <c r="BN35" s="102">
        <v>14000000</v>
      </c>
      <c r="BO35" s="33">
        <f>SUMIFS(TablaEgresos[Valor],TablaEgresos[Categoría],$A35,TablaEgresos[Mes],BN$4)</f>
        <v>0</v>
      </c>
      <c r="BP35" s="33">
        <f t="shared" si="459"/>
        <v>14000000</v>
      </c>
      <c r="BQ35" s="11">
        <f t="shared" si="460"/>
        <v>0</v>
      </c>
      <c r="BR35" s="102">
        <v>14000000</v>
      </c>
      <c r="BS35" s="33">
        <f>SUMIFS(TablaEgresos[Valor],TablaEgresos[Categoría],$A35,TablaEgresos[Mes],BR$4)</f>
        <v>0</v>
      </c>
      <c r="BT35" s="33">
        <f t="shared" si="461"/>
        <v>14000000</v>
      </c>
      <c r="BU35" s="11">
        <f t="shared" si="462"/>
        <v>0</v>
      </c>
      <c r="BV35" s="102">
        <v>14000000</v>
      </c>
      <c r="BW35" s="33">
        <f>SUMIFS(TablaEgresos[Valor],TablaEgresos[Categoría],$A35,TablaEgresos[Mes],BV$4)</f>
        <v>0</v>
      </c>
      <c r="BX35" s="33">
        <f t="shared" si="463"/>
        <v>14000000</v>
      </c>
      <c r="BY35" s="11">
        <f t="shared" si="464"/>
        <v>0</v>
      </c>
      <c r="BZ35" s="102">
        <v>14000000</v>
      </c>
      <c r="CA35" s="33">
        <f>SUMIFS(TablaEgresos[Valor],TablaEgresos[Categoría],$A35,TablaEgresos[Mes],BZ$4)</f>
        <v>0</v>
      </c>
      <c r="CB35" s="33">
        <f t="shared" si="465"/>
        <v>14000000</v>
      </c>
      <c r="CC35" s="11">
        <f t="shared" si="466"/>
        <v>0</v>
      </c>
      <c r="CD35" s="102">
        <v>14000000</v>
      </c>
      <c r="CE35" s="33">
        <f>SUMIFS(TablaEgresos[Valor],TablaEgresos[Categoría],$A35,TablaEgresos[Mes],CD$4)</f>
        <v>0</v>
      </c>
      <c r="CF35" s="33">
        <f t="shared" si="467"/>
        <v>14000000</v>
      </c>
      <c r="CG35" s="11">
        <f t="shared" si="468"/>
        <v>0</v>
      </c>
      <c r="CH35" s="102">
        <v>14000000</v>
      </c>
      <c r="CI35" s="33">
        <f>SUMIFS(TablaEgresos[Valor],TablaEgresos[Categoría],$A35,TablaEgresos[Mes],CH$4)</f>
        <v>0</v>
      </c>
      <c r="CJ35" s="33">
        <f t="shared" si="469"/>
        <v>14000000</v>
      </c>
      <c r="CK35" s="11">
        <f t="shared" si="470"/>
        <v>0</v>
      </c>
      <c r="CL35" s="102">
        <v>14000000</v>
      </c>
      <c r="CM35" s="33">
        <f>SUMIFS(TablaEgresos[Valor],TablaEgresos[Categoría],$A35,TablaEgresos[Mes],CL$4)</f>
        <v>0</v>
      </c>
      <c r="CN35" s="33">
        <f t="shared" si="471"/>
        <v>14000000</v>
      </c>
      <c r="CO35" s="11">
        <f t="shared" si="472"/>
        <v>0</v>
      </c>
    </row>
    <row r="36" spans="1:93" outlineLevel="1" x14ac:dyDescent="0.3">
      <c r="A36" s="101" t="s">
        <v>90</v>
      </c>
      <c r="B36" s="33">
        <f ca="1">IFERROR(AVERAGE(INDEX($B80:$W80,MATCH($B$3,$B$51:$W$51,0)-2):INDEX($B80:$W80,MATCH($B$3,$B$51:$W$51,0))),0)</f>
        <v>0</v>
      </c>
      <c r="C36" s="33">
        <f ca="1">IFERROR(SLOPE(INDEX($B80:$W80,1):INDEX($B80:$W80,MATCH($B$3,$B$51:$W$51,0)),INDEX($B$50:$W$50,1):INDEX($B$50:$W$50,MATCH($B$3,$B$51:$W$51,0))),0)</f>
        <v>0</v>
      </c>
      <c r="D36" s="11" t="str">
        <f t="shared" ca="1" si="427"/>
        <v/>
      </c>
      <c r="E36" s="33">
        <f t="shared" ca="1" si="428"/>
        <v>0</v>
      </c>
      <c r="F36" s="33"/>
      <c r="G36" s="33">
        <f>SUMIFS(TablaEgresos[Valor],TablaEgresos[Categoría],$A36,TablaEgresos[Mes],F$4)</f>
        <v>0</v>
      </c>
      <c r="H36" s="33" t="str">
        <f t="shared" si="429"/>
        <v/>
      </c>
      <c r="I36" s="11" t="str">
        <f t="shared" si="430"/>
        <v/>
      </c>
      <c r="J36" s="33"/>
      <c r="K36" s="33">
        <f>SUMIFS(TablaEgresos[Valor],TablaEgresos[Categoría],$A36,TablaEgresos[Mes],J$4)</f>
        <v>0</v>
      </c>
      <c r="L36" s="33" t="str">
        <f t="shared" si="431"/>
        <v/>
      </c>
      <c r="M36" s="11" t="str">
        <f t="shared" si="432"/>
        <v/>
      </c>
      <c r="N36" s="33"/>
      <c r="O36" s="33">
        <f>SUMIFS(TablaEgresos[Valor],TablaEgresos[Categoría],$A36,TablaEgresos[Mes],N$4)</f>
        <v>0</v>
      </c>
      <c r="P36" s="33" t="str">
        <f t="shared" si="433"/>
        <v/>
      </c>
      <c r="Q36" s="11" t="str">
        <f t="shared" si="434"/>
        <v/>
      </c>
      <c r="R36" s="33"/>
      <c r="S36" s="33">
        <f>SUMIFS(TablaEgresos[Valor],TablaEgresos[Categoría],$A36,TablaEgresos[Mes],R$4)</f>
        <v>0</v>
      </c>
      <c r="T36" s="33" t="str">
        <f t="shared" si="435"/>
        <v/>
      </c>
      <c r="U36" s="11" t="str">
        <f t="shared" si="436"/>
        <v/>
      </c>
      <c r="V36" s="102">
        <v>9000000</v>
      </c>
      <c r="W36" s="33">
        <f>SUMIFS(TablaEgresos[Valor],TablaEgresos[Categoría],$A36,TablaEgresos[Mes],V$4)</f>
        <v>0</v>
      </c>
      <c r="X36" s="33">
        <f t="shared" si="437"/>
        <v>9000000</v>
      </c>
      <c r="Y36" s="11">
        <f t="shared" si="438"/>
        <v>0</v>
      </c>
      <c r="Z36" s="102">
        <v>2500000</v>
      </c>
      <c r="AA36" s="33">
        <f>SUMIFS(TablaEgresos[Valor],TablaEgresos[Categoría],$A36,TablaEgresos[Mes],Z$4)</f>
        <v>0</v>
      </c>
      <c r="AB36" s="33">
        <f t="shared" si="439"/>
        <v>2500000</v>
      </c>
      <c r="AC36" s="11">
        <f t="shared" si="440"/>
        <v>0</v>
      </c>
      <c r="AD36" s="102">
        <v>2500000</v>
      </c>
      <c r="AE36" s="33">
        <f>SUMIFS(TablaEgresos[Valor],TablaEgresos[Categoría],$A36,TablaEgresos[Mes],AD$4)</f>
        <v>0</v>
      </c>
      <c r="AF36" s="33">
        <f t="shared" si="441"/>
        <v>2500000</v>
      </c>
      <c r="AG36" s="11">
        <f t="shared" si="442"/>
        <v>0</v>
      </c>
      <c r="AH36" s="102">
        <v>2500000</v>
      </c>
      <c r="AI36" s="33">
        <f>SUMIFS(TablaEgresos[Valor],TablaEgresos[Categoría],$A36,TablaEgresos[Mes],AH$4)</f>
        <v>0</v>
      </c>
      <c r="AJ36" s="33">
        <f t="shared" si="443"/>
        <v>2500000</v>
      </c>
      <c r="AK36" s="11">
        <f t="shared" si="444"/>
        <v>0</v>
      </c>
      <c r="AL36" s="102">
        <v>2500000</v>
      </c>
      <c r="AM36" s="33">
        <f>SUMIFS(TablaEgresos[Valor],TablaEgresos[Categoría],$A36,TablaEgresos[Mes],AL$4)</f>
        <v>0</v>
      </c>
      <c r="AN36" s="33">
        <f t="shared" si="445"/>
        <v>2500000</v>
      </c>
      <c r="AO36" s="11">
        <f t="shared" si="446"/>
        <v>0</v>
      </c>
      <c r="AP36" s="102">
        <v>2500000</v>
      </c>
      <c r="AQ36" s="33">
        <f>SUMIFS(TablaEgresos[Valor],TablaEgresos[Categoría],$A36,TablaEgresos[Mes],AP$4)</f>
        <v>0</v>
      </c>
      <c r="AR36" s="33">
        <f t="shared" si="447"/>
        <v>2500000</v>
      </c>
      <c r="AS36" s="11">
        <f t="shared" si="448"/>
        <v>0</v>
      </c>
      <c r="AT36" s="102">
        <v>2500000</v>
      </c>
      <c r="AU36" s="33">
        <f>SUMIFS(TablaEgresos[Valor],TablaEgresos[Categoría],$A36,TablaEgresos[Mes],AT$4)</f>
        <v>0</v>
      </c>
      <c r="AV36" s="33">
        <f t="shared" si="449"/>
        <v>2500000</v>
      </c>
      <c r="AW36" s="11">
        <f t="shared" si="450"/>
        <v>0</v>
      </c>
      <c r="AX36" s="102">
        <v>2500000</v>
      </c>
      <c r="AY36" s="33">
        <f>SUMIFS(TablaEgresos[Valor],TablaEgresos[Categoría],$A36,TablaEgresos[Mes],AX$4)</f>
        <v>0</v>
      </c>
      <c r="AZ36" s="33">
        <f t="shared" si="451"/>
        <v>2500000</v>
      </c>
      <c r="BA36" s="11">
        <f t="shared" si="452"/>
        <v>0</v>
      </c>
      <c r="BB36" s="102">
        <v>2500000</v>
      </c>
      <c r="BC36" s="33">
        <f>SUMIFS(TablaEgresos[Valor],TablaEgresos[Categoría],$A36,TablaEgresos[Mes],BB$4)</f>
        <v>0</v>
      </c>
      <c r="BD36" s="33">
        <f t="shared" si="453"/>
        <v>2500000</v>
      </c>
      <c r="BE36" s="11">
        <f t="shared" si="454"/>
        <v>0</v>
      </c>
      <c r="BF36" s="102">
        <v>2500000</v>
      </c>
      <c r="BG36" s="33">
        <f>SUMIFS(TablaEgresos[Valor],TablaEgresos[Categoría],$A36,TablaEgresos[Mes],BF$4)</f>
        <v>0</v>
      </c>
      <c r="BH36" s="33">
        <f t="shared" si="455"/>
        <v>2500000</v>
      </c>
      <c r="BI36" s="11">
        <f t="shared" si="456"/>
        <v>0</v>
      </c>
      <c r="BJ36" s="102">
        <v>2500000</v>
      </c>
      <c r="BK36" s="33">
        <f>SUMIFS(TablaEgresos[Valor],TablaEgresos[Categoría],$A36,TablaEgresos[Mes],BJ$4)</f>
        <v>0</v>
      </c>
      <c r="BL36" s="33">
        <f t="shared" si="457"/>
        <v>2500000</v>
      </c>
      <c r="BM36" s="11">
        <f t="shared" si="458"/>
        <v>0</v>
      </c>
      <c r="BN36" s="102">
        <v>2500000</v>
      </c>
      <c r="BO36" s="33">
        <f>SUMIFS(TablaEgresos[Valor],TablaEgresos[Categoría],$A36,TablaEgresos[Mes],BN$4)</f>
        <v>0</v>
      </c>
      <c r="BP36" s="33">
        <f t="shared" si="459"/>
        <v>2500000</v>
      </c>
      <c r="BQ36" s="11">
        <f t="shared" si="460"/>
        <v>0</v>
      </c>
      <c r="BR36" s="102">
        <v>2500000</v>
      </c>
      <c r="BS36" s="33">
        <f>SUMIFS(TablaEgresos[Valor],TablaEgresos[Categoría],$A36,TablaEgresos[Mes],BR$4)</f>
        <v>0</v>
      </c>
      <c r="BT36" s="33">
        <f t="shared" si="461"/>
        <v>2500000</v>
      </c>
      <c r="BU36" s="11">
        <f t="shared" si="462"/>
        <v>0</v>
      </c>
      <c r="BV36" s="102">
        <v>2500000</v>
      </c>
      <c r="BW36" s="33">
        <f>SUMIFS(TablaEgresos[Valor],TablaEgresos[Categoría],$A36,TablaEgresos[Mes],BV$4)</f>
        <v>0</v>
      </c>
      <c r="BX36" s="33">
        <f t="shared" si="463"/>
        <v>2500000</v>
      </c>
      <c r="BY36" s="11">
        <f t="shared" si="464"/>
        <v>0</v>
      </c>
      <c r="BZ36" s="102">
        <v>2500000</v>
      </c>
      <c r="CA36" s="33">
        <f>SUMIFS(TablaEgresos[Valor],TablaEgresos[Categoría],$A36,TablaEgresos[Mes],BZ$4)</f>
        <v>0</v>
      </c>
      <c r="CB36" s="33">
        <f t="shared" si="465"/>
        <v>2500000</v>
      </c>
      <c r="CC36" s="11">
        <f t="shared" si="466"/>
        <v>0</v>
      </c>
      <c r="CD36" s="102">
        <v>2500000</v>
      </c>
      <c r="CE36" s="33">
        <f>SUMIFS(TablaEgresos[Valor],TablaEgresos[Categoría],$A36,TablaEgresos[Mes],CD$4)</f>
        <v>0</v>
      </c>
      <c r="CF36" s="33">
        <f t="shared" si="467"/>
        <v>2500000</v>
      </c>
      <c r="CG36" s="11">
        <f t="shared" si="468"/>
        <v>0</v>
      </c>
      <c r="CH36" s="102">
        <v>2500000</v>
      </c>
      <c r="CI36" s="33">
        <f>SUMIFS(TablaEgresos[Valor],TablaEgresos[Categoría],$A36,TablaEgresos[Mes],CH$4)</f>
        <v>0</v>
      </c>
      <c r="CJ36" s="33">
        <f t="shared" si="469"/>
        <v>2500000</v>
      </c>
      <c r="CK36" s="11">
        <f t="shared" si="470"/>
        <v>0</v>
      </c>
      <c r="CL36" s="102">
        <v>2500000</v>
      </c>
      <c r="CM36" s="33">
        <f>SUMIFS(TablaEgresos[Valor],TablaEgresos[Categoría],$A36,TablaEgresos[Mes],CL$4)</f>
        <v>0</v>
      </c>
      <c r="CN36" s="33">
        <f t="shared" si="471"/>
        <v>2500000</v>
      </c>
      <c r="CO36" s="11">
        <f t="shared" si="472"/>
        <v>0</v>
      </c>
    </row>
    <row r="37" spans="1:93" outlineLevel="1" x14ac:dyDescent="0.3">
      <c r="A37" s="101" t="s">
        <v>91</v>
      </c>
      <c r="B37" s="33">
        <f ca="1">IFERROR(AVERAGE(INDEX($B81:$W81,MATCH($B$3,$B$51:$W$51,0)-2):INDEX($B81:$W81,MATCH($B$3,$B$51:$W$51,0))),0)</f>
        <v>1405599.3266666669</v>
      </c>
      <c r="C37" s="33">
        <f ca="1">IFERROR(SLOPE(INDEX($B81:$W81,1):INDEX($B81:$W81,MATCH($B$3,$B$51:$W$51,0)),INDEX($B$50:$W$50,1):INDEX($B$50:$W$50,MATCH($B$3,$B$51:$W$51,0))),0)</f>
        <v>85000.085999999981</v>
      </c>
      <c r="D37" s="11">
        <f t="shared" ca="1" si="427"/>
        <v>6.0472486282114921E-2</v>
      </c>
      <c r="E37" s="33">
        <f t="shared" ca="1" si="428"/>
        <v>1661000</v>
      </c>
      <c r="F37" s="33"/>
      <c r="G37" s="33">
        <f>SUMIFS(TablaEgresos[Valor],TablaEgresos[Categoría],$A37,TablaEgresos[Mes],F$4)</f>
        <v>0</v>
      </c>
      <c r="H37" s="33" t="str">
        <f t="shared" si="429"/>
        <v/>
      </c>
      <c r="I37" s="11" t="str">
        <f t="shared" si="430"/>
        <v/>
      </c>
      <c r="J37" s="33"/>
      <c r="K37" s="33">
        <f>SUMIFS(TablaEgresos[Valor],TablaEgresos[Categoría],$A37,TablaEgresos[Mes],J$4)</f>
        <v>1683398.56</v>
      </c>
      <c r="L37" s="33" t="str">
        <f t="shared" si="431"/>
        <v/>
      </c>
      <c r="M37" s="11" t="str">
        <f t="shared" si="432"/>
        <v/>
      </c>
      <c r="N37" s="33"/>
      <c r="O37" s="33">
        <f>SUMIFS(TablaEgresos[Valor],TablaEgresos[Categoría],$A37,TablaEgresos[Mes],N$4)</f>
        <v>2533399.42</v>
      </c>
      <c r="P37" s="33" t="str">
        <f t="shared" si="433"/>
        <v/>
      </c>
      <c r="Q37" s="11" t="str">
        <f t="shared" si="434"/>
        <v/>
      </c>
      <c r="R37" s="33"/>
      <c r="S37" s="33">
        <f>SUMIFS(TablaEgresos[Valor],TablaEgresos[Categoría],$A37,TablaEgresos[Mes],R$4)</f>
        <v>0</v>
      </c>
      <c r="T37" s="33" t="str">
        <f t="shared" si="435"/>
        <v/>
      </c>
      <c r="U37" s="11" t="str">
        <f t="shared" si="436"/>
        <v/>
      </c>
      <c r="V37" s="102">
        <v>20000000</v>
      </c>
      <c r="W37" s="33">
        <f>SUMIFS(TablaEgresos[Valor],TablaEgresos[Categoría],$A37,TablaEgresos[Mes],V$4)</f>
        <v>9999999.7699999996</v>
      </c>
      <c r="X37" s="33">
        <f t="shared" si="437"/>
        <v>10000000.23</v>
      </c>
      <c r="Y37" s="11">
        <f t="shared" si="438"/>
        <v>0.49999998849999999</v>
      </c>
      <c r="Z37" s="102">
        <v>30000000</v>
      </c>
      <c r="AA37" s="33">
        <f>SUMIFS(TablaEgresos[Valor],TablaEgresos[Categoría],$A37,TablaEgresos[Mes],Z$4)</f>
        <v>0</v>
      </c>
      <c r="AB37" s="33">
        <f t="shared" si="439"/>
        <v>30000000</v>
      </c>
      <c r="AC37" s="11">
        <f t="shared" si="440"/>
        <v>0</v>
      </c>
      <c r="AD37" s="102">
        <v>30000000</v>
      </c>
      <c r="AE37" s="33">
        <f>SUMIFS(TablaEgresos[Valor],TablaEgresos[Categoría],$A37,TablaEgresos[Mes],AD$4)</f>
        <v>0</v>
      </c>
      <c r="AF37" s="33">
        <f t="shared" si="441"/>
        <v>30000000</v>
      </c>
      <c r="AG37" s="11">
        <f t="shared" si="442"/>
        <v>0</v>
      </c>
      <c r="AH37" s="102">
        <v>30000000</v>
      </c>
      <c r="AI37" s="33">
        <f>SUMIFS(TablaEgresos[Valor],TablaEgresos[Categoría],$A37,TablaEgresos[Mes],AH$4)</f>
        <v>0</v>
      </c>
      <c r="AJ37" s="33">
        <f t="shared" si="443"/>
        <v>30000000</v>
      </c>
      <c r="AK37" s="11">
        <f t="shared" si="444"/>
        <v>0</v>
      </c>
      <c r="AL37" s="102">
        <v>30000000</v>
      </c>
      <c r="AM37" s="33">
        <f>SUMIFS(TablaEgresos[Valor],TablaEgresos[Categoría],$A37,TablaEgresos[Mes],AL$4)</f>
        <v>0</v>
      </c>
      <c r="AN37" s="33">
        <f t="shared" si="445"/>
        <v>30000000</v>
      </c>
      <c r="AO37" s="11">
        <f t="shared" si="446"/>
        <v>0</v>
      </c>
      <c r="AP37" s="102">
        <v>30000000</v>
      </c>
      <c r="AQ37" s="33">
        <f>SUMIFS(TablaEgresos[Valor],TablaEgresos[Categoría],$A37,TablaEgresos[Mes],AP$4)</f>
        <v>0</v>
      </c>
      <c r="AR37" s="33">
        <f t="shared" si="447"/>
        <v>30000000</v>
      </c>
      <c r="AS37" s="11">
        <f t="shared" si="448"/>
        <v>0</v>
      </c>
      <c r="AT37" s="102">
        <v>30000000</v>
      </c>
      <c r="AU37" s="33">
        <f>SUMIFS(TablaEgresos[Valor],TablaEgresos[Categoría],$A37,TablaEgresos[Mes],AT$4)</f>
        <v>0</v>
      </c>
      <c r="AV37" s="33">
        <f t="shared" si="449"/>
        <v>30000000</v>
      </c>
      <c r="AW37" s="11">
        <f t="shared" si="450"/>
        <v>0</v>
      </c>
      <c r="AX37" s="102">
        <v>30000000</v>
      </c>
      <c r="AY37" s="33">
        <f>SUMIFS(TablaEgresos[Valor],TablaEgresos[Categoría],$A37,TablaEgresos[Mes],AX$4)</f>
        <v>0</v>
      </c>
      <c r="AZ37" s="33">
        <f t="shared" si="451"/>
        <v>30000000</v>
      </c>
      <c r="BA37" s="11">
        <f t="shared" si="452"/>
        <v>0</v>
      </c>
      <c r="BB37" s="102">
        <v>30000000</v>
      </c>
      <c r="BC37" s="33">
        <f>SUMIFS(TablaEgresos[Valor],TablaEgresos[Categoría],$A37,TablaEgresos[Mes],BB$4)</f>
        <v>0</v>
      </c>
      <c r="BD37" s="33">
        <f t="shared" si="453"/>
        <v>30000000</v>
      </c>
      <c r="BE37" s="11">
        <f t="shared" si="454"/>
        <v>0</v>
      </c>
      <c r="BF37" s="102">
        <v>30000000</v>
      </c>
      <c r="BG37" s="33">
        <f>SUMIFS(TablaEgresos[Valor],TablaEgresos[Categoría],$A37,TablaEgresos[Mes],BF$4)</f>
        <v>0</v>
      </c>
      <c r="BH37" s="33">
        <f t="shared" si="455"/>
        <v>30000000</v>
      </c>
      <c r="BI37" s="11">
        <f t="shared" si="456"/>
        <v>0</v>
      </c>
      <c r="BJ37" s="102">
        <v>30000000</v>
      </c>
      <c r="BK37" s="33">
        <f>SUMIFS(TablaEgresos[Valor],TablaEgresos[Categoría],$A37,TablaEgresos[Mes],BJ$4)</f>
        <v>0</v>
      </c>
      <c r="BL37" s="33">
        <f t="shared" si="457"/>
        <v>30000000</v>
      </c>
      <c r="BM37" s="11">
        <f t="shared" si="458"/>
        <v>0</v>
      </c>
      <c r="BN37" s="102">
        <v>30000000</v>
      </c>
      <c r="BO37" s="33">
        <f>SUMIFS(TablaEgresos[Valor],TablaEgresos[Categoría],$A37,TablaEgresos[Mes],BN$4)</f>
        <v>0</v>
      </c>
      <c r="BP37" s="33">
        <f t="shared" si="459"/>
        <v>30000000</v>
      </c>
      <c r="BQ37" s="11">
        <f t="shared" si="460"/>
        <v>0</v>
      </c>
      <c r="BR37" s="102">
        <v>30000000</v>
      </c>
      <c r="BS37" s="33">
        <f>SUMIFS(TablaEgresos[Valor],TablaEgresos[Categoría],$A37,TablaEgresos[Mes],BR$4)</f>
        <v>0</v>
      </c>
      <c r="BT37" s="33">
        <f t="shared" si="461"/>
        <v>30000000</v>
      </c>
      <c r="BU37" s="11">
        <f t="shared" si="462"/>
        <v>0</v>
      </c>
      <c r="BV37" s="102">
        <v>30000000</v>
      </c>
      <c r="BW37" s="33">
        <f>SUMIFS(TablaEgresos[Valor],TablaEgresos[Categoría],$A37,TablaEgresos[Mes],BV$4)</f>
        <v>0</v>
      </c>
      <c r="BX37" s="33">
        <f t="shared" si="463"/>
        <v>30000000</v>
      </c>
      <c r="BY37" s="11">
        <f t="shared" si="464"/>
        <v>0</v>
      </c>
      <c r="BZ37" s="102">
        <v>30000000</v>
      </c>
      <c r="CA37" s="33">
        <f>SUMIFS(TablaEgresos[Valor],TablaEgresos[Categoría],$A37,TablaEgresos[Mes],BZ$4)</f>
        <v>0</v>
      </c>
      <c r="CB37" s="33">
        <f t="shared" si="465"/>
        <v>30000000</v>
      </c>
      <c r="CC37" s="11">
        <f t="shared" si="466"/>
        <v>0</v>
      </c>
      <c r="CD37" s="102">
        <v>30000000</v>
      </c>
      <c r="CE37" s="33">
        <f>SUMIFS(TablaEgresos[Valor],TablaEgresos[Categoría],$A37,TablaEgresos[Mes],CD$4)</f>
        <v>0</v>
      </c>
      <c r="CF37" s="33">
        <f t="shared" si="467"/>
        <v>30000000</v>
      </c>
      <c r="CG37" s="11">
        <f t="shared" si="468"/>
        <v>0</v>
      </c>
      <c r="CH37" s="102">
        <v>30000000</v>
      </c>
      <c r="CI37" s="33">
        <f>SUMIFS(TablaEgresos[Valor],TablaEgresos[Categoría],$A37,TablaEgresos[Mes],CH$4)</f>
        <v>0</v>
      </c>
      <c r="CJ37" s="33">
        <f t="shared" si="469"/>
        <v>30000000</v>
      </c>
      <c r="CK37" s="11">
        <f t="shared" si="470"/>
        <v>0</v>
      </c>
      <c r="CL37" s="102">
        <v>30000000</v>
      </c>
      <c r="CM37" s="33">
        <f>SUMIFS(TablaEgresos[Valor],TablaEgresos[Categoría],$A37,TablaEgresos[Mes],CL$4)</f>
        <v>0</v>
      </c>
      <c r="CN37" s="33">
        <f t="shared" si="471"/>
        <v>30000000</v>
      </c>
      <c r="CO37" s="11">
        <f t="shared" si="472"/>
        <v>0</v>
      </c>
    </row>
    <row r="38" spans="1:93" x14ac:dyDescent="0.3">
      <c r="A38" s="125" t="s">
        <v>408</v>
      </c>
      <c r="B38" s="126">
        <f ca="1">SUM(B33:B37)</f>
        <v>9558102.7999999989</v>
      </c>
      <c r="C38" s="126">
        <f ca="1">SUM(C33:C37)</f>
        <v>-4809011.1239999989</v>
      </c>
      <c r="D38" s="127">
        <f ca="1">IF(B38=0,"",C38/B38)</f>
        <v>-0.50313448438742459</v>
      </c>
      <c r="E38" s="126">
        <f ca="1">SUM(E33:E37)</f>
        <v>1661000</v>
      </c>
      <c r="F38" s="126">
        <f>SUM(F33:F37)</f>
        <v>0</v>
      </c>
      <c r="G38" s="126">
        <f>SUM(G33:G37)</f>
        <v>12734888.539999999</v>
      </c>
      <c r="H38" s="126">
        <f>SUM(H33:H37)</f>
        <v>0</v>
      </c>
      <c r="I38" s="127" t="str">
        <f>IF(F38=0,"",G38/F38)</f>
        <v/>
      </c>
      <c r="J38" s="126">
        <f>SUM(J33:J37)</f>
        <v>0</v>
      </c>
      <c r="K38" s="126">
        <f>SUM(K33:K37)</f>
        <v>19279877.009999998</v>
      </c>
      <c r="L38" s="126">
        <f>SUM(L33:L37)</f>
        <v>0</v>
      </c>
      <c r="M38" s="127" t="str">
        <f t="shared" ref="M38" si="473">IF(J38=0,"",K38/J38)</f>
        <v/>
      </c>
      <c r="N38" s="126">
        <f>SUM(N33:N37)</f>
        <v>0</v>
      </c>
      <c r="O38" s="126">
        <f>SUM(O33:O37)</f>
        <v>9394431.3900000006</v>
      </c>
      <c r="P38" s="126">
        <f>SUM(P33:P37)</f>
        <v>0</v>
      </c>
      <c r="Q38" s="127" t="str">
        <f t="shared" ref="Q38" si="474">IF(N38=0,"",O38/N38)</f>
        <v/>
      </c>
      <c r="R38" s="126">
        <f>SUM(R33:R37)</f>
        <v>0</v>
      </c>
      <c r="S38" s="126">
        <f>SUM(S33:S37)</f>
        <v>0</v>
      </c>
      <c r="T38" s="126">
        <f>SUM(T33:T37)</f>
        <v>0</v>
      </c>
      <c r="U38" s="127" t="str">
        <f t="shared" ref="U38" si="475">IF(R38=0,"",S38/R38)</f>
        <v/>
      </c>
      <c r="V38" s="126">
        <f>SUM(V33:V37)</f>
        <v>73200000</v>
      </c>
      <c r="W38" s="126">
        <f>SUM(W33:W37)</f>
        <v>36853260.730000004</v>
      </c>
      <c r="X38" s="126">
        <f>SUM(X33:X37)</f>
        <v>36346739.269999996</v>
      </c>
      <c r="Y38" s="127">
        <f t="shared" ref="Y38" si="476">IF(V38=0,"",W38/V38)</f>
        <v>0.50345984603825145</v>
      </c>
      <c r="Z38" s="126">
        <f>SUM(Z33:Z37)</f>
        <v>67500000</v>
      </c>
      <c r="AA38" s="126">
        <f>SUM(AA33:AA37)</f>
        <v>0</v>
      </c>
      <c r="AB38" s="126">
        <f>SUM(AB33:AB37)</f>
        <v>67500000</v>
      </c>
      <c r="AC38" s="127">
        <f t="shared" ref="AC38" si="477">IF(Z38=0,"",AA38/Z38)</f>
        <v>0</v>
      </c>
      <c r="AD38" s="126">
        <f>SUM(AD33:AD37)</f>
        <v>67500000</v>
      </c>
      <c r="AE38" s="126">
        <f>SUM(AE33:AE37)</f>
        <v>0</v>
      </c>
      <c r="AF38" s="126">
        <f>SUM(AF33:AF37)</f>
        <v>67500000</v>
      </c>
      <c r="AG38" s="127">
        <f t="shared" ref="AG38" si="478">IF(AD38=0,"",AE38/AD38)</f>
        <v>0</v>
      </c>
      <c r="AH38" s="126">
        <f>SUM(AH33:AH37)</f>
        <v>67500000</v>
      </c>
      <c r="AI38" s="126">
        <f>SUM(AI33:AI37)</f>
        <v>0</v>
      </c>
      <c r="AJ38" s="126">
        <f>SUM(AJ33:AJ37)</f>
        <v>67500000</v>
      </c>
      <c r="AK38" s="127">
        <f t="shared" ref="AK38" si="479">IF(AH38=0,"",AI38/AH38)</f>
        <v>0</v>
      </c>
      <c r="AL38" s="126">
        <f>SUM(AL33:AL37)</f>
        <v>67500000</v>
      </c>
      <c r="AM38" s="126">
        <f>SUM(AM33:AM37)</f>
        <v>0</v>
      </c>
      <c r="AN38" s="126">
        <f>SUM(AN33:AN37)</f>
        <v>67500000</v>
      </c>
      <c r="AO38" s="127">
        <f t="shared" ref="AO38" si="480">IF(AL38=0,"",AM38/AL38)</f>
        <v>0</v>
      </c>
      <c r="AP38" s="126">
        <f>SUM(AP33:AP37)</f>
        <v>67500000</v>
      </c>
      <c r="AQ38" s="126">
        <f>SUM(AQ33:AQ37)</f>
        <v>0</v>
      </c>
      <c r="AR38" s="126">
        <f>SUM(AR33:AR37)</f>
        <v>67500000</v>
      </c>
      <c r="AS38" s="127">
        <f t="shared" ref="AS38" si="481">IF(AP38=0,"",AQ38/AP38)</f>
        <v>0</v>
      </c>
      <c r="AT38" s="128">
        <f>SUM(AT33:AT37)</f>
        <v>67500000</v>
      </c>
      <c r="AU38" s="126">
        <f>SUM(AU33:AU37)</f>
        <v>0</v>
      </c>
      <c r="AV38" s="126">
        <f>SUM(AV33:AV37)</f>
        <v>67500000</v>
      </c>
      <c r="AW38" s="127">
        <f t="shared" ref="AW38" si="482">IF(AT38=0,"",AU38/AT38)</f>
        <v>0</v>
      </c>
      <c r="AX38" s="128">
        <f>SUM(AX33:AX37)</f>
        <v>67500000</v>
      </c>
      <c r="AY38" s="126">
        <f>SUM(AY33:AY37)</f>
        <v>0</v>
      </c>
      <c r="AZ38" s="126">
        <f>SUM(AZ33:AZ37)</f>
        <v>67500000</v>
      </c>
      <c r="BA38" s="127">
        <f t="shared" ref="BA38" si="483">IF(AX38=0,"",AY38/AX38)</f>
        <v>0</v>
      </c>
      <c r="BB38" s="128">
        <f>SUM(BB33:BB37)</f>
        <v>67500000</v>
      </c>
      <c r="BC38" s="126">
        <f>SUM(BC33:BC37)</f>
        <v>0</v>
      </c>
      <c r="BD38" s="126">
        <f>SUM(BD33:BD37)</f>
        <v>67500000</v>
      </c>
      <c r="BE38" s="127">
        <f t="shared" ref="BE38" si="484">IF(BB38=0,"",BC38/BB38)</f>
        <v>0</v>
      </c>
      <c r="BF38" s="128">
        <f>SUM(BF33:BF37)</f>
        <v>67500000</v>
      </c>
      <c r="BG38" s="126">
        <f>SUM(BG33:BG37)</f>
        <v>0</v>
      </c>
      <c r="BH38" s="126">
        <f>SUM(BH33:BH37)</f>
        <v>67500000</v>
      </c>
      <c r="BI38" s="127">
        <f t="shared" ref="BI38" si="485">IF(BF38=0,"",BG38/BF38)</f>
        <v>0</v>
      </c>
      <c r="BJ38" s="128">
        <f>SUM(BJ33:BJ37)</f>
        <v>67500000</v>
      </c>
      <c r="BK38" s="126">
        <f>SUM(BK33:BK37)</f>
        <v>0</v>
      </c>
      <c r="BL38" s="126">
        <f>SUM(BL33:BL37)</f>
        <v>67500000</v>
      </c>
      <c r="BM38" s="127">
        <f t="shared" ref="BM38" si="486">IF(BJ38=0,"",BK38/BJ38)</f>
        <v>0</v>
      </c>
      <c r="BN38" s="128">
        <f>SUM(BN33:BN37)</f>
        <v>67500000</v>
      </c>
      <c r="BO38" s="126">
        <f>SUM(BO33:BO37)</f>
        <v>0</v>
      </c>
      <c r="BP38" s="126">
        <f>SUM(BP33:BP37)</f>
        <v>67500000</v>
      </c>
      <c r="BQ38" s="127">
        <f t="shared" ref="BQ38" si="487">IF(BN38=0,"",BO38/BN38)</f>
        <v>0</v>
      </c>
      <c r="BR38" s="128">
        <f>SUM(BR33:BR37)</f>
        <v>67500000</v>
      </c>
      <c r="BS38" s="126">
        <f>SUM(BS33:BS37)</f>
        <v>0</v>
      </c>
      <c r="BT38" s="126">
        <f>SUM(BT33:BT37)</f>
        <v>67500000</v>
      </c>
      <c r="BU38" s="127">
        <f t="shared" ref="BU38" si="488">IF(BR38=0,"",BS38/BR38)</f>
        <v>0</v>
      </c>
      <c r="BV38" s="128">
        <f>SUM(BV33:BV37)</f>
        <v>67500000</v>
      </c>
      <c r="BW38" s="126">
        <f>SUM(BW33:BW37)</f>
        <v>0</v>
      </c>
      <c r="BX38" s="126">
        <f>SUM(BX33:BX37)</f>
        <v>67500000</v>
      </c>
      <c r="BY38" s="127">
        <f t="shared" ref="BY38" si="489">IF(BV38=0,"",BW38/BV38)</f>
        <v>0</v>
      </c>
      <c r="BZ38" s="128">
        <f>SUM(BZ33:BZ37)</f>
        <v>67500000</v>
      </c>
      <c r="CA38" s="126">
        <f>SUM(CA33:CA37)</f>
        <v>0</v>
      </c>
      <c r="CB38" s="126">
        <f>SUM(CB33:CB37)</f>
        <v>67500000</v>
      </c>
      <c r="CC38" s="127">
        <f t="shared" ref="CC38" si="490">IF(BZ38=0,"",CA38/BZ38)</f>
        <v>0</v>
      </c>
      <c r="CD38" s="128">
        <f>SUM(CD33:CD37)</f>
        <v>67500000</v>
      </c>
      <c r="CE38" s="126">
        <f>SUM(CE33:CE37)</f>
        <v>0</v>
      </c>
      <c r="CF38" s="126">
        <f>SUM(CF33:CF37)</f>
        <v>67500000</v>
      </c>
      <c r="CG38" s="127">
        <f t="shared" ref="CG38" si="491">IF(CD38=0,"",CE38/CD38)</f>
        <v>0</v>
      </c>
      <c r="CH38" s="128">
        <f>SUM(CH33:CH37)</f>
        <v>67500000</v>
      </c>
      <c r="CI38" s="126">
        <f>SUM(CI33:CI37)</f>
        <v>0</v>
      </c>
      <c r="CJ38" s="126">
        <f>SUM(CJ33:CJ37)</f>
        <v>67500000</v>
      </c>
      <c r="CK38" s="127">
        <f t="shared" ref="CK38" si="492">IF(CH38=0,"",CI38/CH38)</f>
        <v>0</v>
      </c>
      <c r="CL38" s="128">
        <f>SUM(CL33:CL37)</f>
        <v>67500000</v>
      </c>
      <c r="CM38" s="126">
        <f>SUM(CM33:CM37)</f>
        <v>0</v>
      </c>
      <c r="CN38" s="126">
        <f>SUM(CN33:CN37)</f>
        <v>67500000</v>
      </c>
      <c r="CO38" s="127">
        <f t="shared" ref="CO38" si="493">IF(CL38=0,"",CM38/CL38)</f>
        <v>0</v>
      </c>
    </row>
    <row r="39" spans="1:93" x14ac:dyDescent="0.3">
      <c r="A39" s="129" t="s">
        <v>411</v>
      </c>
      <c r="B39" s="130"/>
      <c r="C39" s="130"/>
      <c r="D39" s="131"/>
      <c r="E39" s="130"/>
      <c r="F39" s="130"/>
      <c r="G39" s="130"/>
      <c r="H39" s="130"/>
      <c r="I39" s="131"/>
      <c r="J39" s="130"/>
      <c r="K39" s="130"/>
      <c r="L39" s="130"/>
      <c r="M39" s="131"/>
      <c r="N39" s="130"/>
      <c r="O39" s="130"/>
      <c r="P39" s="130"/>
      <c r="Q39" s="131"/>
      <c r="R39" s="130"/>
      <c r="S39" s="130"/>
      <c r="T39" s="130"/>
      <c r="U39" s="131"/>
      <c r="V39" s="130"/>
      <c r="W39" s="130"/>
      <c r="X39" s="130"/>
      <c r="Y39" s="131"/>
      <c r="Z39" s="130"/>
      <c r="AA39" s="130"/>
      <c r="AB39" s="130"/>
      <c r="AC39" s="131"/>
      <c r="AD39" s="130"/>
      <c r="AE39" s="130"/>
      <c r="AF39" s="130"/>
      <c r="AG39" s="131"/>
      <c r="AH39" s="130"/>
      <c r="AI39" s="130"/>
      <c r="AJ39" s="130"/>
      <c r="AK39" s="131"/>
      <c r="AL39" s="130"/>
      <c r="AM39" s="130"/>
      <c r="AN39" s="130"/>
      <c r="AO39" s="131"/>
      <c r="AP39" s="130"/>
      <c r="AQ39" s="130"/>
      <c r="AR39" s="130"/>
      <c r="AS39" s="131"/>
      <c r="AT39" s="132"/>
      <c r="AU39" s="130"/>
      <c r="AV39" s="130"/>
      <c r="AW39" s="131"/>
      <c r="AX39" s="132"/>
      <c r="AY39" s="130"/>
      <c r="AZ39" s="130"/>
      <c r="BA39" s="131"/>
      <c r="BB39" s="132"/>
      <c r="BC39" s="130"/>
      <c r="BD39" s="130"/>
      <c r="BE39" s="131"/>
      <c r="BF39" s="132"/>
      <c r="BG39" s="130"/>
      <c r="BH39" s="130"/>
      <c r="BI39" s="131"/>
      <c r="BJ39" s="132"/>
      <c r="BK39" s="130"/>
      <c r="BL39" s="130"/>
      <c r="BM39" s="131"/>
      <c r="BN39" s="132"/>
      <c r="BO39" s="130"/>
      <c r="BP39" s="130"/>
      <c r="BQ39" s="131"/>
      <c r="BR39" s="132"/>
      <c r="BS39" s="130"/>
      <c r="BT39" s="130"/>
      <c r="BU39" s="131"/>
      <c r="BV39" s="132"/>
      <c r="BW39" s="130"/>
      <c r="BX39" s="130"/>
      <c r="BY39" s="131"/>
      <c r="BZ39" s="132"/>
      <c r="CA39" s="130"/>
      <c r="CB39" s="130"/>
      <c r="CC39" s="131"/>
      <c r="CD39" s="132"/>
      <c r="CE39" s="130"/>
      <c r="CF39" s="130"/>
      <c r="CG39" s="131"/>
      <c r="CH39" s="132"/>
      <c r="CI39" s="130"/>
      <c r="CJ39" s="130"/>
      <c r="CK39" s="131"/>
      <c r="CL39" s="132"/>
      <c r="CM39" s="130"/>
      <c r="CN39" s="130"/>
      <c r="CO39" s="131"/>
    </row>
    <row r="40" spans="1:93" outlineLevel="1" x14ac:dyDescent="0.3">
      <c r="A40" s="101" t="s">
        <v>95</v>
      </c>
      <c r="B40" s="33">
        <f ca="1">IFERROR(AVERAGE(INDEX($B84:$W84,MATCH($B$3,$B$51:$W$51,0)-2):INDEX($B84:$W84,MATCH($B$3,$B$51:$W$51,0))),0)</f>
        <v>37682173.24666667</v>
      </c>
      <c r="C40" s="33">
        <f ca="1">IFERROR(SLOPE(INDEX($B84:$W84,1):INDEX($B84:$W84,MATCH($B$3,$B$51:$W$51,0)),INDEX($B$50:$W$50,1):INDEX($B$50:$W$50,MATCH($B$3,$B$51:$W$51,0))),0)</f>
        <v>8735954.6399999987</v>
      </c>
      <c r="D40" s="11">
        <f t="shared" ref="D40:D45" ca="1" si="494">IF($B40=0,"",$C40/$B40)</f>
        <v>0.23183255866944386</v>
      </c>
      <c r="E40" s="33">
        <f t="shared" ref="E40:E45" ca="1" si="495">MAX(0,ROUND($B40+$C40*3,-3))</f>
        <v>63890000</v>
      </c>
      <c r="F40" s="33"/>
      <c r="G40" s="33">
        <f>SUMIFS(TablaEgresos[Valor],TablaEgresos[Categoría],$A40,TablaEgresos[Mes],F$4)</f>
        <v>1616605.34</v>
      </c>
      <c r="H40" s="33" t="str">
        <f t="shared" ref="H40:H45" si="496">IF(F40="","",F40-G40)</f>
        <v/>
      </c>
      <c r="I40" s="11" t="str">
        <f t="shared" ref="I40:I45" si="497">IF(OR(F40="",F40=0),"",G40/F40)</f>
        <v/>
      </c>
      <c r="J40" s="33"/>
      <c r="K40" s="33">
        <f>SUMIFS(TablaEgresos[Valor],TablaEgresos[Categoría],$A40,TablaEgresos[Mes],J$4)</f>
        <v>39505270</v>
      </c>
      <c r="L40" s="33" t="str">
        <f t="shared" ref="L40:L45" si="498">IF(J40="","",J40-K40)</f>
        <v/>
      </c>
      <c r="M40" s="11" t="str">
        <f t="shared" ref="M40:M45" si="499">IF(OR(J40="",J40=0),"",K40/J40)</f>
        <v/>
      </c>
      <c r="N40" s="33"/>
      <c r="O40" s="33">
        <f>SUMIFS(TablaEgresos[Valor],TablaEgresos[Categoría],$A40,TablaEgresos[Mes],N$4)</f>
        <v>44454558.399999999</v>
      </c>
      <c r="P40" s="33" t="str">
        <f t="shared" ref="P40:P45" si="500">IF(N40="","",N40-O40)</f>
        <v/>
      </c>
      <c r="Q40" s="11" t="str">
        <f t="shared" ref="Q40:Q45" si="501">IF(OR(N40="",N40=0),"",O40/N40)</f>
        <v/>
      </c>
      <c r="R40" s="33"/>
      <c r="S40" s="33">
        <f>SUMIFS(TablaEgresos[Valor],TablaEgresos[Categoría],$A40,TablaEgresos[Mes],R$4)</f>
        <v>29086691.34</v>
      </c>
      <c r="T40" s="33" t="str">
        <f t="shared" ref="T40:T45" si="502">IF(R40="","",R40-S40)</f>
        <v/>
      </c>
      <c r="U40" s="11" t="str">
        <f t="shared" ref="U40:U45" si="503">IF(OR(R40="",R40=0),"",S40/R40)</f>
        <v/>
      </c>
      <c r="V40" s="102">
        <v>19000000</v>
      </c>
      <c r="W40" s="33">
        <f>SUMIFS(TablaEgresos[Valor],TablaEgresos[Categoría],$A40,TablaEgresos[Mes],V$4)</f>
        <v>10084789.34</v>
      </c>
      <c r="X40" s="33">
        <f t="shared" ref="X40:X45" si="504">IF(V40="","",V40-W40)</f>
        <v>8915210.6600000001</v>
      </c>
      <c r="Y40" s="11">
        <f t="shared" ref="Y40:Y45" si="505">IF(OR(V40="",V40=0),"",W40/V40)</f>
        <v>0.53077838631578944</v>
      </c>
      <c r="Z40" s="102">
        <v>5000000</v>
      </c>
      <c r="AA40" s="33">
        <f>SUMIFS(TablaEgresos[Valor],TablaEgresos[Categoría],$A40,TablaEgresos[Mes],Z$4)</f>
        <v>0</v>
      </c>
      <c r="AB40" s="33">
        <f t="shared" ref="AB40:AB45" si="506">IF(Z40="","",Z40-AA40)</f>
        <v>5000000</v>
      </c>
      <c r="AC40" s="11">
        <f t="shared" ref="AC40:AC45" si="507">IF(OR(Z40="",Z40=0),"",AA40/Z40)</f>
        <v>0</v>
      </c>
      <c r="AD40" s="102">
        <v>5000000</v>
      </c>
      <c r="AE40" s="33">
        <f>SUMIFS(TablaEgresos[Valor],TablaEgresos[Categoría],$A40,TablaEgresos[Mes],AD$4)</f>
        <v>0</v>
      </c>
      <c r="AF40" s="33">
        <f t="shared" ref="AF40:AF45" si="508">IF(AD40="","",AD40-AE40)</f>
        <v>5000000</v>
      </c>
      <c r="AG40" s="11">
        <f t="shared" ref="AG40:AG45" si="509">IF(OR(AD40="",AD40=0),"",AE40/AD40)</f>
        <v>0</v>
      </c>
      <c r="AH40" s="102">
        <v>5000000</v>
      </c>
      <c r="AI40" s="33">
        <f>SUMIFS(TablaEgresos[Valor],TablaEgresos[Categoría],$A40,TablaEgresos[Mes],AH$4)</f>
        <v>0</v>
      </c>
      <c r="AJ40" s="33">
        <f t="shared" ref="AJ40:AJ45" si="510">IF(AH40="","",AH40-AI40)</f>
        <v>5000000</v>
      </c>
      <c r="AK40" s="11">
        <f t="shared" ref="AK40:AK45" si="511">IF(OR(AH40="",AH40=0),"",AI40/AH40)</f>
        <v>0</v>
      </c>
      <c r="AL40" s="102">
        <v>5000000</v>
      </c>
      <c r="AM40" s="33">
        <f>SUMIFS(TablaEgresos[Valor],TablaEgresos[Categoría],$A40,TablaEgresos[Mes],AL$4)</f>
        <v>0</v>
      </c>
      <c r="AN40" s="33">
        <f t="shared" ref="AN40:AN45" si="512">IF(AL40="","",AL40-AM40)</f>
        <v>5000000</v>
      </c>
      <c r="AO40" s="11">
        <f t="shared" ref="AO40:AO45" si="513">IF(OR(AL40="",AL40=0),"",AM40/AL40)</f>
        <v>0</v>
      </c>
      <c r="AP40" s="102">
        <v>5000000</v>
      </c>
      <c r="AQ40" s="33">
        <f>SUMIFS(TablaEgresos[Valor],TablaEgresos[Categoría],$A40,TablaEgresos[Mes],AP$4)</f>
        <v>0</v>
      </c>
      <c r="AR40" s="33">
        <f t="shared" ref="AR40:AR45" si="514">IF(AP40="","",AP40-AQ40)</f>
        <v>5000000</v>
      </c>
      <c r="AS40" s="11">
        <f t="shared" ref="AS40:AS45" si="515">IF(OR(AP40="",AP40=0),"",AQ40/AP40)</f>
        <v>0</v>
      </c>
      <c r="AT40" s="102">
        <v>5000000</v>
      </c>
      <c r="AU40" s="33">
        <f>SUMIFS(TablaEgresos[Valor],TablaEgresos[Categoría],$A40,TablaEgresos[Mes],AT$4)</f>
        <v>0</v>
      </c>
      <c r="AV40" s="33">
        <f t="shared" ref="AV40:AV45" si="516">IF(AT40="","",AT40-AU40)</f>
        <v>5000000</v>
      </c>
      <c r="AW40" s="11">
        <f t="shared" ref="AW40:AW45" si="517">IF(OR(AT40="",AT40=0),"",AU40/AT40)</f>
        <v>0</v>
      </c>
      <c r="AX40" s="102">
        <v>5000000</v>
      </c>
      <c r="AY40" s="33">
        <f>SUMIFS(TablaEgresos[Valor],TablaEgresos[Categoría],$A40,TablaEgresos[Mes],AX$4)</f>
        <v>0</v>
      </c>
      <c r="AZ40" s="33">
        <f t="shared" ref="AZ40:AZ45" si="518">IF(AX40="","",AX40-AY40)</f>
        <v>5000000</v>
      </c>
      <c r="BA40" s="11">
        <f t="shared" ref="BA40:BA45" si="519">IF(OR(AX40="",AX40=0),"",AY40/AX40)</f>
        <v>0</v>
      </c>
      <c r="BB40" s="102">
        <v>5000000</v>
      </c>
      <c r="BC40" s="33">
        <f>SUMIFS(TablaEgresos[Valor],TablaEgresos[Categoría],$A40,TablaEgresos[Mes],BB$4)</f>
        <v>0</v>
      </c>
      <c r="BD40" s="33">
        <f t="shared" ref="BD40:BD45" si="520">IF(BB40="","",BB40-BC40)</f>
        <v>5000000</v>
      </c>
      <c r="BE40" s="11">
        <f t="shared" ref="BE40:BE45" si="521">IF(OR(BB40="",BB40=0),"",BC40/BB40)</f>
        <v>0</v>
      </c>
      <c r="BF40" s="102">
        <v>5000000</v>
      </c>
      <c r="BG40" s="33">
        <f>SUMIFS(TablaEgresos[Valor],TablaEgresos[Categoría],$A40,TablaEgresos[Mes],BF$4)</f>
        <v>0</v>
      </c>
      <c r="BH40" s="33">
        <f t="shared" ref="BH40:BH45" si="522">IF(BF40="","",BF40-BG40)</f>
        <v>5000000</v>
      </c>
      <c r="BI40" s="11">
        <f t="shared" ref="BI40:BI45" si="523">IF(OR(BF40="",BF40=0),"",BG40/BF40)</f>
        <v>0</v>
      </c>
      <c r="BJ40" s="102">
        <v>5000000</v>
      </c>
      <c r="BK40" s="33">
        <f>SUMIFS(TablaEgresos[Valor],TablaEgresos[Categoría],$A40,TablaEgresos[Mes],BJ$4)</f>
        <v>0</v>
      </c>
      <c r="BL40" s="33">
        <f t="shared" ref="BL40:BL45" si="524">IF(BJ40="","",BJ40-BK40)</f>
        <v>5000000</v>
      </c>
      <c r="BM40" s="11">
        <f t="shared" ref="BM40:BM45" si="525">IF(OR(BJ40="",BJ40=0),"",BK40/BJ40)</f>
        <v>0</v>
      </c>
      <c r="BN40" s="102">
        <v>5000000</v>
      </c>
      <c r="BO40" s="33">
        <f>SUMIFS(TablaEgresos[Valor],TablaEgresos[Categoría],$A40,TablaEgresos[Mes],BN$4)</f>
        <v>0</v>
      </c>
      <c r="BP40" s="33">
        <f t="shared" ref="BP40:BP45" si="526">IF(BN40="","",BN40-BO40)</f>
        <v>5000000</v>
      </c>
      <c r="BQ40" s="11">
        <f t="shared" ref="BQ40:BQ45" si="527">IF(OR(BN40="",BN40=0),"",BO40/BN40)</f>
        <v>0</v>
      </c>
      <c r="BR40" s="102">
        <v>5000000</v>
      </c>
      <c r="BS40" s="33">
        <f>SUMIFS(TablaEgresos[Valor],TablaEgresos[Categoría],$A40,TablaEgresos[Mes],BR$4)</f>
        <v>0</v>
      </c>
      <c r="BT40" s="33">
        <f t="shared" ref="BT40:BT45" si="528">IF(BR40="","",BR40-BS40)</f>
        <v>5000000</v>
      </c>
      <c r="BU40" s="11">
        <f t="shared" ref="BU40:BU45" si="529">IF(OR(BR40="",BR40=0),"",BS40/BR40)</f>
        <v>0</v>
      </c>
      <c r="BV40" s="102">
        <v>5000000</v>
      </c>
      <c r="BW40" s="33">
        <f>SUMIFS(TablaEgresos[Valor],TablaEgresos[Categoría],$A40,TablaEgresos[Mes],BV$4)</f>
        <v>0</v>
      </c>
      <c r="BX40" s="33">
        <f t="shared" ref="BX40:BX45" si="530">IF(BV40="","",BV40-BW40)</f>
        <v>5000000</v>
      </c>
      <c r="BY40" s="11">
        <f t="shared" ref="BY40:BY45" si="531">IF(OR(BV40="",BV40=0),"",BW40/BV40)</f>
        <v>0</v>
      </c>
      <c r="BZ40" s="102">
        <v>5000000</v>
      </c>
      <c r="CA40" s="33">
        <f>SUMIFS(TablaEgresos[Valor],TablaEgresos[Categoría],$A40,TablaEgresos[Mes],BZ$4)</f>
        <v>0</v>
      </c>
      <c r="CB40" s="33">
        <f t="shared" ref="CB40:CB45" si="532">IF(BZ40="","",BZ40-CA40)</f>
        <v>5000000</v>
      </c>
      <c r="CC40" s="11">
        <f t="shared" ref="CC40:CC45" si="533">IF(OR(BZ40="",BZ40=0),"",CA40/BZ40)</f>
        <v>0</v>
      </c>
      <c r="CD40" s="102">
        <v>5000000</v>
      </c>
      <c r="CE40" s="33">
        <f>SUMIFS(TablaEgresos[Valor],TablaEgresos[Categoría],$A40,TablaEgresos[Mes],CD$4)</f>
        <v>0</v>
      </c>
      <c r="CF40" s="33">
        <f t="shared" ref="CF40:CF45" si="534">IF(CD40="","",CD40-CE40)</f>
        <v>5000000</v>
      </c>
      <c r="CG40" s="11">
        <f t="shared" ref="CG40:CG45" si="535">IF(OR(CD40="",CD40=0),"",CE40/CD40)</f>
        <v>0</v>
      </c>
      <c r="CH40" s="102">
        <v>5000000</v>
      </c>
      <c r="CI40" s="33">
        <f>SUMIFS(TablaEgresos[Valor],TablaEgresos[Categoría],$A40,TablaEgresos[Mes],CH$4)</f>
        <v>0</v>
      </c>
      <c r="CJ40" s="33">
        <f t="shared" ref="CJ40:CJ45" si="536">IF(CH40="","",CH40-CI40)</f>
        <v>5000000</v>
      </c>
      <c r="CK40" s="11">
        <f t="shared" ref="CK40:CK45" si="537">IF(OR(CH40="",CH40=0),"",CI40/CH40)</f>
        <v>0</v>
      </c>
      <c r="CL40" s="102">
        <v>5000000</v>
      </c>
      <c r="CM40" s="33">
        <f>SUMIFS(TablaEgresos[Valor],TablaEgresos[Categoría],$A40,TablaEgresos[Mes],CL$4)</f>
        <v>0</v>
      </c>
      <c r="CN40" s="33">
        <f t="shared" ref="CN40:CN45" si="538">IF(CL40="","",CL40-CM40)</f>
        <v>5000000</v>
      </c>
      <c r="CO40" s="11">
        <f t="shared" ref="CO40:CO45" si="539">IF(OR(CL40="",CL40=0),"",CM40/CL40)</f>
        <v>0</v>
      </c>
    </row>
    <row r="41" spans="1:93" outlineLevel="1" x14ac:dyDescent="0.3">
      <c r="A41" s="101" t="s">
        <v>291</v>
      </c>
      <c r="B41" s="33">
        <f ca="1">IFERROR(AVERAGE(INDEX($B85:$W85,MATCH($B$3,$B$51:$W$51,0)-2):INDEX($B85:$W85,MATCH($B$3,$B$51:$W$51,0))),0)</f>
        <v>117528.66666666667</v>
      </c>
      <c r="C41" s="33">
        <f ca="1">IFERROR(SLOPE(INDEX($B85:$W85,1):INDEX($B85:$W85,MATCH($B$3,$B$51:$W$51,0)),INDEX($B$50:$W$50,1):INDEX($B$50:$W$50,MATCH($B$3,$B$51:$W$51,0))),0)</f>
        <v>33590.199999999997</v>
      </c>
      <c r="D41" s="11">
        <f t="shared" ca="1" si="494"/>
        <v>0.2858043144083996</v>
      </c>
      <c r="E41" s="33">
        <f t="shared" ca="1" si="495"/>
        <v>218000</v>
      </c>
      <c r="F41" s="33"/>
      <c r="G41" s="33">
        <f>SUMIFS(TablaEgresos[Valor],TablaEgresos[Categoría],$A41,TablaEgresos[Mes],F$4)</f>
        <v>0</v>
      </c>
      <c r="H41" s="33" t="str">
        <f t="shared" si="496"/>
        <v/>
      </c>
      <c r="I41" s="11" t="str">
        <f t="shared" si="497"/>
        <v/>
      </c>
      <c r="J41" s="33"/>
      <c r="K41" s="33">
        <f>SUMIFS(TablaEgresos[Valor],TablaEgresos[Categoría],$A41,TablaEgresos[Mes],J$4)</f>
        <v>180464</v>
      </c>
      <c r="L41" s="33" t="str">
        <f t="shared" si="498"/>
        <v/>
      </c>
      <c r="M41" s="11" t="str">
        <f t="shared" si="499"/>
        <v/>
      </c>
      <c r="N41" s="33"/>
      <c r="O41" s="33">
        <f>SUMIFS(TablaEgresos[Valor],TablaEgresos[Categoría],$A41,TablaEgresos[Mes],N$4)</f>
        <v>0</v>
      </c>
      <c r="P41" s="33" t="str">
        <f t="shared" si="500"/>
        <v/>
      </c>
      <c r="Q41" s="11" t="str">
        <f t="shared" si="501"/>
        <v/>
      </c>
      <c r="R41" s="33"/>
      <c r="S41" s="33">
        <f>SUMIFS(TablaEgresos[Valor],TablaEgresos[Categoría],$A41,TablaEgresos[Mes],R$4)</f>
        <v>172122</v>
      </c>
      <c r="T41" s="33" t="str">
        <f t="shared" si="502"/>
        <v/>
      </c>
      <c r="U41" s="11" t="str">
        <f t="shared" si="503"/>
        <v/>
      </c>
      <c r="V41" s="102">
        <v>0</v>
      </c>
      <c r="W41" s="33">
        <f>SUMIFS(TablaEgresos[Valor],TablaEgresos[Categoría],$A41,TablaEgresos[Mes],V$4)</f>
        <v>3686613</v>
      </c>
      <c r="X41" s="33">
        <f t="shared" si="504"/>
        <v>-3686613</v>
      </c>
      <c r="Y41" s="11" t="str">
        <f t="shared" si="505"/>
        <v/>
      </c>
      <c r="Z41" s="102">
        <v>0</v>
      </c>
      <c r="AA41" s="33">
        <f>SUMIFS(TablaEgresos[Valor],TablaEgresos[Categoría],$A41,TablaEgresos[Mes],Z$4)</f>
        <v>0</v>
      </c>
      <c r="AB41" s="33">
        <f t="shared" si="506"/>
        <v>0</v>
      </c>
      <c r="AC41" s="11" t="str">
        <f t="shared" si="507"/>
        <v/>
      </c>
      <c r="AD41" s="102">
        <v>0</v>
      </c>
      <c r="AE41" s="33">
        <f>SUMIFS(TablaEgresos[Valor],TablaEgresos[Categoría],$A41,TablaEgresos[Mes],AD$4)</f>
        <v>0</v>
      </c>
      <c r="AF41" s="33">
        <f t="shared" si="508"/>
        <v>0</v>
      </c>
      <c r="AG41" s="11" t="str">
        <f t="shared" si="509"/>
        <v/>
      </c>
      <c r="AH41" s="102">
        <v>0</v>
      </c>
      <c r="AI41" s="33">
        <f>SUMIFS(TablaEgresos[Valor],TablaEgresos[Categoría],$A41,TablaEgresos[Mes],AH$4)</f>
        <v>0</v>
      </c>
      <c r="AJ41" s="33">
        <f t="shared" si="510"/>
        <v>0</v>
      </c>
      <c r="AK41" s="11" t="str">
        <f t="shared" si="511"/>
        <v/>
      </c>
      <c r="AL41" s="102">
        <v>0</v>
      </c>
      <c r="AM41" s="33">
        <f>SUMIFS(TablaEgresos[Valor],TablaEgresos[Categoría],$A41,TablaEgresos[Mes],AL$4)</f>
        <v>0</v>
      </c>
      <c r="AN41" s="33">
        <f t="shared" si="512"/>
        <v>0</v>
      </c>
      <c r="AO41" s="11" t="str">
        <f t="shared" si="513"/>
        <v/>
      </c>
      <c r="AP41" s="102">
        <v>0</v>
      </c>
      <c r="AQ41" s="33">
        <f>SUMIFS(TablaEgresos[Valor],TablaEgresos[Categoría],$A41,TablaEgresos[Mes],AP$4)</f>
        <v>0</v>
      </c>
      <c r="AR41" s="33">
        <f t="shared" si="514"/>
        <v>0</v>
      </c>
      <c r="AS41" s="11" t="str">
        <f t="shared" si="515"/>
        <v/>
      </c>
      <c r="AT41" s="102">
        <v>0</v>
      </c>
      <c r="AU41" s="33">
        <f>SUMIFS(TablaEgresos[Valor],TablaEgresos[Categoría],$A41,TablaEgresos[Mes],AT$4)</f>
        <v>0</v>
      </c>
      <c r="AV41" s="33">
        <f t="shared" si="516"/>
        <v>0</v>
      </c>
      <c r="AW41" s="11" t="str">
        <f t="shared" si="517"/>
        <v/>
      </c>
      <c r="AX41" s="102">
        <v>0</v>
      </c>
      <c r="AY41" s="33">
        <f>SUMIFS(TablaEgresos[Valor],TablaEgresos[Categoría],$A41,TablaEgresos[Mes],AX$4)</f>
        <v>0</v>
      </c>
      <c r="AZ41" s="33">
        <f t="shared" si="518"/>
        <v>0</v>
      </c>
      <c r="BA41" s="11" t="str">
        <f t="shared" si="519"/>
        <v/>
      </c>
      <c r="BB41" s="102">
        <v>0</v>
      </c>
      <c r="BC41" s="33">
        <f>SUMIFS(TablaEgresos[Valor],TablaEgresos[Categoría],$A41,TablaEgresos[Mes],BB$4)</f>
        <v>0</v>
      </c>
      <c r="BD41" s="33">
        <f t="shared" si="520"/>
        <v>0</v>
      </c>
      <c r="BE41" s="11" t="str">
        <f t="shared" si="521"/>
        <v/>
      </c>
      <c r="BF41" s="102">
        <v>0</v>
      </c>
      <c r="BG41" s="33">
        <f>SUMIFS(TablaEgresos[Valor],TablaEgresos[Categoría],$A41,TablaEgresos[Mes],BF$4)</f>
        <v>0</v>
      </c>
      <c r="BH41" s="33">
        <f t="shared" si="522"/>
        <v>0</v>
      </c>
      <c r="BI41" s="11" t="str">
        <f t="shared" si="523"/>
        <v/>
      </c>
      <c r="BJ41" s="102">
        <v>0</v>
      </c>
      <c r="BK41" s="33">
        <f>SUMIFS(TablaEgresos[Valor],TablaEgresos[Categoría],$A41,TablaEgresos[Mes],BJ$4)</f>
        <v>0</v>
      </c>
      <c r="BL41" s="33">
        <f t="shared" si="524"/>
        <v>0</v>
      </c>
      <c r="BM41" s="11" t="str">
        <f t="shared" si="525"/>
        <v/>
      </c>
      <c r="BN41" s="102">
        <v>0</v>
      </c>
      <c r="BO41" s="33">
        <f>SUMIFS(TablaEgresos[Valor],TablaEgresos[Categoría],$A41,TablaEgresos[Mes],BN$4)</f>
        <v>0</v>
      </c>
      <c r="BP41" s="33">
        <f t="shared" si="526"/>
        <v>0</v>
      </c>
      <c r="BQ41" s="11" t="str">
        <f t="shared" si="527"/>
        <v/>
      </c>
      <c r="BR41" s="102">
        <v>0</v>
      </c>
      <c r="BS41" s="33">
        <f>SUMIFS(TablaEgresos[Valor],TablaEgresos[Categoría],$A41,TablaEgresos[Mes],BR$4)</f>
        <v>0</v>
      </c>
      <c r="BT41" s="33">
        <f t="shared" si="528"/>
        <v>0</v>
      </c>
      <c r="BU41" s="11" t="str">
        <f t="shared" si="529"/>
        <v/>
      </c>
      <c r="BV41" s="102">
        <v>0</v>
      </c>
      <c r="BW41" s="33">
        <f>SUMIFS(TablaEgresos[Valor],TablaEgresos[Categoría],$A41,TablaEgresos[Mes],BV$4)</f>
        <v>0</v>
      </c>
      <c r="BX41" s="33">
        <f t="shared" si="530"/>
        <v>0</v>
      </c>
      <c r="BY41" s="11" t="str">
        <f t="shared" si="531"/>
        <v/>
      </c>
      <c r="BZ41" s="102">
        <v>0</v>
      </c>
      <c r="CA41" s="33">
        <f>SUMIFS(TablaEgresos[Valor],TablaEgresos[Categoría],$A41,TablaEgresos[Mes],BZ$4)</f>
        <v>0</v>
      </c>
      <c r="CB41" s="33">
        <f t="shared" si="532"/>
        <v>0</v>
      </c>
      <c r="CC41" s="11" t="str">
        <f t="shared" si="533"/>
        <v/>
      </c>
      <c r="CD41" s="102">
        <v>0</v>
      </c>
      <c r="CE41" s="33">
        <f>SUMIFS(TablaEgresos[Valor],TablaEgresos[Categoría],$A41,TablaEgresos[Mes],CD$4)</f>
        <v>0</v>
      </c>
      <c r="CF41" s="33">
        <f t="shared" si="534"/>
        <v>0</v>
      </c>
      <c r="CG41" s="11" t="str">
        <f t="shared" si="535"/>
        <v/>
      </c>
      <c r="CH41" s="102">
        <v>0</v>
      </c>
      <c r="CI41" s="33">
        <f>SUMIFS(TablaEgresos[Valor],TablaEgresos[Categoría],$A41,TablaEgresos[Mes],CH$4)</f>
        <v>0</v>
      </c>
      <c r="CJ41" s="33">
        <f t="shared" si="536"/>
        <v>0</v>
      </c>
      <c r="CK41" s="11" t="str">
        <f t="shared" si="537"/>
        <v/>
      </c>
      <c r="CL41" s="102">
        <v>0</v>
      </c>
      <c r="CM41" s="33">
        <f>SUMIFS(TablaEgresos[Valor],TablaEgresos[Categoría],$A41,TablaEgresos[Mes],CL$4)</f>
        <v>0</v>
      </c>
      <c r="CN41" s="33">
        <f t="shared" si="538"/>
        <v>0</v>
      </c>
      <c r="CO41" s="11" t="str">
        <f t="shared" si="539"/>
        <v/>
      </c>
    </row>
    <row r="42" spans="1:93" outlineLevel="1" x14ac:dyDescent="0.3">
      <c r="A42" s="101" t="s">
        <v>78</v>
      </c>
      <c r="B42" s="33">
        <f ca="1">IFERROR(AVERAGE(INDEX($B86:$W86,MATCH($B$3,$B$51:$W$51,0)-2):INDEX($B86:$W86,MATCH($B$3,$B$51:$W$51,0))),0)</f>
        <v>35414.666666666664</v>
      </c>
      <c r="C42" s="33">
        <f ca="1">IFERROR(SLOPE(INDEX($B86:$W86,1):INDEX($B86:$W86,MATCH($B$3,$B$51:$W$51,0)),INDEX($B$50:$W$50,1):INDEX($B$50:$W$50,MATCH($B$3,$B$51:$W$51,0))),0)</f>
        <v>16891.2</v>
      </c>
      <c r="D42" s="11">
        <f t="shared" ca="1" si="494"/>
        <v>0.47695493392568056</v>
      </c>
      <c r="E42" s="33">
        <f t="shared" ca="1" si="495"/>
        <v>86000</v>
      </c>
      <c r="F42" s="33"/>
      <c r="G42" s="33">
        <f>SUMIFS(TablaEgresos[Valor],TablaEgresos[Categoría],$A42,TablaEgresos[Mes],F$4)</f>
        <v>0</v>
      </c>
      <c r="H42" s="33" t="str">
        <f t="shared" si="496"/>
        <v/>
      </c>
      <c r="I42" s="11" t="str">
        <f t="shared" si="497"/>
        <v/>
      </c>
      <c r="J42" s="33"/>
      <c r="K42" s="33">
        <f>SUMIFS(TablaEgresos[Valor],TablaEgresos[Categoría],$A42,TablaEgresos[Mes],J$4)</f>
        <v>27457</v>
      </c>
      <c r="L42" s="33" t="str">
        <f t="shared" si="498"/>
        <v/>
      </c>
      <c r="M42" s="11" t="str">
        <f t="shared" si="499"/>
        <v/>
      </c>
      <c r="N42" s="33"/>
      <c r="O42" s="33">
        <f>SUMIFS(TablaEgresos[Valor],TablaEgresos[Categoría],$A42,TablaEgresos[Mes],N$4)</f>
        <v>19996</v>
      </c>
      <c r="P42" s="33" t="str">
        <f t="shared" si="500"/>
        <v/>
      </c>
      <c r="Q42" s="11" t="str">
        <f t="shared" si="501"/>
        <v/>
      </c>
      <c r="R42" s="33"/>
      <c r="S42" s="33">
        <f>SUMIFS(TablaEgresos[Valor],TablaEgresos[Categoría],$A42,TablaEgresos[Mes],R$4)</f>
        <v>58791</v>
      </c>
      <c r="T42" s="33" t="str">
        <f t="shared" si="502"/>
        <v/>
      </c>
      <c r="U42" s="11" t="str">
        <f t="shared" si="503"/>
        <v/>
      </c>
      <c r="V42" s="102">
        <v>0</v>
      </c>
      <c r="W42" s="33">
        <f>SUMIFS(TablaEgresos[Valor],TablaEgresos[Categoría],$A42,TablaEgresos[Mes],V$4)</f>
        <v>29701</v>
      </c>
      <c r="X42" s="33">
        <f t="shared" si="504"/>
        <v>-29701</v>
      </c>
      <c r="Y42" s="11" t="str">
        <f t="shared" si="505"/>
        <v/>
      </c>
      <c r="Z42" s="102">
        <v>300000</v>
      </c>
      <c r="AA42" s="33">
        <f>SUMIFS(TablaEgresos[Valor],TablaEgresos[Categoría],$A42,TablaEgresos[Mes],Z$4)</f>
        <v>0</v>
      </c>
      <c r="AB42" s="33">
        <f t="shared" si="506"/>
        <v>300000</v>
      </c>
      <c r="AC42" s="11">
        <f t="shared" si="507"/>
        <v>0</v>
      </c>
      <c r="AD42" s="102">
        <v>300000</v>
      </c>
      <c r="AE42" s="33">
        <f>SUMIFS(TablaEgresos[Valor],TablaEgresos[Categoría],$A42,TablaEgresos[Mes],AD$4)</f>
        <v>0</v>
      </c>
      <c r="AF42" s="33">
        <f t="shared" si="508"/>
        <v>300000</v>
      </c>
      <c r="AG42" s="11">
        <f t="shared" si="509"/>
        <v>0</v>
      </c>
      <c r="AH42" s="102">
        <v>300000</v>
      </c>
      <c r="AI42" s="33">
        <f>SUMIFS(TablaEgresos[Valor],TablaEgresos[Categoría],$A42,TablaEgresos[Mes],AH$4)</f>
        <v>0</v>
      </c>
      <c r="AJ42" s="33">
        <f t="shared" si="510"/>
        <v>300000</v>
      </c>
      <c r="AK42" s="11">
        <f t="shared" si="511"/>
        <v>0</v>
      </c>
      <c r="AL42" s="102">
        <v>300000</v>
      </c>
      <c r="AM42" s="33">
        <f>SUMIFS(TablaEgresos[Valor],TablaEgresos[Categoría],$A42,TablaEgresos[Mes],AL$4)</f>
        <v>0</v>
      </c>
      <c r="AN42" s="33">
        <f t="shared" si="512"/>
        <v>300000</v>
      </c>
      <c r="AO42" s="11">
        <f t="shared" si="513"/>
        <v>0</v>
      </c>
      <c r="AP42" s="102">
        <v>300000</v>
      </c>
      <c r="AQ42" s="33">
        <f>SUMIFS(TablaEgresos[Valor],TablaEgresos[Categoría],$A42,TablaEgresos[Mes],AP$4)</f>
        <v>0</v>
      </c>
      <c r="AR42" s="33">
        <f t="shared" si="514"/>
        <v>300000</v>
      </c>
      <c r="AS42" s="11">
        <f t="shared" si="515"/>
        <v>0</v>
      </c>
      <c r="AT42" s="102">
        <v>300000</v>
      </c>
      <c r="AU42" s="33">
        <f>SUMIFS(TablaEgresos[Valor],TablaEgresos[Categoría],$A42,TablaEgresos[Mes],AT$4)</f>
        <v>0</v>
      </c>
      <c r="AV42" s="33">
        <f t="shared" si="516"/>
        <v>300000</v>
      </c>
      <c r="AW42" s="11">
        <f t="shared" si="517"/>
        <v>0</v>
      </c>
      <c r="AX42" s="102">
        <v>300000</v>
      </c>
      <c r="AY42" s="33">
        <f>SUMIFS(TablaEgresos[Valor],TablaEgresos[Categoría],$A42,TablaEgresos[Mes],AX$4)</f>
        <v>0</v>
      </c>
      <c r="AZ42" s="33">
        <f t="shared" si="518"/>
        <v>300000</v>
      </c>
      <c r="BA42" s="11">
        <f t="shared" si="519"/>
        <v>0</v>
      </c>
      <c r="BB42" s="102">
        <v>300000</v>
      </c>
      <c r="BC42" s="33">
        <f>SUMIFS(TablaEgresos[Valor],TablaEgresos[Categoría],$A42,TablaEgresos[Mes],BB$4)</f>
        <v>0</v>
      </c>
      <c r="BD42" s="33">
        <f t="shared" si="520"/>
        <v>300000</v>
      </c>
      <c r="BE42" s="11">
        <f t="shared" si="521"/>
        <v>0</v>
      </c>
      <c r="BF42" s="102">
        <v>300000</v>
      </c>
      <c r="BG42" s="33">
        <f>SUMIFS(TablaEgresos[Valor],TablaEgresos[Categoría],$A42,TablaEgresos[Mes],BF$4)</f>
        <v>0</v>
      </c>
      <c r="BH42" s="33">
        <f t="shared" si="522"/>
        <v>300000</v>
      </c>
      <c r="BI42" s="11">
        <f t="shared" si="523"/>
        <v>0</v>
      </c>
      <c r="BJ42" s="102">
        <v>300000</v>
      </c>
      <c r="BK42" s="33">
        <f>SUMIFS(TablaEgresos[Valor],TablaEgresos[Categoría],$A42,TablaEgresos[Mes],BJ$4)</f>
        <v>0</v>
      </c>
      <c r="BL42" s="33">
        <f t="shared" si="524"/>
        <v>300000</v>
      </c>
      <c r="BM42" s="11">
        <f t="shared" si="525"/>
        <v>0</v>
      </c>
      <c r="BN42" s="102">
        <v>300000</v>
      </c>
      <c r="BO42" s="33">
        <f>SUMIFS(TablaEgresos[Valor],TablaEgresos[Categoría],$A42,TablaEgresos[Mes],BN$4)</f>
        <v>0</v>
      </c>
      <c r="BP42" s="33">
        <f t="shared" si="526"/>
        <v>300000</v>
      </c>
      <c r="BQ42" s="11">
        <f t="shared" si="527"/>
        <v>0</v>
      </c>
      <c r="BR42" s="102">
        <v>300000</v>
      </c>
      <c r="BS42" s="33">
        <f>SUMIFS(TablaEgresos[Valor],TablaEgresos[Categoría],$A42,TablaEgresos[Mes],BR$4)</f>
        <v>0</v>
      </c>
      <c r="BT42" s="33">
        <f t="shared" si="528"/>
        <v>300000</v>
      </c>
      <c r="BU42" s="11">
        <f t="shared" si="529"/>
        <v>0</v>
      </c>
      <c r="BV42" s="102">
        <v>300000</v>
      </c>
      <c r="BW42" s="33">
        <f>SUMIFS(TablaEgresos[Valor],TablaEgresos[Categoría],$A42,TablaEgresos[Mes],BV$4)</f>
        <v>0</v>
      </c>
      <c r="BX42" s="33">
        <f t="shared" si="530"/>
        <v>300000</v>
      </c>
      <c r="BY42" s="11">
        <f t="shared" si="531"/>
        <v>0</v>
      </c>
      <c r="BZ42" s="102">
        <v>300000</v>
      </c>
      <c r="CA42" s="33">
        <f>SUMIFS(TablaEgresos[Valor],TablaEgresos[Categoría],$A42,TablaEgresos[Mes],BZ$4)</f>
        <v>0</v>
      </c>
      <c r="CB42" s="33">
        <f t="shared" si="532"/>
        <v>300000</v>
      </c>
      <c r="CC42" s="11">
        <f t="shared" si="533"/>
        <v>0</v>
      </c>
      <c r="CD42" s="102">
        <v>300000</v>
      </c>
      <c r="CE42" s="33">
        <f>SUMIFS(TablaEgresos[Valor],TablaEgresos[Categoría],$A42,TablaEgresos[Mes],CD$4)</f>
        <v>0</v>
      </c>
      <c r="CF42" s="33">
        <f t="shared" si="534"/>
        <v>300000</v>
      </c>
      <c r="CG42" s="11">
        <f t="shared" si="535"/>
        <v>0</v>
      </c>
      <c r="CH42" s="102">
        <v>300000</v>
      </c>
      <c r="CI42" s="33">
        <f>SUMIFS(TablaEgresos[Valor],TablaEgresos[Categoría],$A42,TablaEgresos[Mes],CH$4)</f>
        <v>0</v>
      </c>
      <c r="CJ42" s="33">
        <f t="shared" si="536"/>
        <v>300000</v>
      </c>
      <c r="CK42" s="11">
        <f t="shared" si="537"/>
        <v>0</v>
      </c>
      <c r="CL42" s="102">
        <v>300000</v>
      </c>
      <c r="CM42" s="33">
        <f>SUMIFS(TablaEgresos[Valor],TablaEgresos[Categoría],$A42,TablaEgresos[Mes],CL$4)</f>
        <v>0</v>
      </c>
      <c r="CN42" s="33">
        <f t="shared" si="538"/>
        <v>300000</v>
      </c>
      <c r="CO42" s="11">
        <f t="shared" si="539"/>
        <v>0</v>
      </c>
    </row>
    <row r="43" spans="1:93" outlineLevel="1" x14ac:dyDescent="0.3">
      <c r="A43" s="101" t="s">
        <v>1181</v>
      </c>
      <c r="B43" s="33">
        <f ca="1">IFERROR(AVERAGE(INDEX($B87:$W87,MATCH($B$3,$B$51:$W$51,0)-2):INDEX($B87:$W87,MATCH($B$3,$B$51:$W$51,0))),0)</f>
        <v>3054.42</v>
      </c>
      <c r="C43" s="33">
        <f ca="1">IFERROR(SLOPE(INDEX($B87:$W87,1):INDEX($B87:$W87,MATCH($B$3,$B$51:$W$51,0)),INDEX($B$50:$W$50,1):INDEX($B$50:$W$50,MATCH($B$3,$B$51:$W$51,0))),0)</f>
        <v>-916.32600000000002</v>
      </c>
      <c r="D43" s="11">
        <f t="shared" ca="1" si="494"/>
        <v>-0.3</v>
      </c>
      <c r="E43" s="33">
        <f t="shared" ca="1" si="495"/>
        <v>0</v>
      </c>
      <c r="F43" s="33"/>
      <c r="G43" s="33">
        <f>SUMIFS(TablaEgresos[Valor],TablaEgresos[Categoría],$A43,TablaEgresos[Mes],F$4)</f>
        <v>0</v>
      </c>
      <c r="H43" s="33" t="str">
        <f t="shared" ref="H43" si="540">IF(F43="","",F43-G43)</f>
        <v/>
      </c>
      <c r="I43" s="11" t="str">
        <f t="shared" ref="I43" si="541">IF(OR(F43="",F43=0),"",G43/F43)</f>
        <v/>
      </c>
      <c r="J43" s="33"/>
      <c r="K43" s="33">
        <f>SUMIFS(TablaEgresos[Valor],TablaEgresos[Categoría],$A43,TablaEgresos[Mes],J$4)</f>
        <v>9163.26</v>
      </c>
      <c r="L43" s="33" t="str">
        <f t="shared" ref="L43" si="542">IF(J43="","",J43-K43)</f>
        <v/>
      </c>
      <c r="M43" s="11" t="str">
        <f t="shared" ref="M43" si="543">IF(OR(J43="",J43=0),"",K43/J43)</f>
        <v/>
      </c>
      <c r="N43" s="33"/>
      <c r="O43" s="33">
        <f>SUMIFS(TablaEgresos[Valor],TablaEgresos[Categoría],$A43,TablaEgresos[Mes],N$4)</f>
        <v>0</v>
      </c>
      <c r="P43" s="33" t="str">
        <f t="shared" ref="P43" si="544">IF(N43="","",N43-O43)</f>
        <v/>
      </c>
      <c r="Q43" s="11" t="str">
        <f t="shared" ref="Q43" si="545">IF(OR(N43="",N43=0),"",O43/N43)</f>
        <v/>
      </c>
      <c r="R43" s="33"/>
      <c r="S43" s="33">
        <f>SUMIFS(TablaEgresos[Valor],TablaEgresos[Categoría],$A43,TablaEgresos[Mes],R$4)</f>
        <v>0</v>
      </c>
      <c r="T43" s="33" t="str">
        <f t="shared" ref="T43" si="546">IF(R43="","",R43-S43)</f>
        <v/>
      </c>
      <c r="U43" s="11" t="str">
        <f t="shared" ref="U43" si="547">IF(OR(R43="",R43=0),"",S43/R43)</f>
        <v/>
      </c>
      <c r="V43" s="102">
        <v>0</v>
      </c>
      <c r="W43" s="33">
        <f>SUMIFS(TablaEgresos[Valor],TablaEgresos[Categoría],$A43,TablaEgresos[Mes],V$4)</f>
        <v>0</v>
      </c>
      <c r="X43" s="33">
        <f t="shared" ref="X43" si="548">IF(V43="","",V43-W43)</f>
        <v>0</v>
      </c>
      <c r="Y43" s="11" t="str">
        <f t="shared" ref="Y43" si="549">IF(OR(V43="",V43=0),"",W43/V43)</f>
        <v/>
      </c>
      <c r="Z43" s="102">
        <v>300000</v>
      </c>
      <c r="AA43" s="33">
        <f>SUMIFS(TablaEgresos[Valor],TablaEgresos[Categoría],$A43,TablaEgresos[Mes],Z$4)</f>
        <v>0</v>
      </c>
      <c r="AB43" s="33">
        <f t="shared" ref="AB43" si="550">IF(Z43="","",Z43-AA43)</f>
        <v>300000</v>
      </c>
      <c r="AC43" s="11">
        <f t="shared" ref="AC43" si="551">IF(OR(Z43="",Z43=0),"",AA43/Z43)</f>
        <v>0</v>
      </c>
      <c r="AD43" s="102">
        <v>300000</v>
      </c>
      <c r="AE43" s="33">
        <f>SUMIFS(TablaEgresos[Valor],TablaEgresos[Categoría],$A43,TablaEgresos[Mes],AD$4)</f>
        <v>0</v>
      </c>
      <c r="AF43" s="33">
        <f t="shared" ref="AF43" si="552">IF(AD43="","",AD43-AE43)</f>
        <v>300000</v>
      </c>
      <c r="AG43" s="11">
        <f t="shared" ref="AG43" si="553">IF(OR(AD43="",AD43=0),"",AE43/AD43)</f>
        <v>0</v>
      </c>
      <c r="AH43" s="102">
        <v>300000</v>
      </c>
      <c r="AI43" s="33">
        <f>SUMIFS(TablaEgresos[Valor],TablaEgresos[Categoría],$A43,TablaEgresos[Mes],AH$4)</f>
        <v>0</v>
      </c>
      <c r="AJ43" s="33">
        <f t="shared" ref="AJ43" si="554">IF(AH43="","",AH43-AI43)</f>
        <v>300000</v>
      </c>
      <c r="AK43" s="11">
        <f t="shared" ref="AK43" si="555">IF(OR(AH43="",AH43=0),"",AI43/AH43)</f>
        <v>0</v>
      </c>
      <c r="AL43" s="102">
        <v>300000</v>
      </c>
      <c r="AM43" s="33">
        <f>SUMIFS(TablaEgresos[Valor],TablaEgresos[Categoría],$A43,TablaEgresos[Mes],AL$4)</f>
        <v>0</v>
      </c>
      <c r="AN43" s="33">
        <f t="shared" ref="AN43" si="556">IF(AL43="","",AL43-AM43)</f>
        <v>300000</v>
      </c>
      <c r="AO43" s="11">
        <f t="shared" ref="AO43" si="557">IF(OR(AL43="",AL43=0),"",AM43/AL43)</f>
        <v>0</v>
      </c>
      <c r="AP43" s="102">
        <v>300000</v>
      </c>
      <c r="AQ43" s="33">
        <f>SUMIFS(TablaEgresos[Valor],TablaEgresos[Categoría],$A43,TablaEgresos[Mes],AP$4)</f>
        <v>0</v>
      </c>
      <c r="AR43" s="33">
        <f t="shared" ref="AR43" si="558">IF(AP43="","",AP43-AQ43)</f>
        <v>300000</v>
      </c>
      <c r="AS43" s="11">
        <f t="shared" ref="AS43" si="559">IF(OR(AP43="",AP43=0),"",AQ43/AP43)</f>
        <v>0</v>
      </c>
      <c r="AT43" s="102">
        <v>300000</v>
      </c>
      <c r="AU43" s="33">
        <f>SUMIFS(TablaEgresos[Valor],TablaEgresos[Categoría],$A43,TablaEgresos[Mes],AT$4)</f>
        <v>0</v>
      </c>
      <c r="AV43" s="33">
        <f t="shared" ref="AV43" si="560">IF(AT43="","",AT43-AU43)</f>
        <v>300000</v>
      </c>
      <c r="AW43" s="11">
        <f t="shared" ref="AW43" si="561">IF(OR(AT43="",AT43=0),"",AU43/AT43)</f>
        <v>0</v>
      </c>
      <c r="AX43" s="102">
        <v>300000</v>
      </c>
      <c r="AY43" s="33">
        <f>SUMIFS(TablaEgresos[Valor],TablaEgresos[Categoría],$A43,TablaEgresos[Mes],AX$4)</f>
        <v>0</v>
      </c>
      <c r="AZ43" s="33">
        <f t="shared" ref="AZ43" si="562">IF(AX43="","",AX43-AY43)</f>
        <v>300000</v>
      </c>
      <c r="BA43" s="11">
        <f t="shared" ref="BA43" si="563">IF(OR(AX43="",AX43=0),"",AY43/AX43)</f>
        <v>0</v>
      </c>
      <c r="BB43" s="102">
        <v>300000</v>
      </c>
      <c r="BC43" s="33">
        <f>SUMIFS(TablaEgresos[Valor],TablaEgresos[Categoría],$A43,TablaEgresos[Mes],BB$4)</f>
        <v>0</v>
      </c>
      <c r="BD43" s="33">
        <f t="shared" ref="BD43" si="564">IF(BB43="","",BB43-BC43)</f>
        <v>300000</v>
      </c>
      <c r="BE43" s="11">
        <f t="shared" ref="BE43" si="565">IF(OR(BB43="",BB43=0),"",BC43/BB43)</f>
        <v>0</v>
      </c>
      <c r="BF43" s="102">
        <v>300000</v>
      </c>
      <c r="BG43" s="33">
        <f>SUMIFS(TablaEgresos[Valor],TablaEgresos[Categoría],$A43,TablaEgresos[Mes],BF$4)</f>
        <v>0</v>
      </c>
      <c r="BH43" s="33">
        <f t="shared" ref="BH43" si="566">IF(BF43="","",BF43-BG43)</f>
        <v>300000</v>
      </c>
      <c r="BI43" s="11">
        <f t="shared" ref="BI43" si="567">IF(OR(BF43="",BF43=0),"",BG43/BF43)</f>
        <v>0</v>
      </c>
      <c r="BJ43" s="102">
        <v>300000</v>
      </c>
      <c r="BK43" s="33">
        <f>SUMIFS(TablaEgresos[Valor],TablaEgresos[Categoría],$A43,TablaEgresos[Mes],BJ$4)</f>
        <v>0</v>
      </c>
      <c r="BL43" s="33">
        <f t="shared" ref="BL43" si="568">IF(BJ43="","",BJ43-BK43)</f>
        <v>300000</v>
      </c>
      <c r="BM43" s="11">
        <f t="shared" ref="BM43" si="569">IF(OR(BJ43="",BJ43=0),"",BK43/BJ43)</f>
        <v>0</v>
      </c>
      <c r="BN43" s="102">
        <v>300000</v>
      </c>
      <c r="BO43" s="33">
        <f>SUMIFS(TablaEgresos[Valor],TablaEgresos[Categoría],$A43,TablaEgresos[Mes],BN$4)</f>
        <v>0</v>
      </c>
      <c r="BP43" s="33">
        <f t="shared" ref="BP43" si="570">IF(BN43="","",BN43-BO43)</f>
        <v>300000</v>
      </c>
      <c r="BQ43" s="11">
        <f t="shared" ref="BQ43" si="571">IF(OR(BN43="",BN43=0),"",BO43/BN43)</f>
        <v>0</v>
      </c>
      <c r="BR43" s="102">
        <v>300000</v>
      </c>
      <c r="BS43" s="33">
        <f>SUMIFS(TablaEgresos[Valor],TablaEgresos[Categoría],$A43,TablaEgresos[Mes],BR$4)</f>
        <v>0</v>
      </c>
      <c r="BT43" s="33">
        <f t="shared" ref="BT43" si="572">IF(BR43="","",BR43-BS43)</f>
        <v>300000</v>
      </c>
      <c r="BU43" s="11">
        <f t="shared" ref="BU43" si="573">IF(OR(BR43="",BR43=0),"",BS43/BR43)</f>
        <v>0</v>
      </c>
      <c r="BV43" s="102">
        <v>300000</v>
      </c>
      <c r="BW43" s="33">
        <f>SUMIFS(TablaEgresos[Valor],TablaEgresos[Categoría],$A43,TablaEgresos[Mes],BV$4)</f>
        <v>0</v>
      </c>
      <c r="BX43" s="33">
        <f t="shared" ref="BX43" si="574">IF(BV43="","",BV43-BW43)</f>
        <v>300000</v>
      </c>
      <c r="BY43" s="11">
        <f t="shared" ref="BY43" si="575">IF(OR(BV43="",BV43=0),"",BW43/BV43)</f>
        <v>0</v>
      </c>
      <c r="BZ43" s="102">
        <v>300000</v>
      </c>
      <c r="CA43" s="33">
        <f>SUMIFS(TablaEgresos[Valor],TablaEgresos[Categoría],$A43,TablaEgresos[Mes],BZ$4)</f>
        <v>0</v>
      </c>
      <c r="CB43" s="33">
        <f t="shared" ref="CB43" si="576">IF(BZ43="","",BZ43-CA43)</f>
        <v>300000</v>
      </c>
      <c r="CC43" s="11">
        <f t="shared" ref="CC43" si="577">IF(OR(BZ43="",BZ43=0),"",CA43/BZ43)</f>
        <v>0</v>
      </c>
      <c r="CD43" s="102">
        <v>300000</v>
      </c>
      <c r="CE43" s="33">
        <f>SUMIFS(TablaEgresos[Valor],TablaEgresos[Categoría],$A43,TablaEgresos[Mes],CD$4)</f>
        <v>0</v>
      </c>
      <c r="CF43" s="33">
        <f t="shared" ref="CF43" si="578">IF(CD43="","",CD43-CE43)</f>
        <v>300000</v>
      </c>
      <c r="CG43" s="11">
        <f t="shared" ref="CG43" si="579">IF(OR(CD43="",CD43=0),"",CE43/CD43)</f>
        <v>0</v>
      </c>
      <c r="CH43" s="102">
        <v>300000</v>
      </c>
      <c r="CI43" s="33">
        <f>SUMIFS(TablaEgresos[Valor],TablaEgresos[Categoría],$A43,TablaEgresos[Mes],CH$4)</f>
        <v>0</v>
      </c>
      <c r="CJ43" s="33">
        <f t="shared" ref="CJ43" si="580">IF(CH43="","",CH43-CI43)</f>
        <v>300000</v>
      </c>
      <c r="CK43" s="11">
        <f t="shared" ref="CK43" si="581">IF(OR(CH43="",CH43=0),"",CI43/CH43)</f>
        <v>0</v>
      </c>
      <c r="CL43" s="102">
        <v>300000</v>
      </c>
      <c r="CM43" s="33">
        <f>SUMIFS(TablaEgresos[Valor],TablaEgresos[Categoría],$A43,TablaEgresos[Mes],CL$4)</f>
        <v>0</v>
      </c>
      <c r="CN43" s="33">
        <f t="shared" ref="CN43" si="582">IF(CL43="","",CL43-CM43)</f>
        <v>300000</v>
      </c>
      <c r="CO43" s="11">
        <f t="shared" ref="CO43" si="583">IF(OR(CL43="",CL43=0),"",CM43/CL43)</f>
        <v>0</v>
      </c>
    </row>
    <row r="44" spans="1:93" outlineLevel="1" x14ac:dyDescent="0.3">
      <c r="A44" s="101" t="s">
        <v>1190</v>
      </c>
      <c r="B44" s="33">
        <f ca="1">IFERROR(AVERAGE(INDEX($B88:$W88,MATCH($B$3,$B$51:$W$51,0)-2):INDEX($B88:$W88,MATCH($B$3,$B$51:$W$51,0))),0)</f>
        <v>626312.33333333337</v>
      </c>
      <c r="C44" s="33">
        <f ca="1">IFERROR(SLOPE(INDEX($B88:$W88,1):INDEX($B88:$W88,MATCH($B$3,$B$51:$W$51,0)),INDEX($B$50:$W$50,1):INDEX($B$50:$W$50,MATCH($B$3,$B$51:$W$51,0))),0)</f>
        <v>191175.33800000002</v>
      </c>
      <c r="D44" s="11">
        <f ca="1">IF($B44=0,"",$C44/$B44)</f>
        <v>0.30523961899733731</v>
      </c>
      <c r="E44" s="33">
        <f ca="1">MAX(0,ROUND($B44+$C44*3,-3))</f>
        <v>1200000</v>
      </c>
      <c r="F44" s="33"/>
      <c r="G44" s="33">
        <f>SUMIFS(TablaEgresos[Valor],TablaEgresos[Categoría],$A44,TablaEgresos[Mes],F$4)</f>
        <v>8247.76</v>
      </c>
      <c r="H44" s="33" t="str">
        <f t="shared" ref="H44" si="584">IF(F44="","",F44-G44)</f>
        <v/>
      </c>
      <c r="I44" s="11" t="str">
        <f t="shared" ref="I44" si="585">IF(OR(F44="",F44=0),"",G44/F44)</f>
        <v/>
      </c>
      <c r="J44" s="33"/>
      <c r="K44" s="33">
        <f>SUMIFS(TablaEgresos[Valor],TablaEgresos[Categoría],$A44,TablaEgresos[Mes],J$4)</f>
        <v>746212.48</v>
      </c>
      <c r="L44" s="33" t="str">
        <f t="shared" ref="L44" si="586">IF(J44="","",J44-K44)</f>
        <v/>
      </c>
      <c r="M44" s="11" t="str">
        <f t="shared" ref="M44" si="587">IF(OR(J44="",J44=0),"",K44/J44)</f>
        <v/>
      </c>
      <c r="N44" s="33"/>
      <c r="O44" s="33">
        <f>SUMIFS(TablaEgresos[Valor],TablaEgresos[Categoría],$A44,TablaEgresos[Mes],N$4)</f>
        <v>357732.21</v>
      </c>
      <c r="P44" s="33" t="str">
        <f t="shared" ref="P44" si="588">IF(N44="","",N44-O44)</f>
        <v/>
      </c>
      <c r="Q44" s="11" t="str">
        <f t="shared" ref="Q44" si="589">IF(OR(N44="",N44=0),"",O44/N44)</f>
        <v/>
      </c>
      <c r="R44" s="33"/>
      <c r="S44" s="33">
        <f>SUMIFS(TablaEgresos[Valor],TablaEgresos[Categoría],$A44,TablaEgresos[Mes],R$4)</f>
        <v>774992.31</v>
      </c>
      <c r="T44" s="33" t="str">
        <f t="shared" ref="T44" si="590">IF(R44="","",R44-S44)</f>
        <v/>
      </c>
      <c r="U44" s="11" t="str">
        <f t="shared" ref="U44" si="591">IF(OR(R44="",R44=0),"",S44/R44)</f>
        <v/>
      </c>
      <c r="V44" s="102">
        <v>0</v>
      </c>
      <c r="W44" s="33">
        <f>SUMIFS(TablaEgresos[Valor],TablaEgresos[Categoría],$A44,TablaEgresos[Mes],V$4)</f>
        <v>859232.2699999999</v>
      </c>
      <c r="X44" s="33">
        <f t="shared" ref="X44" si="592">IF(V44="","",V44-W44)</f>
        <v>-859232.2699999999</v>
      </c>
      <c r="Y44" s="11" t="str">
        <f t="shared" ref="Y44" si="593">IF(OR(V44="",V44=0),"",W44/V44)</f>
        <v/>
      </c>
      <c r="Z44" s="102">
        <v>2500000</v>
      </c>
      <c r="AA44" s="33">
        <f>SUMIFS(TablaEgresos[Valor],TablaEgresos[Categoría],$A44,TablaEgresos[Mes],Z$4)</f>
        <v>0</v>
      </c>
      <c r="AB44" s="33">
        <f t="shared" ref="AB44" si="594">IF(Z44="","",Z44-AA44)</f>
        <v>2500000</v>
      </c>
      <c r="AC44" s="11">
        <f t="shared" ref="AC44" si="595">IF(OR(Z44="",Z44=0),"",AA44/Z44)</f>
        <v>0</v>
      </c>
      <c r="AD44" s="102">
        <v>2500000</v>
      </c>
      <c r="AE44" s="33">
        <f>SUMIFS(TablaEgresos[Valor],TablaEgresos[Categoría],$A44,TablaEgresos[Mes],AD$4)</f>
        <v>0</v>
      </c>
      <c r="AF44" s="33">
        <f t="shared" ref="AF44" si="596">IF(AD44="","",AD44-AE44)</f>
        <v>2500000</v>
      </c>
      <c r="AG44" s="11">
        <f t="shared" ref="AG44" si="597">IF(OR(AD44="",AD44=0),"",AE44/AD44)</f>
        <v>0</v>
      </c>
      <c r="AH44" s="102">
        <v>2500000</v>
      </c>
      <c r="AI44" s="33">
        <f>SUMIFS(TablaEgresos[Valor],TablaEgresos[Categoría],$A44,TablaEgresos[Mes],AH$4)</f>
        <v>0</v>
      </c>
      <c r="AJ44" s="33">
        <f t="shared" ref="AJ44" si="598">IF(AH44="","",AH44-AI44)</f>
        <v>2500000</v>
      </c>
      <c r="AK44" s="11">
        <f t="shared" ref="AK44" si="599">IF(OR(AH44="",AH44=0),"",AI44/AH44)</f>
        <v>0</v>
      </c>
      <c r="AL44" s="102">
        <v>2500000</v>
      </c>
      <c r="AM44" s="33">
        <f>SUMIFS(TablaEgresos[Valor],TablaEgresos[Categoría],$A44,TablaEgresos[Mes],AL$4)</f>
        <v>0</v>
      </c>
      <c r="AN44" s="33">
        <f t="shared" ref="AN44" si="600">IF(AL44="","",AL44-AM44)</f>
        <v>2500000</v>
      </c>
      <c r="AO44" s="11">
        <f t="shared" ref="AO44" si="601">IF(OR(AL44="",AL44=0),"",AM44/AL44)</f>
        <v>0</v>
      </c>
      <c r="AP44" s="102">
        <v>2500000</v>
      </c>
      <c r="AQ44" s="33">
        <f>SUMIFS(TablaEgresos[Valor],TablaEgresos[Categoría],$A44,TablaEgresos[Mes],AP$4)</f>
        <v>0</v>
      </c>
      <c r="AR44" s="33">
        <f t="shared" ref="AR44" si="602">IF(AP44="","",AP44-AQ44)</f>
        <v>2500000</v>
      </c>
      <c r="AS44" s="11">
        <f t="shared" ref="AS44" si="603">IF(OR(AP44="",AP44=0),"",AQ44/AP44)</f>
        <v>0</v>
      </c>
      <c r="AT44" s="102">
        <v>2500000</v>
      </c>
      <c r="AU44" s="33">
        <f>SUMIFS(TablaEgresos[Valor],TablaEgresos[Categoría],$A44,TablaEgresos[Mes],AT$4)</f>
        <v>0</v>
      </c>
      <c r="AV44" s="33">
        <f t="shared" ref="AV44" si="604">IF(AT44="","",AT44-AU44)</f>
        <v>2500000</v>
      </c>
      <c r="AW44" s="11">
        <f t="shared" ref="AW44" si="605">IF(OR(AT44="",AT44=0),"",AU44/AT44)</f>
        <v>0</v>
      </c>
      <c r="AX44" s="102">
        <v>2500000</v>
      </c>
      <c r="AY44" s="33">
        <f>SUMIFS(TablaEgresos[Valor],TablaEgresos[Categoría],$A44,TablaEgresos[Mes],AX$4)</f>
        <v>0</v>
      </c>
      <c r="AZ44" s="33">
        <f t="shared" ref="AZ44" si="606">IF(AX44="","",AX44-AY44)</f>
        <v>2500000</v>
      </c>
      <c r="BA44" s="11">
        <f t="shared" ref="BA44" si="607">IF(OR(AX44="",AX44=0),"",AY44/AX44)</f>
        <v>0</v>
      </c>
      <c r="BB44" s="102">
        <v>2500000</v>
      </c>
      <c r="BC44" s="33">
        <f>SUMIFS(TablaEgresos[Valor],TablaEgresos[Categoría],$A44,TablaEgresos[Mes],BB$4)</f>
        <v>0</v>
      </c>
      <c r="BD44" s="33">
        <f t="shared" ref="BD44" si="608">IF(BB44="","",BB44-BC44)</f>
        <v>2500000</v>
      </c>
      <c r="BE44" s="11">
        <f t="shared" ref="BE44" si="609">IF(OR(BB44="",BB44=0),"",BC44/BB44)</f>
        <v>0</v>
      </c>
      <c r="BF44" s="102">
        <v>2500000</v>
      </c>
      <c r="BG44" s="33">
        <f>SUMIFS(TablaEgresos[Valor],TablaEgresos[Categoría],$A44,TablaEgresos[Mes],BF$4)</f>
        <v>0</v>
      </c>
      <c r="BH44" s="33">
        <f t="shared" ref="BH44" si="610">IF(BF44="","",BF44-BG44)</f>
        <v>2500000</v>
      </c>
      <c r="BI44" s="11">
        <f t="shared" ref="BI44" si="611">IF(OR(BF44="",BF44=0),"",BG44/BF44)</f>
        <v>0</v>
      </c>
      <c r="BJ44" s="102">
        <v>2500000</v>
      </c>
      <c r="BK44" s="33">
        <f>SUMIFS(TablaEgresos[Valor],TablaEgresos[Categoría],$A44,TablaEgresos[Mes],BJ$4)</f>
        <v>0</v>
      </c>
      <c r="BL44" s="33">
        <f t="shared" ref="BL44" si="612">IF(BJ44="","",BJ44-BK44)</f>
        <v>2500000</v>
      </c>
      <c r="BM44" s="11">
        <f t="shared" ref="BM44" si="613">IF(OR(BJ44="",BJ44=0),"",BK44/BJ44)</f>
        <v>0</v>
      </c>
      <c r="BN44" s="102">
        <v>2500000</v>
      </c>
      <c r="BO44" s="33">
        <f>SUMIFS(TablaEgresos[Valor],TablaEgresos[Categoría],$A44,TablaEgresos[Mes],BN$4)</f>
        <v>0</v>
      </c>
      <c r="BP44" s="33">
        <f t="shared" ref="BP44" si="614">IF(BN44="","",BN44-BO44)</f>
        <v>2500000</v>
      </c>
      <c r="BQ44" s="11">
        <f t="shared" ref="BQ44" si="615">IF(OR(BN44="",BN44=0),"",BO44/BN44)</f>
        <v>0</v>
      </c>
      <c r="BR44" s="102">
        <v>2500000</v>
      </c>
      <c r="BS44" s="33">
        <f>SUMIFS(TablaEgresos[Valor],TablaEgresos[Categoría],$A44,TablaEgresos[Mes],BR$4)</f>
        <v>0</v>
      </c>
      <c r="BT44" s="33">
        <f t="shared" ref="BT44" si="616">IF(BR44="","",BR44-BS44)</f>
        <v>2500000</v>
      </c>
      <c r="BU44" s="11">
        <f t="shared" ref="BU44" si="617">IF(OR(BR44="",BR44=0),"",BS44/BR44)</f>
        <v>0</v>
      </c>
      <c r="BV44" s="102">
        <v>2500000</v>
      </c>
      <c r="BW44" s="33">
        <f>SUMIFS(TablaEgresos[Valor],TablaEgresos[Categoría],$A44,TablaEgresos[Mes],BV$4)</f>
        <v>0</v>
      </c>
      <c r="BX44" s="33">
        <f t="shared" ref="BX44" si="618">IF(BV44="","",BV44-BW44)</f>
        <v>2500000</v>
      </c>
      <c r="BY44" s="11">
        <f t="shared" ref="BY44" si="619">IF(OR(BV44="",BV44=0),"",BW44/BV44)</f>
        <v>0</v>
      </c>
      <c r="BZ44" s="102">
        <v>2500000</v>
      </c>
      <c r="CA44" s="33">
        <f>SUMIFS(TablaEgresos[Valor],TablaEgresos[Categoría],$A44,TablaEgresos[Mes],BZ$4)</f>
        <v>0</v>
      </c>
      <c r="CB44" s="33">
        <f t="shared" ref="CB44" si="620">IF(BZ44="","",BZ44-CA44)</f>
        <v>2500000</v>
      </c>
      <c r="CC44" s="11">
        <f t="shared" ref="CC44" si="621">IF(OR(BZ44="",BZ44=0),"",CA44/BZ44)</f>
        <v>0</v>
      </c>
      <c r="CD44" s="102">
        <v>2500000</v>
      </c>
      <c r="CE44" s="33">
        <f>SUMIFS(TablaEgresos[Valor],TablaEgresos[Categoría],$A44,TablaEgresos[Mes],CD$4)</f>
        <v>0</v>
      </c>
      <c r="CF44" s="33">
        <f t="shared" ref="CF44" si="622">IF(CD44="","",CD44-CE44)</f>
        <v>2500000</v>
      </c>
      <c r="CG44" s="11">
        <f t="shared" ref="CG44" si="623">IF(OR(CD44="",CD44=0),"",CE44/CD44)</f>
        <v>0</v>
      </c>
      <c r="CH44" s="102">
        <v>2500000</v>
      </c>
      <c r="CI44" s="33">
        <f>SUMIFS(TablaEgresos[Valor],TablaEgresos[Categoría],$A44,TablaEgresos[Mes],CH$4)</f>
        <v>0</v>
      </c>
      <c r="CJ44" s="33">
        <f t="shared" ref="CJ44" si="624">IF(CH44="","",CH44-CI44)</f>
        <v>2500000</v>
      </c>
      <c r="CK44" s="11">
        <f t="shared" ref="CK44" si="625">IF(OR(CH44="",CH44=0),"",CI44/CH44)</f>
        <v>0</v>
      </c>
      <c r="CL44" s="102">
        <v>2500000</v>
      </c>
      <c r="CM44" s="33">
        <f>SUMIFS(TablaEgresos[Valor],TablaEgresos[Categoría],$A44,TablaEgresos[Mes],CL$4)</f>
        <v>0</v>
      </c>
      <c r="CN44" s="33">
        <f t="shared" ref="CN44" si="626">IF(CL44="","",CL44-CM44)</f>
        <v>2500000</v>
      </c>
      <c r="CO44" s="11">
        <f t="shared" ref="CO44" si="627">IF(OR(CL44="",CL44=0),"",CM44/CL44)</f>
        <v>0</v>
      </c>
    </row>
    <row r="45" spans="1:93" outlineLevel="1" x14ac:dyDescent="0.3">
      <c r="A45" s="101" t="s">
        <v>76</v>
      </c>
      <c r="B45" s="33">
        <f ca="1">IFERROR(AVERAGE(INDEX($B89:$W89,MATCH($B$3,$B$51:$W$51,0)-2):INDEX($B89:$W89,MATCH($B$3,$B$51:$W$51,0))),0)</f>
        <v>24802132.596666664</v>
      </c>
      <c r="C45" s="33">
        <f ca="1">IFERROR(SLOPE(INDEX($B89:$W89,1):INDEX($B89:$W89,MATCH($B$3,$B$51:$W$51,0)),INDEX($B$50:$W$50,1):INDEX($B$50:$W$50,MATCH($B$3,$B$51:$W$51,0))),0)</f>
        <v>18462204.865000002</v>
      </c>
      <c r="D45" s="11">
        <f t="shared" ca="1" si="494"/>
        <v>0.74437973400244095</v>
      </c>
      <c r="E45" s="33">
        <f t="shared" ca="1" si="495"/>
        <v>80189000</v>
      </c>
      <c r="F45" s="33"/>
      <c r="G45" s="33">
        <f>SUMIFS(TablaEgresos[Valor],TablaEgresos[Categoría],$A45,TablaEgresos[Mes],F$4)</f>
        <v>0</v>
      </c>
      <c r="H45" s="33" t="str">
        <f t="shared" si="496"/>
        <v/>
      </c>
      <c r="I45" s="11" t="str">
        <f t="shared" si="497"/>
        <v/>
      </c>
      <c r="J45" s="33"/>
      <c r="K45" s="33">
        <f>SUMIFS(TablaEgresos[Valor],TablaEgresos[Categoría],$A45,TablaEgresos[Mes],J$4)</f>
        <v>3689043.8899999997</v>
      </c>
      <c r="L45" s="33" t="str">
        <f t="shared" si="498"/>
        <v/>
      </c>
      <c r="M45" s="11" t="str">
        <f t="shared" si="499"/>
        <v/>
      </c>
      <c r="N45" s="33"/>
      <c r="O45" s="33">
        <f>SUMIFS(TablaEgresos[Valor],TablaEgresos[Categoría],$A45,TablaEgresos[Mes],N$4)</f>
        <v>11920484.58</v>
      </c>
      <c r="P45" s="33" t="str">
        <f t="shared" si="500"/>
        <v/>
      </c>
      <c r="Q45" s="11" t="str">
        <f t="shared" si="501"/>
        <v/>
      </c>
      <c r="R45" s="33"/>
      <c r="S45" s="33">
        <f>SUMIFS(TablaEgresos[Valor],TablaEgresos[Categoría],$A45,TablaEgresos[Mes],R$4)</f>
        <v>58796869.32</v>
      </c>
      <c r="T45" s="33" t="str">
        <f t="shared" si="502"/>
        <v/>
      </c>
      <c r="U45" s="11" t="str">
        <f t="shared" si="503"/>
        <v/>
      </c>
      <c r="V45" s="102">
        <v>0</v>
      </c>
      <c r="W45" s="33">
        <f>SUMIFS(TablaEgresos[Valor],TablaEgresos[Categoría],$A45,TablaEgresos[Mes],V$4)</f>
        <v>106000</v>
      </c>
      <c r="X45" s="33">
        <f t="shared" si="504"/>
        <v>-106000</v>
      </c>
      <c r="Y45" s="11" t="str">
        <f t="shared" si="505"/>
        <v/>
      </c>
      <c r="Z45" s="102">
        <v>0</v>
      </c>
      <c r="AA45" s="33">
        <f>SUMIFS(TablaEgresos[Valor],TablaEgresos[Categoría],$A45,TablaEgresos[Mes],Z$4)</f>
        <v>0</v>
      </c>
      <c r="AB45" s="33">
        <f t="shared" si="506"/>
        <v>0</v>
      </c>
      <c r="AC45" s="11" t="str">
        <f t="shared" si="507"/>
        <v/>
      </c>
      <c r="AD45" s="102">
        <v>0</v>
      </c>
      <c r="AE45" s="33">
        <f>SUMIFS(TablaEgresos[Valor],TablaEgresos[Categoría],$A45,TablaEgresos[Mes],AD$4)</f>
        <v>0</v>
      </c>
      <c r="AF45" s="33">
        <f t="shared" si="508"/>
        <v>0</v>
      </c>
      <c r="AG45" s="11" t="str">
        <f t="shared" si="509"/>
        <v/>
      </c>
      <c r="AH45" s="102">
        <v>0</v>
      </c>
      <c r="AI45" s="33">
        <f>SUMIFS(TablaEgresos[Valor],TablaEgresos[Categoría],$A45,TablaEgresos[Mes],AH$4)</f>
        <v>0</v>
      </c>
      <c r="AJ45" s="33">
        <f t="shared" si="510"/>
        <v>0</v>
      </c>
      <c r="AK45" s="11" t="str">
        <f t="shared" si="511"/>
        <v/>
      </c>
      <c r="AL45" s="102">
        <v>0</v>
      </c>
      <c r="AM45" s="33">
        <f>SUMIFS(TablaEgresos[Valor],TablaEgresos[Categoría],$A45,TablaEgresos[Mes],AL$4)</f>
        <v>0</v>
      </c>
      <c r="AN45" s="33">
        <f t="shared" si="512"/>
        <v>0</v>
      </c>
      <c r="AO45" s="11" t="str">
        <f t="shared" si="513"/>
        <v/>
      </c>
      <c r="AP45" s="102">
        <v>0</v>
      </c>
      <c r="AQ45" s="33">
        <f>SUMIFS(TablaEgresos[Valor],TablaEgresos[Categoría],$A45,TablaEgresos[Mes],AP$4)</f>
        <v>0</v>
      </c>
      <c r="AR45" s="33">
        <f t="shared" si="514"/>
        <v>0</v>
      </c>
      <c r="AS45" s="11" t="str">
        <f t="shared" si="515"/>
        <v/>
      </c>
      <c r="AT45" s="102">
        <v>0</v>
      </c>
      <c r="AU45" s="33">
        <f>SUMIFS(TablaEgresos[Valor],TablaEgresos[Categoría],$A45,TablaEgresos[Mes],AT$4)</f>
        <v>0</v>
      </c>
      <c r="AV45" s="33">
        <f t="shared" si="516"/>
        <v>0</v>
      </c>
      <c r="AW45" s="11" t="str">
        <f t="shared" si="517"/>
        <v/>
      </c>
      <c r="AX45" s="102">
        <v>0</v>
      </c>
      <c r="AY45" s="33">
        <f>SUMIFS(TablaEgresos[Valor],TablaEgresos[Categoría],$A45,TablaEgresos[Mes],AX$4)</f>
        <v>0</v>
      </c>
      <c r="AZ45" s="33">
        <f t="shared" si="518"/>
        <v>0</v>
      </c>
      <c r="BA45" s="11" t="str">
        <f t="shared" si="519"/>
        <v/>
      </c>
      <c r="BB45" s="102">
        <v>0</v>
      </c>
      <c r="BC45" s="33">
        <f>SUMIFS(TablaEgresos[Valor],TablaEgresos[Categoría],$A45,TablaEgresos[Mes],BB$4)</f>
        <v>0</v>
      </c>
      <c r="BD45" s="33">
        <f t="shared" si="520"/>
        <v>0</v>
      </c>
      <c r="BE45" s="11" t="str">
        <f t="shared" si="521"/>
        <v/>
      </c>
      <c r="BF45" s="102">
        <v>0</v>
      </c>
      <c r="BG45" s="33">
        <f>SUMIFS(TablaEgresos[Valor],TablaEgresos[Categoría],$A45,TablaEgresos[Mes],BF$4)</f>
        <v>0</v>
      </c>
      <c r="BH45" s="33">
        <f t="shared" si="522"/>
        <v>0</v>
      </c>
      <c r="BI45" s="11" t="str">
        <f t="shared" si="523"/>
        <v/>
      </c>
      <c r="BJ45" s="102">
        <v>0</v>
      </c>
      <c r="BK45" s="33">
        <f>SUMIFS(TablaEgresos[Valor],TablaEgresos[Categoría],$A45,TablaEgresos[Mes],BJ$4)</f>
        <v>0</v>
      </c>
      <c r="BL45" s="33">
        <f t="shared" si="524"/>
        <v>0</v>
      </c>
      <c r="BM45" s="11" t="str">
        <f t="shared" si="525"/>
        <v/>
      </c>
      <c r="BN45" s="102">
        <v>0</v>
      </c>
      <c r="BO45" s="33">
        <f>SUMIFS(TablaEgresos[Valor],TablaEgresos[Categoría],$A45,TablaEgresos[Mes],BN$4)</f>
        <v>0</v>
      </c>
      <c r="BP45" s="33">
        <f t="shared" si="526"/>
        <v>0</v>
      </c>
      <c r="BQ45" s="11" t="str">
        <f t="shared" si="527"/>
        <v/>
      </c>
      <c r="BR45" s="102">
        <v>0</v>
      </c>
      <c r="BS45" s="33">
        <f>SUMIFS(TablaEgresos[Valor],TablaEgresos[Categoría],$A45,TablaEgresos[Mes],BR$4)</f>
        <v>0</v>
      </c>
      <c r="BT45" s="33">
        <f t="shared" si="528"/>
        <v>0</v>
      </c>
      <c r="BU45" s="11" t="str">
        <f t="shared" si="529"/>
        <v/>
      </c>
      <c r="BV45" s="102">
        <v>0</v>
      </c>
      <c r="BW45" s="33">
        <f>SUMIFS(TablaEgresos[Valor],TablaEgresos[Categoría],$A45,TablaEgresos[Mes],BV$4)</f>
        <v>0</v>
      </c>
      <c r="BX45" s="33">
        <f t="shared" si="530"/>
        <v>0</v>
      </c>
      <c r="BY45" s="11" t="str">
        <f t="shared" si="531"/>
        <v/>
      </c>
      <c r="BZ45" s="102">
        <v>0</v>
      </c>
      <c r="CA45" s="33">
        <f>SUMIFS(TablaEgresos[Valor],TablaEgresos[Categoría],$A45,TablaEgresos[Mes],BZ$4)</f>
        <v>0</v>
      </c>
      <c r="CB45" s="33">
        <f t="shared" si="532"/>
        <v>0</v>
      </c>
      <c r="CC45" s="11" t="str">
        <f t="shared" si="533"/>
        <v/>
      </c>
      <c r="CD45" s="102">
        <v>0</v>
      </c>
      <c r="CE45" s="33">
        <f>SUMIFS(TablaEgresos[Valor],TablaEgresos[Categoría],$A45,TablaEgresos[Mes],CD$4)</f>
        <v>0</v>
      </c>
      <c r="CF45" s="33">
        <f t="shared" si="534"/>
        <v>0</v>
      </c>
      <c r="CG45" s="11" t="str">
        <f t="shared" si="535"/>
        <v/>
      </c>
      <c r="CH45" s="102">
        <v>0</v>
      </c>
      <c r="CI45" s="33">
        <f>SUMIFS(TablaEgresos[Valor],TablaEgresos[Categoría],$A45,TablaEgresos[Mes],CH$4)</f>
        <v>0</v>
      </c>
      <c r="CJ45" s="33">
        <f t="shared" si="536"/>
        <v>0</v>
      </c>
      <c r="CK45" s="11" t="str">
        <f t="shared" si="537"/>
        <v/>
      </c>
      <c r="CL45" s="102">
        <v>0</v>
      </c>
      <c r="CM45" s="33">
        <f>SUMIFS(TablaEgresos[Valor],TablaEgresos[Categoría],$A45,TablaEgresos[Mes],CL$4)</f>
        <v>0</v>
      </c>
      <c r="CN45" s="33">
        <f t="shared" si="538"/>
        <v>0</v>
      </c>
      <c r="CO45" s="11" t="str">
        <f t="shared" si="539"/>
        <v/>
      </c>
    </row>
    <row r="46" spans="1:93" ht="15" thickBot="1" x14ac:dyDescent="0.35">
      <c r="A46" s="133" t="s">
        <v>409</v>
      </c>
      <c r="B46" s="134">
        <f ca="1">SUM(B40:B45)</f>
        <v>63266615.93</v>
      </c>
      <c r="C46" s="134">
        <f ca="1">SUM(C40:C45)</f>
        <v>27438899.916999999</v>
      </c>
      <c r="D46" s="135">
        <f ca="1">IF(B46=0,"",C46/B46)</f>
        <v>0.43370266472540886</v>
      </c>
      <c r="E46" s="134">
        <f ca="1">SUM(E40:E45)</f>
        <v>145583000</v>
      </c>
      <c r="F46" s="134">
        <f>SUM(F40:F45)</f>
        <v>0</v>
      </c>
      <c r="G46" s="134">
        <f>SUM(G40:G45)</f>
        <v>1624853.1</v>
      </c>
      <c r="H46" s="134">
        <f>SUM(H40:H45)</f>
        <v>0</v>
      </c>
      <c r="I46" s="135" t="str">
        <f>IF(F46=0,"",G46/F46)</f>
        <v/>
      </c>
      <c r="J46" s="134">
        <f>SUM(J40:J45)</f>
        <v>0</v>
      </c>
      <c r="K46" s="134">
        <f>SUM(K40:K45)</f>
        <v>44157610.629999995</v>
      </c>
      <c r="L46" s="134">
        <f>SUM(L40:L45)</f>
        <v>0</v>
      </c>
      <c r="M46" s="135" t="str">
        <f t="shared" ref="M46:M47" si="628">IF(J46=0,"",K46/J46)</f>
        <v/>
      </c>
      <c r="N46" s="134">
        <f>SUM(N40:N45)</f>
        <v>0</v>
      </c>
      <c r="O46" s="134">
        <f>SUM(O40:O45)</f>
        <v>56752771.189999998</v>
      </c>
      <c r="P46" s="134">
        <f>SUM(P40:P45)</f>
        <v>0</v>
      </c>
      <c r="Q46" s="135" t="str">
        <f t="shared" ref="Q46:Q47" si="629">IF(N46=0,"",O46/N46)</f>
        <v/>
      </c>
      <c r="R46" s="134">
        <f>SUM(R40:R45)</f>
        <v>0</v>
      </c>
      <c r="S46" s="134">
        <f>SUM(S40:S45)</f>
        <v>88889465.969999999</v>
      </c>
      <c r="T46" s="134">
        <f>SUM(T40:T45)</f>
        <v>0</v>
      </c>
      <c r="U46" s="135" t="str">
        <f t="shared" ref="U46:U47" si="630">IF(R46=0,"",S46/R46)</f>
        <v/>
      </c>
      <c r="V46" s="134">
        <f>SUM(V40:V45)</f>
        <v>19000000</v>
      </c>
      <c r="W46" s="134">
        <f>SUM(W40:W45)</f>
        <v>14766335.609999999</v>
      </c>
      <c r="X46" s="134">
        <f>SUM(X40:X45)</f>
        <v>4233664.3900000006</v>
      </c>
      <c r="Y46" s="135">
        <f t="shared" ref="Y46:Y47" si="631">IF(V46=0,"",W46/V46)</f>
        <v>0.77717555842105257</v>
      </c>
      <c r="Z46" s="134">
        <f>SUM(Z40:Z45)</f>
        <v>8100000</v>
      </c>
      <c r="AA46" s="134">
        <f>SUM(AA40:AA45)</f>
        <v>0</v>
      </c>
      <c r="AB46" s="134">
        <f>SUM(AB40:AB45)</f>
        <v>8100000</v>
      </c>
      <c r="AC46" s="135">
        <f t="shared" ref="AC46:AC47" si="632">IF(Z46=0,"",AA46/Z46)</f>
        <v>0</v>
      </c>
      <c r="AD46" s="134">
        <f>SUM(AD40:AD45)</f>
        <v>8100000</v>
      </c>
      <c r="AE46" s="134">
        <f>SUM(AE40:AE45)</f>
        <v>0</v>
      </c>
      <c r="AF46" s="134">
        <f>SUM(AF40:AF45)</f>
        <v>8100000</v>
      </c>
      <c r="AG46" s="135">
        <f t="shared" ref="AG46:AG47" si="633">IF(AD46=0,"",AE46/AD46)</f>
        <v>0</v>
      </c>
      <c r="AH46" s="134">
        <f>SUM(AH40:AH45)</f>
        <v>8100000</v>
      </c>
      <c r="AI46" s="134">
        <f>SUM(AI40:AI45)</f>
        <v>0</v>
      </c>
      <c r="AJ46" s="134">
        <f>SUM(AJ40:AJ45)</f>
        <v>8100000</v>
      </c>
      <c r="AK46" s="135">
        <f t="shared" ref="AK46:AK47" si="634">IF(AH46=0,"",AI46/AH46)</f>
        <v>0</v>
      </c>
      <c r="AL46" s="134">
        <f>SUM(AL40:AL45)</f>
        <v>8100000</v>
      </c>
      <c r="AM46" s="134">
        <f>SUM(AM40:AM45)</f>
        <v>0</v>
      </c>
      <c r="AN46" s="134">
        <f>SUM(AN40:AN45)</f>
        <v>8100000</v>
      </c>
      <c r="AO46" s="135">
        <f t="shared" ref="AO46:AO47" si="635">IF(AL46=0,"",AM46/AL46)</f>
        <v>0</v>
      </c>
      <c r="AP46" s="134">
        <f>SUM(AP40:AP45)</f>
        <v>8100000</v>
      </c>
      <c r="AQ46" s="134">
        <f>SUM(AQ40:AQ45)</f>
        <v>0</v>
      </c>
      <c r="AR46" s="134">
        <f>SUM(AR40:AR45)</f>
        <v>8100000</v>
      </c>
      <c r="AS46" s="135">
        <f t="shared" ref="AS46:AS47" si="636">IF(AP46=0,"",AQ46/AP46)</f>
        <v>0</v>
      </c>
      <c r="AT46" s="134">
        <f>SUM(AT40:AT45)</f>
        <v>8100000</v>
      </c>
      <c r="AU46" s="134">
        <f>SUM(AU40:AU45)</f>
        <v>0</v>
      </c>
      <c r="AV46" s="134">
        <f>SUM(AV40:AV45)</f>
        <v>8100000</v>
      </c>
      <c r="AW46" s="135">
        <f t="shared" ref="AW46:AW47" si="637">IF(AT46=0,"",AU46/AT46)</f>
        <v>0</v>
      </c>
      <c r="AX46" s="134">
        <f>SUM(AX40:AX45)</f>
        <v>8100000</v>
      </c>
      <c r="AY46" s="134">
        <f>SUM(AY40:AY45)</f>
        <v>0</v>
      </c>
      <c r="AZ46" s="134">
        <f>SUM(AZ40:AZ45)</f>
        <v>8100000</v>
      </c>
      <c r="BA46" s="135">
        <f t="shared" ref="BA46:BA47" si="638">IF(AX46=0,"",AY46/AX46)</f>
        <v>0</v>
      </c>
      <c r="BB46" s="134">
        <f>SUM(BB40:BB45)</f>
        <v>8100000</v>
      </c>
      <c r="BC46" s="134">
        <f>SUM(BC40:BC45)</f>
        <v>0</v>
      </c>
      <c r="BD46" s="134">
        <f>SUM(BD40:BD45)</f>
        <v>8100000</v>
      </c>
      <c r="BE46" s="135">
        <f t="shared" ref="BE46:BE47" si="639">IF(BB46=0,"",BC46/BB46)</f>
        <v>0</v>
      </c>
      <c r="BF46" s="134">
        <f>SUM(BF40:BF45)</f>
        <v>8100000</v>
      </c>
      <c r="BG46" s="134">
        <f>SUM(BG40:BG45)</f>
        <v>0</v>
      </c>
      <c r="BH46" s="134">
        <f>SUM(BH40:BH45)</f>
        <v>8100000</v>
      </c>
      <c r="BI46" s="135">
        <f t="shared" ref="BI46:BI47" si="640">IF(BF46=0,"",BG46/BF46)</f>
        <v>0</v>
      </c>
      <c r="BJ46" s="134">
        <f>SUM(BJ40:BJ45)</f>
        <v>8100000</v>
      </c>
      <c r="BK46" s="134">
        <f>SUM(BK40:BK45)</f>
        <v>0</v>
      </c>
      <c r="BL46" s="134">
        <f>SUM(BL40:BL45)</f>
        <v>8100000</v>
      </c>
      <c r="BM46" s="135">
        <f t="shared" ref="BM46:BM47" si="641">IF(BJ46=0,"",BK46/BJ46)</f>
        <v>0</v>
      </c>
      <c r="BN46" s="134">
        <f>SUM(BN40:BN45)</f>
        <v>8100000</v>
      </c>
      <c r="BO46" s="134">
        <f>SUM(BO40:BO45)</f>
        <v>0</v>
      </c>
      <c r="BP46" s="134">
        <f>SUM(BP40:BP45)</f>
        <v>8100000</v>
      </c>
      <c r="BQ46" s="135">
        <f t="shared" ref="BQ46:BQ47" si="642">IF(BN46=0,"",BO46/BN46)</f>
        <v>0</v>
      </c>
      <c r="BR46" s="134">
        <f>SUM(BR40:BR45)</f>
        <v>8100000</v>
      </c>
      <c r="BS46" s="134">
        <f>SUM(BS40:BS45)</f>
        <v>0</v>
      </c>
      <c r="BT46" s="134">
        <f>SUM(BT40:BT45)</f>
        <v>8100000</v>
      </c>
      <c r="BU46" s="135">
        <f t="shared" ref="BU46:BU47" si="643">IF(BR46=0,"",BS46/BR46)</f>
        <v>0</v>
      </c>
      <c r="BV46" s="134">
        <f>SUM(BV40:BV45)</f>
        <v>8100000</v>
      </c>
      <c r="BW46" s="134">
        <f>SUM(BW40:BW45)</f>
        <v>0</v>
      </c>
      <c r="BX46" s="134">
        <f>SUM(BX40:BX45)</f>
        <v>8100000</v>
      </c>
      <c r="BY46" s="135">
        <f t="shared" ref="BY46:BY47" si="644">IF(BV46=0,"",BW46/BV46)</f>
        <v>0</v>
      </c>
      <c r="BZ46" s="134">
        <f>SUM(BZ40:BZ45)</f>
        <v>8100000</v>
      </c>
      <c r="CA46" s="134">
        <f>SUM(CA40:CA45)</f>
        <v>0</v>
      </c>
      <c r="CB46" s="134">
        <f>SUM(CB40:CB45)</f>
        <v>8100000</v>
      </c>
      <c r="CC46" s="135">
        <f t="shared" ref="CC46:CC47" si="645">IF(BZ46=0,"",CA46/BZ46)</f>
        <v>0</v>
      </c>
      <c r="CD46" s="134">
        <f>SUM(CD40:CD45)</f>
        <v>8100000</v>
      </c>
      <c r="CE46" s="134">
        <f>SUM(CE40:CE45)</f>
        <v>0</v>
      </c>
      <c r="CF46" s="134">
        <f>SUM(CF40:CF45)</f>
        <v>8100000</v>
      </c>
      <c r="CG46" s="135">
        <f t="shared" ref="CG46:CG47" si="646">IF(CD46=0,"",CE46/CD46)</f>
        <v>0</v>
      </c>
      <c r="CH46" s="134">
        <f>SUM(CH40:CH45)</f>
        <v>8100000</v>
      </c>
      <c r="CI46" s="134">
        <f>SUM(CI40:CI45)</f>
        <v>0</v>
      </c>
      <c r="CJ46" s="134">
        <f>SUM(CJ40:CJ45)</f>
        <v>8100000</v>
      </c>
      <c r="CK46" s="135">
        <f t="shared" ref="CK46:CK47" si="647">IF(CH46=0,"",CI46/CH46)</f>
        <v>0</v>
      </c>
      <c r="CL46" s="134">
        <f>SUM(CL40:CL45)</f>
        <v>8100000</v>
      </c>
      <c r="CM46" s="134">
        <f>SUM(CM40:CM45)</f>
        <v>0</v>
      </c>
      <c r="CN46" s="134">
        <f>SUM(CN40:CN45)</f>
        <v>8100000</v>
      </c>
      <c r="CO46" s="135">
        <f t="shared" ref="CO46:CO47" si="648">IF(CL46=0,"",CM46/CL46)</f>
        <v>0</v>
      </c>
    </row>
    <row r="47" spans="1:93" ht="15" thickTop="1" x14ac:dyDescent="0.3">
      <c r="A47" s="136" t="s">
        <v>96</v>
      </c>
      <c r="B47" s="137">
        <f ca="1">B10+B23+B31+B38+B46</f>
        <v>155989241.56333333</v>
      </c>
      <c r="C47" s="137">
        <f ca="1">C10+C23+C31+C38+C46</f>
        <v>43405852.995999999</v>
      </c>
      <c r="D47" s="138">
        <f ca="1">IF(B47=0,"",C47/B47)</f>
        <v>0.27826183755356454</v>
      </c>
      <c r="E47" s="137">
        <f ca="1">E10+E23+E31+E38+E46</f>
        <v>292736000</v>
      </c>
      <c r="F47" s="137">
        <f>F10+F23+F31+F38+F46</f>
        <v>0</v>
      </c>
      <c r="G47" s="137">
        <f>G10+G23+G31+G38+G46</f>
        <v>14827760.77</v>
      </c>
      <c r="H47" s="137">
        <f>H10+H23+H31+H38+H46</f>
        <v>0</v>
      </c>
      <c r="I47" s="138" t="str">
        <f>IF(F47=0,"",G47/F47)</f>
        <v/>
      </c>
      <c r="J47" s="137">
        <f t="shared" ref="J47:L47" si="649">J10+J23+J31+J38+J46</f>
        <v>0</v>
      </c>
      <c r="K47" s="137">
        <f t="shared" si="649"/>
        <v>189952373.66</v>
      </c>
      <c r="L47" s="137">
        <f t="shared" si="649"/>
        <v>0</v>
      </c>
      <c r="M47" s="138" t="str">
        <f t="shared" si="628"/>
        <v/>
      </c>
      <c r="N47" s="137">
        <f t="shared" ref="N47:P47" si="650">N10+N23+N31+N38+N46</f>
        <v>0</v>
      </c>
      <c r="O47" s="137">
        <f t="shared" si="650"/>
        <v>82775933.579999998</v>
      </c>
      <c r="P47" s="137">
        <f t="shared" si="650"/>
        <v>0</v>
      </c>
      <c r="Q47" s="138" t="str">
        <f t="shared" si="629"/>
        <v/>
      </c>
      <c r="R47" s="137">
        <f t="shared" ref="R47:T47" si="651">R10+R23+R31+R38+R46</f>
        <v>0</v>
      </c>
      <c r="S47" s="137">
        <f t="shared" si="651"/>
        <v>195239417.44999999</v>
      </c>
      <c r="T47" s="137">
        <f t="shared" si="651"/>
        <v>0</v>
      </c>
      <c r="U47" s="138" t="str">
        <f t="shared" si="630"/>
        <v/>
      </c>
      <c r="V47" s="137">
        <f t="shared" ref="V47:X47" si="652">V10+V23+V31+V38+V46</f>
        <v>289671151.18000001</v>
      </c>
      <c r="W47" s="137">
        <f t="shared" si="652"/>
        <v>217692488.05000007</v>
      </c>
      <c r="X47" s="137">
        <f t="shared" si="652"/>
        <v>71978663.12999998</v>
      </c>
      <c r="Y47" s="138">
        <f t="shared" si="631"/>
        <v>0.75151594200254757</v>
      </c>
      <c r="Z47" s="137">
        <f t="shared" ref="Z47:AB47" si="653">Z10+Z23+Z31+Z38+Z46</f>
        <v>178473000</v>
      </c>
      <c r="AA47" s="137">
        <f t="shared" si="653"/>
        <v>0</v>
      </c>
      <c r="AB47" s="137">
        <f t="shared" si="653"/>
        <v>178473000</v>
      </c>
      <c r="AC47" s="138">
        <f t="shared" si="632"/>
        <v>0</v>
      </c>
      <c r="AD47" s="137">
        <f t="shared" ref="AD47:AF47" si="654">AD10+AD23+AD31+AD38+AD46</f>
        <v>328944312</v>
      </c>
      <c r="AE47" s="137">
        <f t="shared" si="654"/>
        <v>0</v>
      </c>
      <c r="AF47" s="137">
        <f t="shared" si="654"/>
        <v>328944312</v>
      </c>
      <c r="AG47" s="138">
        <f t="shared" si="633"/>
        <v>0</v>
      </c>
      <c r="AH47" s="137">
        <f t="shared" ref="AH47:AJ47" si="655">AH10+AH23+AH31+AH38+AH46</f>
        <v>327503808</v>
      </c>
      <c r="AI47" s="137">
        <f t="shared" si="655"/>
        <v>0</v>
      </c>
      <c r="AJ47" s="137">
        <f t="shared" si="655"/>
        <v>327503808</v>
      </c>
      <c r="AK47" s="138">
        <f t="shared" si="634"/>
        <v>0</v>
      </c>
      <c r="AL47" s="137">
        <f t="shared" ref="AL47:AN47" si="656">AL10+AL23+AL31+AL38+AL46</f>
        <v>434141507</v>
      </c>
      <c r="AM47" s="137">
        <f t="shared" si="656"/>
        <v>0</v>
      </c>
      <c r="AN47" s="137">
        <f t="shared" si="656"/>
        <v>434141507</v>
      </c>
      <c r="AO47" s="138">
        <f t="shared" si="635"/>
        <v>0</v>
      </c>
      <c r="AP47" s="137">
        <f t="shared" ref="AP47:AR47" si="657">AP10+AP23+AP31+AP38+AP46</f>
        <v>558473000</v>
      </c>
      <c r="AQ47" s="137">
        <f t="shared" si="657"/>
        <v>0</v>
      </c>
      <c r="AR47" s="137">
        <f t="shared" si="657"/>
        <v>558473000</v>
      </c>
      <c r="AS47" s="138">
        <f t="shared" si="636"/>
        <v>0</v>
      </c>
      <c r="AT47" s="137">
        <f t="shared" ref="AT47:AV47" ca="1" si="658">AT10+AT23+AT31+AT38+AT46</f>
        <v>313406000</v>
      </c>
      <c r="AU47" s="137">
        <f t="shared" si="658"/>
        <v>0</v>
      </c>
      <c r="AV47" s="137">
        <f t="shared" ca="1" si="658"/>
        <v>313406000</v>
      </c>
      <c r="AW47" s="138">
        <f t="shared" ca="1" si="637"/>
        <v>0</v>
      </c>
      <c r="AX47" s="137">
        <f t="shared" ref="AX47:AZ47" ca="1" si="659">AX10+AX23+AX31+AX38+AX46</f>
        <v>322606000</v>
      </c>
      <c r="AY47" s="137">
        <f t="shared" si="659"/>
        <v>0</v>
      </c>
      <c r="AZ47" s="137">
        <f t="shared" ca="1" si="659"/>
        <v>322606000</v>
      </c>
      <c r="BA47" s="138">
        <f t="shared" ca="1" si="638"/>
        <v>0</v>
      </c>
      <c r="BB47" s="137">
        <f t="shared" ref="BB47:BD47" ca="1" si="660">BB10+BB23+BB31+BB38+BB46</f>
        <v>331806000</v>
      </c>
      <c r="BC47" s="137">
        <f t="shared" si="660"/>
        <v>0</v>
      </c>
      <c r="BD47" s="137">
        <f t="shared" ca="1" si="660"/>
        <v>331806000</v>
      </c>
      <c r="BE47" s="138">
        <f t="shared" ca="1" si="639"/>
        <v>0</v>
      </c>
      <c r="BF47" s="137">
        <f t="shared" ref="BF47:BH47" ca="1" si="661">BF10+BF23+BF31+BF38+BF46</f>
        <v>341006000</v>
      </c>
      <c r="BG47" s="137">
        <f t="shared" si="661"/>
        <v>0</v>
      </c>
      <c r="BH47" s="137">
        <f t="shared" ca="1" si="661"/>
        <v>341006000</v>
      </c>
      <c r="BI47" s="138">
        <f t="shared" ca="1" si="640"/>
        <v>0</v>
      </c>
      <c r="BJ47" s="137">
        <f t="shared" ref="BJ47:BL47" ca="1" si="662">BJ10+BJ23+BJ31+BJ38+BJ46</f>
        <v>350206000</v>
      </c>
      <c r="BK47" s="137">
        <f t="shared" si="662"/>
        <v>0</v>
      </c>
      <c r="BL47" s="137">
        <f t="shared" ca="1" si="662"/>
        <v>350206000</v>
      </c>
      <c r="BM47" s="138">
        <f t="shared" ca="1" si="641"/>
        <v>0</v>
      </c>
      <c r="BN47" s="137">
        <f t="shared" ref="BN47:BP47" ca="1" si="663">BN10+BN23+BN31+BN38+BN46</f>
        <v>359406000</v>
      </c>
      <c r="BO47" s="137">
        <f t="shared" si="663"/>
        <v>0</v>
      </c>
      <c r="BP47" s="137">
        <f t="shared" ca="1" si="663"/>
        <v>359406000</v>
      </c>
      <c r="BQ47" s="138">
        <f t="shared" ca="1" si="642"/>
        <v>0</v>
      </c>
      <c r="BR47" s="137">
        <f t="shared" ref="BR47:BT47" ca="1" si="664">BR10+BR23+BR31+BR38+BR46</f>
        <v>368606000</v>
      </c>
      <c r="BS47" s="137">
        <f t="shared" si="664"/>
        <v>0</v>
      </c>
      <c r="BT47" s="137">
        <f t="shared" ca="1" si="664"/>
        <v>368606000</v>
      </c>
      <c r="BU47" s="138">
        <f t="shared" ca="1" si="643"/>
        <v>0</v>
      </c>
      <c r="BV47" s="137">
        <f t="shared" ref="BV47:BX47" ca="1" si="665">BV10+BV23+BV31+BV38+BV46</f>
        <v>377806000</v>
      </c>
      <c r="BW47" s="137">
        <f t="shared" si="665"/>
        <v>0</v>
      </c>
      <c r="BX47" s="137">
        <f t="shared" ca="1" si="665"/>
        <v>377806000</v>
      </c>
      <c r="BY47" s="138">
        <f t="shared" ca="1" si="644"/>
        <v>0</v>
      </c>
      <c r="BZ47" s="137">
        <f t="shared" ref="BZ47:CB47" ca="1" si="666">BZ10+BZ23+BZ31+BZ38+BZ46</f>
        <v>387006000</v>
      </c>
      <c r="CA47" s="137">
        <f t="shared" si="666"/>
        <v>0</v>
      </c>
      <c r="CB47" s="137">
        <f t="shared" ca="1" si="666"/>
        <v>387006000</v>
      </c>
      <c r="CC47" s="138">
        <f t="shared" ca="1" si="645"/>
        <v>0</v>
      </c>
      <c r="CD47" s="137">
        <f t="shared" ref="CD47:CF47" ca="1" si="667">CD10+CD23+CD31+CD38+CD46</f>
        <v>396206000</v>
      </c>
      <c r="CE47" s="137">
        <f t="shared" si="667"/>
        <v>0</v>
      </c>
      <c r="CF47" s="137">
        <f t="shared" ca="1" si="667"/>
        <v>396206000</v>
      </c>
      <c r="CG47" s="138">
        <f t="shared" ca="1" si="646"/>
        <v>0</v>
      </c>
      <c r="CH47" s="137">
        <f t="shared" ref="CH47:CJ47" ca="1" si="668">CH10+CH23+CH31+CH38+CH46</f>
        <v>405406000</v>
      </c>
      <c r="CI47" s="137">
        <f t="shared" si="668"/>
        <v>0</v>
      </c>
      <c r="CJ47" s="137">
        <f t="shared" ca="1" si="668"/>
        <v>405406000</v>
      </c>
      <c r="CK47" s="138">
        <f t="shared" ca="1" si="647"/>
        <v>0</v>
      </c>
      <c r="CL47" s="137">
        <f t="shared" ref="CL47:CN47" ca="1" si="669">CL10+CL23+CL31+CL38+CL46</f>
        <v>414606000</v>
      </c>
      <c r="CM47" s="137">
        <f t="shared" si="669"/>
        <v>0</v>
      </c>
      <c r="CN47" s="137">
        <f t="shared" ca="1" si="669"/>
        <v>414606000</v>
      </c>
      <c r="CO47" s="138">
        <f t="shared" ca="1" si="648"/>
        <v>0</v>
      </c>
    </row>
    <row r="49" spans="1:23" outlineLevel="1" x14ac:dyDescent="0.3">
      <c r="A49" s="139"/>
    </row>
    <row r="50" spans="1:23" outlineLevel="1" x14ac:dyDescent="0.3">
      <c r="A50" s="140" t="s">
        <v>1175</v>
      </c>
      <c r="B50">
        <v>1</v>
      </c>
      <c r="C50">
        <f>B50+1</f>
        <v>2</v>
      </c>
      <c r="D50">
        <f t="shared" ref="D50:W50" si="670">C50+1</f>
        <v>3</v>
      </c>
      <c r="E50">
        <f t="shared" si="670"/>
        <v>4</v>
      </c>
      <c r="F50">
        <f t="shared" si="670"/>
        <v>5</v>
      </c>
      <c r="G50">
        <f t="shared" si="670"/>
        <v>6</v>
      </c>
      <c r="H50">
        <f t="shared" si="670"/>
        <v>7</v>
      </c>
      <c r="I50">
        <f t="shared" si="670"/>
        <v>8</v>
      </c>
      <c r="J50">
        <f t="shared" si="670"/>
        <v>9</v>
      </c>
      <c r="K50">
        <f t="shared" si="670"/>
        <v>10</v>
      </c>
      <c r="L50">
        <f t="shared" si="670"/>
        <v>11</v>
      </c>
      <c r="M50">
        <f t="shared" si="670"/>
        <v>12</v>
      </c>
      <c r="N50">
        <f t="shared" si="670"/>
        <v>13</v>
      </c>
      <c r="O50">
        <f t="shared" si="670"/>
        <v>14</v>
      </c>
      <c r="P50">
        <f t="shared" si="670"/>
        <v>15</v>
      </c>
      <c r="Q50">
        <f t="shared" si="670"/>
        <v>16</v>
      </c>
      <c r="R50">
        <f t="shared" si="670"/>
        <v>17</v>
      </c>
      <c r="S50">
        <f t="shared" si="670"/>
        <v>18</v>
      </c>
      <c r="T50">
        <f t="shared" si="670"/>
        <v>19</v>
      </c>
      <c r="U50">
        <f t="shared" si="670"/>
        <v>20</v>
      </c>
      <c r="V50">
        <f t="shared" si="670"/>
        <v>21</v>
      </c>
      <c r="W50">
        <f t="shared" si="670"/>
        <v>22</v>
      </c>
    </row>
    <row r="51" spans="1:23" outlineLevel="1" x14ac:dyDescent="0.3">
      <c r="A51" s="139"/>
      <c r="B51" s="9">
        <f>DATE(2026,3,1)</f>
        <v>46082</v>
      </c>
      <c r="C51" s="9">
        <f>EDATE(B51,1)</f>
        <v>46113</v>
      </c>
      <c r="D51" s="9">
        <f t="shared" ref="D51:W51" si="671">EDATE(C51,1)</f>
        <v>46143</v>
      </c>
      <c r="E51" s="9">
        <f t="shared" si="671"/>
        <v>46174</v>
      </c>
      <c r="F51" s="9">
        <f t="shared" si="671"/>
        <v>46204</v>
      </c>
      <c r="G51" s="9">
        <f t="shared" si="671"/>
        <v>46235</v>
      </c>
      <c r="H51" s="9">
        <f t="shared" si="671"/>
        <v>46266</v>
      </c>
      <c r="I51" s="9">
        <f t="shared" si="671"/>
        <v>46296</v>
      </c>
      <c r="J51" s="9">
        <f t="shared" si="671"/>
        <v>46327</v>
      </c>
      <c r="K51" s="9">
        <f t="shared" si="671"/>
        <v>46357</v>
      </c>
      <c r="L51" s="9">
        <f t="shared" si="671"/>
        <v>46388</v>
      </c>
      <c r="M51" s="9">
        <f t="shared" si="671"/>
        <v>46419</v>
      </c>
      <c r="N51" s="9">
        <f t="shared" si="671"/>
        <v>46447</v>
      </c>
      <c r="O51" s="9">
        <f t="shared" si="671"/>
        <v>46478</v>
      </c>
      <c r="P51" s="9">
        <f t="shared" si="671"/>
        <v>46508</v>
      </c>
      <c r="Q51" s="9">
        <f t="shared" si="671"/>
        <v>46539</v>
      </c>
      <c r="R51" s="9">
        <f t="shared" si="671"/>
        <v>46569</v>
      </c>
      <c r="S51" s="9">
        <f t="shared" si="671"/>
        <v>46600</v>
      </c>
      <c r="T51" s="9">
        <f t="shared" si="671"/>
        <v>46631</v>
      </c>
      <c r="U51" s="9">
        <f t="shared" si="671"/>
        <v>46661</v>
      </c>
      <c r="V51" s="9">
        <f t="shared" si="671"/>
        <v>46692</v>
      </c>
      <c r="W51" s="9">
        <f t="shared" si="671"/>
        <v>46722</v>
      </c>
    </row>
    <row r="52" spans="1:23" outlineLevel="1" x14ac:dyDescent="0.3">
      <c r="A52" t="str">
        <f>A11</f>
        <v>OPERACIÓN</v>
      </c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</row>
    <row r="53" spans="1:23" outlineLevel="1" x14ac:dyDescent="0.3">
      <c r="A53" t="str">
        <f>A12</f>
        <v>Arriendos</v>
      </c>
      <c r="B53" s="36">
        <f>SUMIFS(TablaEgresos[[Valor]:[Valor]],TablaEgresos[[Categoría]:[Categoría]],$A12,TablaEgresos[[Mes]:[Mes]],B$51)</f>
        <v>0</v>
      </c>
      <c r="C53" s="36">
        <f>SUMIFS(TablaEgresos[[Valor]:[Valor]],TablaEgresos[[Categoría]:[Categoría]],$A12,TablaEgresos[[Mes]:[Mes]],C$51)</f>
        <v>0</v>
      </c>
      <c r="D53" s="36">
        <f>SUMIFS(TablaEgresos[[Valor]:[Valor]],TablaEgresos[[Categoría]:[Categoría]],$A12,TablaEgresos[[Mes]:[Mes]],D$51)</f>
        <v>0</v>
      </c>
      <c r="E53" s="36">
        <f>SUMIFS(TablaEgresos[[Valor]:[Valor]],TablaEgresos[[Categoría]:[Categoría]],$A12,TablaEgresos[[Mes]:[Mes]],E$51)</f>
        <v>0</v>
      </c>
      <c r="F53" s="36">
        <f>SUMIFS(TablaEgresos[[Valor]:[Valor]],TablaEgresos[[Categoría]:[Categoría]],$A12,TablaEgresos[[Mes]:[Mes]],F$51)</f>
        <v>0</v>
      </c>
      <c r="G53" s="36">
        <f>SUMIFS(TablaEgresos[[Valor]:[Valor]],TablaEgresos[[Categoría]:[Categoría]],$A12,TablaEgresos[[Mes]:[Mes]],G$51)</f>
        <v>0</v>
      </c>
      <c r="H53" s="36">
        <f>SUMIFS(TablaEgresos[[Valor]:[Valor]],TablaEgresos[[Categoría]:[Categoría]],$A12,TablaEgresos[[Mes]:[Mes]],H$51)</f>
        <v>0</v>
      </c>
      <c r="I53" s="36">
        <f>SUMIFS(TablaEgresos[[Valor]:[Valor]],TablaEgresos[[Categoría]:[Categoría]],$A12,TablaEgresos[[Mes]:[Mes]],I$51)</f>
        <v>0</v>
      </c>
      <c r="J53" s="36">
        <f>SUMIFS(TablaEgresos[[Valor]:[Valor]],TablaEgresos[[Categoría]:[Categoría]],$A12,TablaEgresos[[Mes]:[Mes]],J$51)</f>
        <v>0</v>
      </c>
      <c r="K53" s="36">
        <f>SUMIFS(TablaEgresos[[Valor]:[Valor]],TablaEgresos[[Categoría]:[Categoría]],$A12,TablaEgresos[[Mes]:[Mes]],K$51)</f>
        <v>0</v>
      </c>
      <c r="L53" s="36">
        <f>SUMIFS(TablaEgresos[[Valor]:[Valor]],TablaEgresos[[Categoría]:[Categoría]],$A12,TablaEgresos[[Mes]:[Mes]],L$51)</f>
        <v>0</v>
      </c>
      <c r="M53" s="36">
        <f>SUMIFS(TablaEgresos[[Valor]:[Valor]],TablaEgresos[[Categoría]:[Categoría]],$A12,TablaEgresos[[Mes]:[Mes]],M$51)</f>
        <v>0</v>
      </c>
      <c r="N53" s="36">
        <f>SUMIFS(TablaEgresos[[Valor]:[Valor]],TablaEgresos[[Categoría]:[Categoría]],$A12,TablaEgresos[[Mes]:[Mes]],N$51)</f>
        <v>0</v>
      </c>
      <c r="O53" s="36">
        <f>SUMIFS(TablaEgresos[[Valor]:[Valor]],TablaEgresos[[Categoría]:[Categoría]],$A12,TablaEgresos[[Mes]:[Mes]],O$51)</f>
        <v>0</v>
      </c>
      <c r="P53" s="36">
        <f>SUMIFS(TablaEgresos[[Valor]:[Valor]],TablaEgresos[[Categoría]:[Categoría]],$A12,TablaEgresos[[Mes]:[Mes]],P$51)</f>
        <v>0</v>
      </c>
      <c r="Q53" s="36">
        <f>SUMIFS(TablaEgresos[[Valor]:[Valor]],TablaEgresos[[Categoría]:[Categoría]],$A12,TablaEgresos[[Mes]:[Mes]],Q$51)</f>
        <v>0</v>
      </c>
      <c r="R53" s="36">
        <f>SUMIFS(TablaEgresos[[Valor]:[Valor]],TablaEgresos[[Categoría]:[Categoría]],$A12,TablaEgresos[[Mes]:[Mes]],R$51)</f>
        <v>0</v>
      </c>
      <c r="S53" s="36">
        <f>SUMIFS(TablaEgresos[[Valor]:[Valor]],TablaEgresos[[Categoría]:[Categoría]],$A12,TablaEgresos[[Mes]:[Mes]],S$51)</f>
        <v>0</v>
      </c>
      <c r="T53" s="36">
        <f>SUMIFS(TablaEgresos[[Valor]:[Valor]],TablaEgresos[[Categoría]:[Categoría]],$A12,TablaEgresos[[Mes]:[Mes]],T$51)</f>
        <v>0</v>
      </c>
      <c r="U53" s="36">
        <f>SUMIFS(TablaEgresos[[Valor]:[Valor]],TablaEgresos[[Categoría]:[Categoría]],$A12,TablaEgresos[[Mes]:[Mes]],U$51)</f>
        <v>0</v>
      </c>
      <c r="V53" s="36">
        <f>SUMIFS(TablaEgresos[[Valor]:[Valor]],TablaEgresos[[Categoría]:[Categoría]],$A12,TablaEgresos[[Mes]:[Mes]],V$51)</f>
        <v>0</v>
      </c>
      <c r="W53" s="36">
        <f>SUMIFS(TablaEgresos[[Valor]:[Valor]],TablaEgresos[[Categoría]:[Categoría]],$A12,TablaEgresos[[Mes]:[Mes]],W$51)</f>
        <v>0</v>
      </c>
    </row>
    <row r="54" spans="1:23" outlineLevel="1" x14ac:dyDescent="0.3">
      <c r="A54" t="str">
        <f>A13</f>
        <v>Tecnología y software</v>
      </c>
      <c r="B54" s="36">
        <f>SUMIFS(TablaEgresos[[Valor]:[Valor]],TablaEgresos[[Categoría]:[Categoría]],$A13,TablaEgresos[[Mes]:[Mes]],B$51)</f>
        <v>468019.13</v>
      </c>
      <c r="C54" s="36">
        <f>SUMIFS(TablaEgresos[[Valor]:[Valor]],TablaEgresos[[Categoría]:[Categoría]],$A13,TablaEgresos[[Mes]:[Mes]],C$51)</f>
        <v>3648770.06</v>
      </c>
      <c r="D54" s="36">
        <f>SUMIFS(TablaEgresos[[Valor]:[Valor]],TablaEgresos[[Categoría]:[Categoría]],$A13,TablaEgresos[[Mes]:[Mes]],D$51)</f>
        <v>4237309.41</v>
      </c>
      <c r="E54" s="36">
        <f>SUMIFS(TablaEgresos[[Valor]:[Valor]],TablaEgresos[[Categoría]:[Categoría]],$A13,TablaEgresos[[Mes]:[Mes]],E$51)</f>
        <v>4025854.13</v>
      </c>
      <c r="F54" s="36">
        <f>SUMIFS(TablaEgresos[[Valor]:[Valor]],TablaEgresos[[Categoría]:[Categoría]],$A13,TablaEgresos[[Mes]:[Mes]],F$51)</f>
        <v>4808607.42</v>
      </c>
      <c r="G54" s="36">
        <f>SUMIFS(TablaEgresos[[Valor]:[Valor]],TablaEgresos[[Categoría]:[Categoría]],$A13,TablaEgresos[[Mes]:[Mes]],G$51)</f>
        <v>0</v>
      </c>
      <c r="H54" s="36">
        <f>SUMIFS(TablaEgresos[[Valor]:[Valor]],TablaEgresos[[Categoría]:[Categoría]],$A13,TablaEgresos[[Mes]:[Mes]],H$51)</f>
        <v>0</v>
      </c>
      <c r="I54" s="36">
        <f>SUMIFS(TablaEgresos[[Valor]:[Valor]],TablaEgresos[[Categoría]:[Categoría]],$A13,TablaEgresos[[Mes]:[Mes]],I$51)</f>
        <v>0</v>
      </c>
      <c r="J54" s="36">
        <f>SUMIFS(TablaEgresos[[Valor]:[Valor]],TablaEgresos[[Categoría]:[Categoría]],$A13,TablaEgresos[[Mes]:[Mes]],J$51)</f>
        <v>0</v>
      </c>
      <c r="K54" s="36">
        <f>SUMIFS(TablaEgresos[[Valor]:[Valor]],TablaEgresos[[Categoría]:[Categoría]],$A13,TablaEgresos[[Mes]:[Mes]],K$51)</f>
        <v>0</v>
      </c>
      <c r="L54" s="36">
        <f>SUMIFS(TablaEgresos[[Valor]:[Valor]],TablaEgresos[[Categoría]:[Categoría]],$A13,TablaEgresos[[Mes]:[Mes]],L$51)</f>
        <v>0</v>
      </c>
      <c r="M54" s="36">
        <f>SUMIFS(TablaEgresos[[Valor]:[Valor]],TablaEgresos[[Categoría]:[Categoría]],$A13,TablaEgresos[[Mes]:[Mes]],M$51)</f>
        <v>0</v>
      </c>
      <c r="N54" s="36">
        <f>SUMIFS(TablaEgresos[[Valor]:[Valor]],TablaEgresos[[Categoría]:[Categoría]],$A13,TablaEgresos[[Mes]:[Mes]],N$51)</f>
        <v>0</v>
      </c>
      <c r="O54" s="36">
        <f>SUMIFS(TablaEgresos[[Valor]:[Valor]],TablaEgresos[[Categoría]:[Categoría]],$A13,TablaEgresos[[Mes]:[Mes]],O$51)</f>
        <v>0</v>
      </c>
      <c r="P54" s="36">
        <f>SUMIFS(TablaEgresos[[Valor]:[Valor]],TablaEgresos[[Categoría]:[Categoría]],$A13,TablaEgresos[[Mes]:[Mes]],P$51)</f>
        <v>0</v>
      </c>
      <c r="Q54" s="36">
        <f>SUMIFS(TablaEgresos[[Valor]:[Valor]],TablaEgresos[[Categoría]:[Categoría]],$A13,TablaEgresos[[Mes]:[Mes]],Q$51)</f>
        <v>0</v>
      </c>
      <c r="R54" s="36">
        <f>SUMIFS(TablaEgresos[[Valor]:[Valor]],TablaEgresos[[Categoría]:[Categoría]],$A13,TablaEgresos[[Mes]:[Mes]],R$51)</f>
        <v>0</v>
      </c>
      <c r="S54" s="36">
        <f>SUMIFS(TablaEgresos[[Valor]:[Valor]],TablaEgresos[[Categoría]:[Categoría]],$A13,TablaEgresos[[Mes]:[Mes]],S$51)</f>
        <v>0</v>
      </c>
      <c r="T54" s="36">
        <f>SUMIFS(TablaEgresos[[Valor]:[Valor]],TablaEgresos[[Categoría]:[Categoría]],$A13,TablaEgresos[[Mes]:[Mes]],T$51)</f>
        <v>0</v>
      </c>
      <c r="U54" s="36">
        <f>SUMIFS(TablaEgresos[[Valor]:[Valor]],TablaEgresos[[Categoría]:[Categoría]],$A13,TablaEgresos[[Mes]:[Mes]],U$51)</f>
        <v>0</v>
      </c>
      <c r="V54" s="36">
        <f>SUMIFS(TablaEgresos[[Valor]:[Valor]],TablaEgresos[[Categoría]:[Categoría]],$A13,TablaEgresos[[Mes]:[Mes]],V$51)</f>
        <v>0</v>
      </c>
      <c r="W54" s="36">
        <f>SUMIFS(TablaEgresos[[Valor]:[Valor]],TablaEgresos[[Categoría]:[Categoría]],$A13,TablaEgresos[[Mes]:[Mes]],W$51)</f>
        <v>0</v>
      </c>
    </row>
    <row r="55" spans="1:23" outlineLevel="1" x14ac:dyDescent="0.3">
      <c r="A55" t="str">
        <f>A9</f>
        <v>Seguros (Hunter)</v>
      </c>
      <c r="B55" s="36">
        <f>SUMIFS(TablaEgresos[[Valor]:[Valor]],TablaEgresos[[Categoría]:[Categoría]],$A9,TablaEgresos[[Mes]:[Mes]],B$51)</f>
        <v>0</v>
      </c>
      <c r="C55" s="36">
        <f>SUMIFS(TablaEgresos[[Valor]:[Valor]],TablaEgresos[[Categoría]:[Categoría]],$A9,TablaEgresos[[Mes]:[Mes]],C$51)</f>
        <v>0</v>
      </c>
      <c r="D55" s="36">
        <f>SUMIFS(TablaEgresos[[Valor]:[Valor]],TablaEgresos[[Categoría]:[Categoría]],$A9,TablaEgresos[[Mes]:[Mes]],D$51)</f>
        <v>0</v>
      </c>
      <c r="E55" s="36">
        <f>SUMIFS(TablaEgresos[[Valor]:[Valor]],TablaEgresos[[Categoría]:[Categoría]],$A9,TablaEgresos[[Mes]:[Mes]],E$51)</f>
        <v>0</v>
      </c>
      <c r="F55" s="36">
        <f>SUMIFS(TablaEgresos[[Valor]:[Valor]],TablaEgresos[[Categoría]:[Categoría]],$A9,TablaEgresos[[Mes]:[Mes]],F$51)</f>
        <v>0</v>
      </c>
      <c r="G55" s="36">
        <f>SUMIFS(TablaEgresos[[Valor]:[Valor]],TablaEgresos[[Categoría]:[Categoría]],$A9,TablaEgresos[[Mes]:[Mes]],G$51)</f>
        <v>0</v>
      </c>
      <c r="H55" s="36">
        <f>SUMIFS(TablaEgresos[[Valor]:[Valor]],TablaEgresos[[Categoría]:[Categoría]],$A9,TablaEgresos[[Mes]:[Mes]],H$51)</f>
        <v>0</v>
      </c>
      <c r="I55" s="36">
        <f>SUMIFS(TablaEgresos[[Valor]:[Valor]],TablaEgresos[[Categoría]:[Categoría]],$A9,TablaEgresos[[Mes]:[Mes]],I$51)</f>
        <v>0</v>
      </c>
      <c r="J55" s="36">
        <f>SUMIFS(TablaEgresos[[Valor]:[Valor]],TablaEgresos[[Categoría]:[Categoría]],$A9,TablaEgresos[[Mes]:[Mes]],J$51)</f>
        <v>0</v>
      </c>
      <c r="K55" s="36">
        <f>SUMIFS(TablaEgresos[[Valor]:[Valor]],TablaEgresos[[Categoría]:[Categoría]],$A9,TablaEgresos[[Mes]:[Mes]],K$51)</f>
        <v>0</v>
      </c>
      <c r="L55" s="36">
        <f>SUMIFS(TablaEgresos[[Valor]:[Valor]],TablaEgresos[[Categoría]:[Categoría]],$A9,TablaEgresos[[Mes]:[Mes]],L$51)</f>
        <v>0</v>
      </c>
      <c r="M55" s="36">
        <f>SUMIFS(TablaEgresos[[Valor]:[Valor]],TablaEgresos[[Categoría]:[Categoría]],$A9,TablaEgresos[[Mes]:[Mes]],M$51)</f>
        <v>0</v>
      </c>
      <c r="N55" s="36">
        <f>SUMIFS(TablaEgresos[[Valor]:[Valor]],TablaEgresos[[Categoría]:[Categoría]],$A9,TablaEgresos[[Mes]:[Mes]],N$51)</f>
        <v>0</v>
      </c>
      <c r="O55" s="36">
        <f>SUMIFS(TablaEgresos[[Valor]:[Valor]],TablaEgresos[[Categoría]:[Categoría]],$A9,TablaEgresos[[Mes]:[Mes]],O$51)</f>
        <v>0</v>
      </c>
      <c r="P55" s="36">
        <f>SUMIFS(TablaEgresos[[Valor]:[Valor]],TablaEgresos[[Categoría]:[Categoría]],$A9,TablaEgresos[[Mes]:[Mes]],P$51)</f>
        <v>0</v>
      </c>
      <c r="Q55" s="36">
        <f>SUMIFS(TablaEgresos[[Valor]:[Valor]],TablaEgresos[[Categoría]:[Categoría]],$A9,TablaEgresos[[Mes]:[Mes]],Q$51)</f>
        <v>0</v>
      </c>
      <c r="R55" s="36">
        <f>SUMIFS(TablaEgresos[[Valor]:[Valor]],TablaEgresos[[Categoría]:[Categoría]],$A9,TablaEgresos[[Mes]:[Mes]],R$51)</f>
        <v>0</v>
      </c>
      <c r="S55" s="36">
        <f>SUMIFS(TablaEgresos[[Valor]:[Valor]],TablaEgresos[[Categoría]:[Categoría]],$A9,TablaEgresos[[Mes]:[Mes]],S$51)</f>
        <v>0</v>
      </c>
      <c r="T55" s="36">
        <f>SUMIFS(TablaEgresos[[Valor]:[Valor]],TablaEgresos[[Categoría]:[Categoría]],$A9,TablaEgresos[[Mes]:[Mes]],T$51)</f>
        <v>0</v>
      </c>
      <c r="U55" s="36">
        <f>SUMIFS(TablaEgresos[[Valor]:[Valor]],TablaEgresos[[Categoría]:[Categoría]],$A9,TablaEgresos[[Mes]:[Mes]],U$51)</f>
        <v>0</v>
      </c>
      <c r="V55" s="36">
        <f>SUMIFS(TablaEgresos[[Valor]:[Valor]],TablaEgresos[[Categoría]:[Categoría]],$A9,TablaEgresos[[Mes]:[Mes]],V$51)</f>
        <v>0</v>
      </c>
      <c r="W55" s="36">
        <f>SUMIFS(TablaEgresos[[Valor]:[Valor]],TablaEgresos[[Categoría]:[Categoría]],$A9,TablaEgresos[[Mes]:[Mes]],W$51)</f>
        <v>0</v>
      </c>
    </row>
    <row r="56" spans="1:23" outlineLevel="1" x14ac:dyDescent="0.3">
      <c r="A56" t="str">
        <f>A8</f>
        <v>SOAT/Matrículas</v>
      </c>
      <c r="B56" s="36">
        <f>SUMIFS(TablaEgresos[[Valor]:[Valor]],TablaEgresos[[Categoría]:[Categoría]],$A8,TablaEgresos[[Mes]:[Mes]],B$51)</f>
        <v>0</v>
      </c>
      <c r="C56" s="36">
        <f>SUMIFS(TablaEgresos[[Valor]:[Valor]],TablaEgresos[[Categoría]:[Categoría]],$A8,TablaEgresos[[Mes]:[Mes]],C$51)</f>
        <v>0</v>
      </c>
      <c r="D56" s="36">
        <f>SUMIFS(TablaEgresos[[Valor]:[Valor]],TablaEgresos[[Categoría]:[Categoría]],$A8,TablaEgresos[[Mes]:[Mes]],D$51)</f>
        <v>0</v>
      </c>
      <c r="E56" s="36">
        <f>SUMIFS(TablaEgresos[[Valor]:[Valor]],TablaEgresos[[Categoría]:[Categoría]],$A8,TablaEgresos[[Mes]:[Mes]],E$51)</f>
        <v>15581666.469999999</v>
      </c>
      <c r="F56" s="36">
        <f>SUMIFS(TablaEgresos[[Valor]:[Valor]],TablaEgresos[[Categoría]:[Categoría]],$A8,TablaEgresos[[Mes]:[Mes]],F$51)</f>
        <v>10465679.98</v>
      </c>
      <c r="G56" s="36">
        <f>SUMIFS(TablaEgresos[[Valor]:[Valor]],TablaEgresos[[Categoría]:[Categoría]],$A8,TablaEgresos[[Mes]:[Mes]],G$51)</f>
        <v>0</v>
      </c>
      <c r="H56" s="36">
        <f>SUMIFS(TablaEgresos[[Valor]:[Valor]],TablaEgresos[[Categoría]:[Categoría]],$A8,TablaEgresos[[Mes]:[Mes]],H$51)</f>
        <v>0</v>
      </c>
      <c r="I56" s="36">
        <f>SUMIFS(TablaEgresos[[Valor]:[Valor]],TablaEgresos[[Categoría]:[Categoría]],$A8,TablaEgresos[[Mes]:[Mes]],I$51)</f>
        <v>0</v>
      </c>
      <c r="J56" s="36">
        <f>SUMIFS(TablaEgresos[[Valor]:[Valor]],TablaEgresos[[Categoría]:[Categoría]],$A8,TablaEgresos[[Mes]:[Mes]],J$51)</f>
        <v>0</v>
      </c>
      <c r="K56" s="36">
        <f>SUMIFS(TablaEgresos[[Valor]:[Valor]],TablaEgresos[[Categoría]:[Categoría]],$A8,TablaEgresos[[Mes]:[Mes]],K$51)</f>
        <v>0</v>
      </c>
      <c r="L56" s="36">
        <f>SUMIFS(TablaEgresos[[Valor]:[Valor]],TablaEgresos[[Categoría]:[Categoría]],$A8,TablaEgresos[[Mes]:[Mes]],L$51)</f>
        <v>0</v>
      </c>
      <c r="M56" s="36">
        <f>SUMIFS(TablaEgresos[[Valor]:[Valor]],TablaEgresos[[Categoría]:[Categoría]],$A8,TablaEgresos[[Mes]:[Mes]],M$51)</f>
        <v>0</v>
      </c>
      <c r="N56" s="36">
        <f>SUMIFS(TablaEgresos[[Valor]:[Valor]],TablaEgresos[[Categoría]:[Categoría]],$A8,TablaEgresos[[Mes]:[Mes]],N$51)</f>
        <v>0</v>
      </c>
      <c r="O56" s="36">
        <f>SUMIFS(TablaEgresos[[Valor]:[Valor]],TablaEgresos[[Categoría]:[Categoría]],$A8,TablaEgresos[[Mes]:[Mes]],O$51)</f>
        <v>0</v>
      </c>
      <c r="P56" s="36">
        <f>SUMIFS(TablaEgresos[[Valor]:[Valor]],TablaEgresos[[Categoría]:[Categoría]],$A8,TablaEgresos[[Mes]:[Mes]],P$51)</f>
        <v>0</v>
      </c>
      <c r="Q56" s="36">
        <f>SUMIFS(TablaEgresos[[Valor]:[Valor]],TablaEgresos[[Categoría]:[Categoría]],$A8,TablaEgresos[[Mes]:[Mes]],Q$51)</f>
        <v>0</v>
      </c>
      <c r="R56" s="36">
        <f>SUMIFS(TablaEgresos[[Valor]:[Valor]],TablaEgresos[[Categoría]:[Categoría]],$A8,TablaEgresos[[Mes]:[Mes]],R$51)</f>
        <v>0</v>
      </c>
      <c r="S56" s="36">
        <f>SUMIFS(TablaEgresos[[Valor]:[Valor]],TablaEgresos[[Categoría]:[Categoría]],$A8,TablaEgresos[[Mes]:[Mes]],S$51)</f>
        <v>0</v>
      </c>
      <c r="T56" s="36">
        <f>SUMIFS(TablaEgresos[[Valor]:[Valor]],TablaEgresos[[Categoría]:[Categoría]],$A8,TablaEgresos[[Mes]:[Mes]],T$51)</f>
        <v>0</v>
      </c>
      <c r="U56" s="36">
        <f>SUMIFS(TablaEgresos[[Valor]:[Valor]],TablaEgresos[[Categoría]:[Categoría]],$A8,TablaEgresos[[Mes]:[Mes]],U$51)</f>
        <v>0</v>
      </c>
      <c r="V56" s="36">
        <f>SUMIFS(TablaEgresos[[Valor]:[Valor]],TablaEgresos[[Categoría]:[Categoría]],$A8,TablaEgresos[[Mes]:[Mes]],V$51)</f>
        <v>0</v>
      </c>
      <c r="W56" s="36">
        <f>SUMIFS(TablaEgresos[[Valor]:[Valor]],TablaEgresos[[Categoría]:[Categoría]],$A8,TablaEgresos[[Mes]:[Mes]],W$51)</f>
        <v>0</v>
      </c>
    </row>
    <row r="57" spans="1:23" outlineLevel="1" x14ac:dyDescent="0.3">
      <c r="A57" t="str">
        <f>A14</f>
        <v>Mobiliario/planta/equipo</v>
      </c>
      <c r="B57" s="36">
        <f>SUMIFS(TablaEgresos[[Valor]:[Valor]],TablaEgresos[[Categoría]:[Categoría]],$A14,TablaEgresos[[Mes]:[Mes]],B$51)</f>
        <v>0</v>
      </c>
      <c r="C57" s="36">
        <f>SUMIFS(TablaEgresos[[Valor]:[Valor]],TablaEgresos[[Categoría]:[Categoría]],$A14,TablaEgresos[[Mes]:[Mes]],C$51)</f>
        <v>0</v>
      </c>
      <c r="D57" s="36">
        <f>SUMIFS(TablaEgresos[[Valor]:[Valor]],TablaEgresos[[Categoría]:[Categoría]],$A14,TablaEgresos[[Mes]:[Mes]],D$51)</f>
        <v>0</v>
      </c>
      <c r="E57" s="36">
        <f>SUMIFS(TablaEgresos[[Valor]:[Valor]],TablaEgresos[[Categoría]:[Categoría]],$A14,TablaEgresos[[Mes]:[Mes]],E$51)</f>
        <v>0</v>
      </c>
      <c r="F57" s="36">
        <f>SUMIFS(TablaEgresos[[Valor]:[Valor]],TablaEgresos[[Categoría]:[Categoría]],$A14,TablaEgresos[[Mes]:[Mes]],F$51)</f>
        <v>71100</v>
      </c>
      <c r="G57" s="36">
        <f>SUMIFS(TablaEgresos[[Valor]:[Valor]],TablaEgresos[[Categoría]:[Categoría]],$A14,TablaEgresos[[Mes]:[Mes]],G$51)</f>
        <v>0</v>
      </c>
      <c r="H57" s="36">
        <f>SUMIFS(TablaEgresos[[Valor]:[Valor]],TablaEgresos[[Categoría]:[Categoría]],$A14,TablaEgresos[[Mes]:[Mes]],H$51)</f>
        <v>0</v>
      </c>
      <c r="I57" s="36">
        <f>SUMIFS(TablaEgresos[[Valor]:[Valor]],TablaEgresos[[Categoría]:[Categoría]],$A14,TablaEgresos[[Mes]:[Mes]],I$51)</f>
        <v>0</v>
      </c>
      <c r="J57" s="36">
        <f>SUMIFS(TablaEgresos[[Valor]:[Valor]],TablaEgresos[[Categoría]:[Categoría]],$A14,TablaEgresos[[Mes]:[Mes]],J$51)</f>
        <v>0</v>
      </c>
      <c r="K57" s="36">
        <f>SUMIFS(TablaEgresos[[Valor]:[Valor]],TablaEgresos[[Categoría]:[Categoría]],$A14,TablaEgresos[[Mes]:[Mes]],K$51)</f>
        <v>0</v>
      </c>
      <c r="L57" s="36">
        <f>SUMIFS(TablaEgresos[[Valor]:[Valor]],TablaEgresos[[Categoría]:[Categoría]],$A14,TablaEgresos[[Mes]:[Mes]],L$51)</f>
        <v>0</v>
      </c>
      <c r="M57" s="36">
        <f>SUMIFS(TablaEgresos[[Valor]:[Valor]],TablaEgresos[[Categoría]:[Categoría]],$A14,TablaEgresos[[Mes]:[Mes]],M$51)</f>
        <v>0</v>
      </c>
      <c r="N57" s="36">
        <f>SUMIFS(TablaEgresos[[Valor]:[Valor]],TablaEgresos[[Categoría]:[Categoría]],$A14,TablaEgresos[[Mes]:[Mes]],N$51)</f>
        <v>0</v>
      </c>
      <c r="O57" s="36">
        <f>SUMIFS(TablaEgresos[[Valor]:[Valor]],TablaEgresos[[Categoría]:[Categoría]],$A14,TablaEgresos[[Mes]:[Mes]],O$51)</f>
        <v>0</v>
      </c>
      <c r="P57" s="36">
        <f>SUMIFS(TablaEgresos[[Valor]:[Valor]],TablaEgresos[[Categoría]:[Categoría]],$A14,TablaEgresos[[Mes]:[Mes]],P$51)</f>
        <v>0</v>
      </c>
      <c r="Q57" s="36">
        <f>SUMIFS(TablaEgresos[[Valor]:[Valor]],TablaEgresos[[Categoría]:[Categoría]],$A14,TablaEgresos[[Mes]:[Mes]],Q$51)</f>
        <v>0</v>
      </c>
      <c r="R57" s="36">
        <f>SUMIFS(TablaEgresos[[Valor]:[Valor]],TablaEgresos[[Categoría]:[Categoría]],$A14,TablaEgresos[[Mes]:[Mes]],R$51)</f>
        <v>0</v>
      </c>
      <c r="S57" s="36">
        <f>SUMIFS(TablaEgresos[[Valor]:[Valor]],TablaEgresos[[Categoría]:[Categoría]],$A14,TablaEgresos[[Mes]:[Mes]],S$51)</f>
        <v>0</v>
      </c>
      <c r="T57" s="36">
        <f>SUMIFS(TablaEgresos[[Valor]:[Valor]],TablaEgresos[[Categoría]:[Categoría]],$A14,TablaEgresos[[Mes]:[Mes]],T$51)</f>
        <v>0</v>
      </c>
      <c r="U57" s="36">
        <f>SUMIFS(TablaEgresos[[Valor]:[Valor]],TablaEgresos[[Categoría]:[Categoría]],$A14,TablaEgresos[[Mes]:[Mes]],U$51)</f>
        <v>0</v>
      </c>
      <c r="V57" s="36">
        <f>SUMIFS(TablaEgresos[[Valor]:[Valor]],TablaEgresos[[Categoría]:[Categoría]],$A14,TablaEgresos[[Mes]:[Mes]],V$51)</f>
        <v>0</v>
      </c>
      <c r="W57" s="36">
        <f>SUMIFS(TablaEgresos[[Valor]:[Valor]],TablaEgresos[[Categoría]:[Categoría]],$A14,TablaEgresos[[Mes]:[Mes]],W$51)</f>
        <v>0</v>
      </c>
    </row>
    <row r="58" spans="1:23" outlineLevel="1" x14ac:dyDescent="0.3">
      <c r="A58" t="str">
        <f>A15</f>
        <v>Servicios públicos y telecom</v>
      </c>
      <c r="B58" s="36">
        <f>SUMIFS(TablaEgresos[[Valor]:[Valor]],TablaEgresos[[Categoría]:[Categoría]],$A15,TablaEgresos[[Mes]:[Mes]],B$51)</f>
        <v>0</v>
      </c>
      <c r="C58" s="36">
        <f>SUMIFS(TablaEgresos[[Valor]:[Valor]],TablaEgresos[[Categoría]:[Categoría]],$A15,TablaEgresos[[Mes]:[Mes]],C$51)</f>
        <v>0</v>
      </c>
      <c r="D58" s="36">
        <f>SUMIFS(TablaEgresos[[Valor]:[Valor]],TablaEgresos[[Categoría]:[Categoría]],$A15,TablaEgresos[[Mes]:[Mes]],D$51)</f>
        <v>0</v>
      </c>
      <c r="E58" s="36">
        <f>SUMIFS(TablaEgresos[[Valor]:[Valor]],TablaEgresos[[Categoría]:[Categoría]],$A15,TablaEgresos[[Mes]:[Mes]],E$51)</f>
        <v>0</v>
      </c>
      <c r="F58" s="36">
        <f>SUMIFS(TablaEgresos[[Valor]:[Valor]],TablaEgresos[[Categoría]:[Categoría]],$A15,TablaEgresos[[Mes]:[Mes]],F$51)</f>
        <v>0</v>
      </c>
      <c r="G58" s="36">
        <f>SUMIFS(TablaEgresos[[Valor]:[Valor]],TablaEgresos[[Categoría]:[Categoría]],$A15,TablaEgresos[[Mes]:[Mes]],G$51)</f>
        <v>0</v>
      </c>
      <c r="H58" s="36">
        <f>SUMIFS(TablaEgresos[[Valor]:[Valor]],TablaEgresos[[Categoría]:[Categoría]],$A15,TablaEgresos[[Mes]:[Mes]],H$51)</f>
        <v>0</v>
      </c>
      <c r="I58" s="36">
        <f>SUMIFS(TablaEgresos[[Valor]:[Valor]],TablaEgresos[[Categoría]:[Categoría]],$A15,TablaEgresos[[Mes]:[Mes]],I$51)</f>
        <v>0</v>
      </c>
      <c r="J58" s="36">
        <f>SUMIFS(TablaEgresos[[Valor]:[Valor]],TablaEgresos[[Categoría]:[Categoría]],$A15,TablaEgresos[[Mes]:[Mes]],J$51)</f>
        <v>0</v>
      </c>
      <c r="K58" s="36">
        <f>SUMIFS(TablaEgresos[[Valor]:[Valor]],TablaEgresos[[Categoría]:[Categoría]],$A15,TablaEgresos[[Mes]:[Mes]],K$51)</f>
        <v>0</v>
      </c>
      <c r="L58" s="36">
        <f>SUMIFS(TablaEgresos[[Valor]:[Valor]],TablaEgresos[[Categoría]:[Categoría]],$A15,TablaEgresos[[Mes]:[Mes]],L$51)</f>
        <v>0</v>
      </c>
      <c r="M58" s="36">
        <f>SUMIFS(TablaEgresos[[Valor]:[Valor]],TablaEgresos[[Categoría]:[Categoría]],$A15,TablaEgresos[[Mes]:[Mes]],M$51)</f>
        <v>0</v>
      </c>
      <c r="N58" s="36">
        <f>SUMIFS(TablaEgresos[[Valor]:[Valor]],TablaEgresos[[Categoría]:[Categoría]],$A15,TablaEgresos[[Mes]:[Mes]],N$51)</f>
        <v>0</v>
      </c>
      <c r="O58" s="36">
        <f>SUMIFS(TablaEgresos[[Valor]:[Valor]],TablaEgresos[[Categoría]:[Categoría]],$A15,TablaEgresos[[Mes]:[Mes]],O$51)</f>
        <v>0</v>
      </c>
      <c r="P58" s="36">
        <f>SUMIFS(TablaEgresos[[Valor]:[Valor]],TablaEgresos[[Categoría]:[Categoría]],$A15,TablaEgresos[[Mes]:[Mes]],P$51)</f>
        <v>0</v>
      </c>
      <c r="Q58" s="36">
        <f>SUMIFS(TablaEgresos[[Valor]:[Valor]],TablaEgresos[[Categoría]:[Categoría]],$A15,TablaEgresos[[Mes]:[Mes]],Q$51)</f>
        <v>0</v>
      </c>
      <c r="R58" s="36">
        <f>SUMIFS(TablaEgresos[[Valor]:[Valor]],TablaEgresos[[Categoría]:[Categoría]],$A15,TablaEgresos[[Mes]:[Mes]],R$51)</f>
        <v>0</v>
      </c>
      <c r="S58" s="36">
        <f>SUMIFS(TablaEgresos[[Valor]:[Valor]],TablaEgresos[[Categoría]:[Categoría]],$A15,TablaEgresos[[Mes]:[Mes]],S$51)</f>
        <v>0</v>
      </c>
      <c r="T58" s="36">
        <f>SUMIFS(TablaEgresos[[Valor]:[Valor]],TablaEgresos[[Categoría]:[Categoría]],$A15,TablaEgresos[[Mes]:[Mes]],T$51)</f>
        <v>0</v>
      </c>
      <c r="U58" s="36">
        <f>SUMIFS(TablaEgresos[[Valor]:[Valor]],TablaEgresos[[Categoría]:[Categoría]],$A15,TablaEgresos[[Mes]:[Mes]],U$51)</f>
        <v>0</v>
      </c>
      <c r="V58" s="36">
        <f>SUMIFS(TablaEgresos[[Valor]:[Valor]],TablaEgresos[[Categoría]:[Categoría]],$A15,TablaEgresos[[Mes]:[Mes]],V$51)</f>
        <v>0</v>
      </c>
      <c r="W58" s="36">
        <f>SUMIFS(TablaEgresos[[Valor]:[Valor]],TablaEgresos[[Categoría]:[Categoría]],$A15,TablaEgresos[[Mes]:[Mes]],W$51)</f>
        <v>0</v>
      </c>
    </row>
    <row r="59" spans="1:23" outlineLevel="1" x14ac:dyDescent="0.3">
      <c r="A59" t="str">
        <f>A16</f>
        <v>Mercado y aseo</v>
      </c>
      <c r="B59" s="36">
        <f>SUMIFS(TablaEgresos[[Valor]:[Valor]],TablaEgresos[[Categoría]:[Categoría]],$A16,TablaEgresos[[Mes]:[Mes]],B$51)</f>
        <v>0</v>
      </c>
      <c r="C59" s="36">
        <f>SUMIFS(TablaEgresos[[Valor]:[Valor]],TablaEgresos[[Categoría]:[Categoría]],$A16,TablaEgresos[[Mes]:[Mes]],C$51)</f>
        <v>312270</v>
      </c>
      <c r="D59" s="36">
        <f>SUMIFS(TablaEgresos[[Valor]:[Valor]],TablaEgresos[[Categoría]:[Categoría]],$A16,TablaEgresos[[Mes]:[Mes]],D$51)</f>
        <v>212380</v>
      </c>
      <c r="E59" s="36">
        <f>SUMIFS(TablaEgresos[[Valor]:[Valor]],TablaEgresos[[Categoría]:[Categoría]],$A16,TablaEgresos[[Mes]:[Mes]],E$51)</f>
        <v>559358</v>
      </c>
      <c r="F59" s="36">
        <f>SUMIFS(TablaEgresos[[Valor]:[Valor]],TablaEgresos[[Categoría]:[Categoría]],$A16,TablaEgresos[[Mes]:[Mes]],F$51)</f>
        <v>106278</v>
      </c>
      <c r="G59" s="36">
        <f>SUMIFS(TablaEgresos[[Valor]:[Valor]],TablaEgresos[[Categoría]:[Categoría]],$A16,TablaEgresos[[Mes]:[Mes]],G$51)</f>
        <v>0</v>
      </c>
      <c r="H59" s="36">
        <f>SUMIFS(TablaEgresos[[Valor]:[Valor]],TablaEgresos[[Categoría]:[Categoría]],$A16,TablaEgresos[[Mes]:[Mes]],H$51)</f>
        <v>0</v>
      </c>
      <c r="I59" s="36">
        <f>SUMIFS(TablaEgresos[[Valor]:[Valor]],TablaEgresos[[Categoría]:[Categoría]],$A16,TablaEgresos[[Mes]:[Mes]],I$51)</f>
        <v>0</v>
      </c>
      <c r="J59" s="36">
        <f>SUMIFS(TablaEgresos[[Valor]:[Valor]],TablaEgresos[[Categoría]:[Categoría]],$A16,TablaEgresos[[Mes]:[Mes]],J$51)</f>
        <v>0</v>
      </c>
      <c r="K59" s="36">
        <f>SUMIFS(TablaEgresos[[Valor]:[Valor]],TablaEgresos[[Categoría]:[Categoría]],$A16,TablaEgresos[[Mes]:[Mes]],K$51)</f>
        <v>0</v>
      </c>
      <c r="L59" s="36">
        <f>SUMIFS(TablaEgresos[[Valor]:[Valor]],TablaEgresos[[Categoría]:[Categoría]],$A16,TablaEgresos[[Mes]:[Mes]],L$51)</f>
        <v>0</v>
      </c>
      <c r="M59" s="36">
        <f>SUMIFS(TablaEgresos[[Valor]:[Valor]],TablaEgresos[[Categoría]:[Categoría]],$A16,TablaEgresos[[Mes]:[Mes]],M$51)</f>
        <v>0</v>
      </c>
      <c r="N59" s="36">
        <f>SUMIFS(TablaEgresos[[Valor]:[Valor]],TablaEgresos[[Categoría]:[Categoría]],$A16,TablaEgresos[[Mes]:[Mes]],N$51)</f>
        <v>0</v>
      </c>
      <c r="O59" s="36">
        <f>SUMIFS(TablaEgresos[[Valor]:[Valor]],TablaEgresos[[Categoría]:[Categoría]],$A16,TablaEgresos[[Mes]:[Mes]],O$51)</f>
        <v>0</v>
      </c>
      <c r="P59" s="36">
        <f>SUMIFS(TablaEgresos[[Valor]:[Valor]],TablaEgresos[[Categoría]:[Categoría]],$A16,TablaEgresos[[Mes]:[Mes]],P$51)</f>
        <v>0</v>
      </c>
      <c r="Q59" s="36">
        <f>SUMIFS(TablaEgresos[[Valor]:[Valor]],TablaEgresos[[Categoría]:[Categoría]],$A16,TablaEgresos[[Mes]:[Mes]],Q$51)</f>
        <v>0</v>
      </c>
      <c r="R59" s="36">
        <f>SUMIFS(TablaEgresos[[Valor]:[Valor]],TablaEgresos[[Categoría]:[Categoría]],$A16,TablaEgresos[[Mes]:[Mes]],R$51)</f>
        <v>0</v>
      </c>
      <c r="S59" s="36">
        <f>SUMIFS(TablaEgresos[[Valor]:[Valor]],TablaEgresos[[Categoría]:[Categoría]],$A16,TablaEgresos[[Mes]:[Mes]],S$51)</f>
        <v>0</v>
      </c>
      <c r="T59" s="36">
        <f>SUMIFS(TablaEgresos[[Valor]:[Valor]],TablaEgresos[[Categoría]:[Categoría]],$A16,TablaEgresos[[Mes]:[Mes]],T$51)</f>
        <v>0</v>
      </c>
      <c r="U59" s="36">
        <f>SUMIFS(TablaEgresos[[Valor]:[Valor]],TablaEgresos[[Categoría]:[Categoría]],$A16,TablaEgresos[[Mes]:[Mes]],U$51)</f>
        <v>0</v>
      </c>
      <c r="V59" s="36">
        <f>SUMIFS(TablaEgresos[[Valor]:[Valor]],TablaEgresos[[Categoría]:[Categoría]],$A16,TablaEgresos[[Mes]:[Mes]],V$51)</f>
        <v>0</v>
      </c>
      <c r="W59" s="36">
        <f>SUMIFS(TablaEgresos[[Valor]:[Valor]],TablaEgresos[[Categoría]:[Categoría]],$A16,TablaEgresos[[Mes]:[Mes]],W$51)</f>
        <v>0</v>
      </c>
    </row>
    <row r="60" spans="1:23" outlineLevel="1" x14ac:dyDescent="0.3">
      <c r="A60" t="str">
        <f>A17</f>
        <v>Cafetería</v>
      </c>
      <c r="B60" s="36">
        <f>SUMIFS(TablaEgresos[[Valor]:[Valor]],TablaEgresos[[Categoría]:[Categoría]],$A17,TablaEgresos[[Mes]:[Mes]],B$51)</f>
        <v>0</v>
      </c>
      <c r="C60" s="36">
        <f>SUMIFS(TablaEgresos[[Valor]:[Valor]],TablaEgresos[[Categoría]:[Categoría]],$A17,TablaEgresos[[Mes]:[Mes]],C$51)</f>
        <v>67308.47</v>
      </c>
      <c r="D60" s="36">
        <f>SUMIFS(TablaEgresos[[Valor]:[Valor]],TablaEgresos[[Categoría]:[Categoría]],$A17,TablaEgresos[[Mes]:[Mes]],D$51)</f>
        <v>1516520.75</v>
      </c>
      <c r="E60" s="36">
        <f>SUMIFS(TablaEgresos[[Valor]:[Valor]],TablaEgresos[[Categoría]:[Categoría]],$A17,TablaEgresos[[Mes]:[Mes]],E$51)</f>
        <v>1742701</v>
      </c>
      <c r="F60" s="36">
        <f>SUMIFS(TablaEgresos[[Valor]:[Valor]],TablaEgresos[[Categoría]:[Categoría]],$A17,TablaEgresos[[Mes]:[Mes]],F$51)</f>
        <v>176200</v>
      </c>
      <c r="G60" s="36">
        <f>SUMIFS(TablaEgresos[[Valor]:[Valor]],TablaEgresos[[Categoría]:[Categoría]],$A17,TablaEgresos[[Mes]:[Mes]],G$51)</f>
        <v>0</v>
      </c>
      <c r="H60" s="36">
        <f>SUMIFS(TablaEgresos[[Valor]:[Valor]],TablaEgresos[[Categoría]:[Categoría]],$A17,TablaEgresos[[Mes]:[Mes]],H$51)</f>
        <v>0</v>
      </c>
      <c r="I60" s="36">
        <f>SUMIFS(TablaEgresos[[Valor]:[Valor]],TablaEgresos[[Categoría]:[Categoría]],$A17,TablaEgresos[[Mes]:[Mes]],I$51)</f>
        <v>0</v>
      </c>
      <c r="J60" s="36">
        <f>SUMIFS(TablaEgresos[[Valor]:[Valor]],TablaEgresos[[Categoría]:[Categoría]],$A17,TablaEgresos[[Mes]:[Mes]],J$51)</f>
        <v>0</v>
      </c>
      <c r="K60" s="36">
        <f>SUMIFS(TablaEgresos[[Valor]:[Valor]],TablaEgresos[[Categoría]:[Categoría]],$A17,TablaEgresos[[Mes]:[Mes]],K$51)</f>
        <v>0</v>
      </c>
      <c r="L60" s="36">
        <f>SUMIFS(TablaEgresos[[Valor]:[Valor]],TablaEgresos[[Categoría]:[Categoría]],$A17,TablaEgresos[[Mes]:[Mes]],L$51)</f>
        <v>0</v>
      </c>
      <c r="M60" s="36">
        <f>SUMIFS(TablaEgresos[[Valor]:[Valor]],TablaEgresos[[Categoría]:[Categoría]],$A17,TablaEgresos[[Mes]:[Mes]],M$51)</f>
        <v>0</v>
      </c>
      <c r="N60" s="36">
        <f>SUMIFS(TablaEgresos[[Valor]:[Valor]],TablaEgresos[[Categoría]:[Categoría]],$A17,TablaEgresos[[Mes]:[Mes]],N$51)</f>
        <v>0</v>
      </c>
      <c r="O60" s="36">
        <f>SUMIFS(TablaEgresos[[Valor]:[Valor]],TablaEgresos[[Categoría]:[Categoría]],$A17,TablaEgresos[[Mes]:[Mes]],O$51)</f>
        <v>0</v>
      </c>
      <c r="P60" s="36">
        <f>SUMIFS(TablaEgresos[[Valor]:[Valor]],TablaEgresos[[Categoría]:[Categoría]],$A17,TablaEgresos[[Mes]:[Mes]],P$51)</f>
        <v>0</v>
      </c>
      <c r="Q60" s="36">
        <f>SUMIFS(TablaEgresos[[Valor]:[Valor]],TablaEgresos[[Categoría]:[Categoría]],$A17,TablaEgresos[[Mes]:[Mes]],Q$51)</f>
        <v>0</v>
      </c>
      <c r="R60" s="36">
        <f>SUMIFS(TablaEgresos[[Valor]:[Valor]],TablaEgresos[[Categoría]:[Categoría]],$A17,TablaEgresos[[Mes]:[Mes]],R$51)</f>
        <v>0</v>
      </c>
      <c r="S60" s="36">
        <f>SUMIFS(TablaEgresos[[Valor]:[Valor]],TablaEgresos[[Categoría]:[Categoría]],$A17,TablaEgresos[[Mes]:[Mes]],S$51)</f>
        <v>0</v>
      </c>
      <c r="T60" s="36">
        <f>SUMIFS(TablaEgresos[[Valor]:[Valor]],TablaEgresos[[Categoría]:[Categoría]],$A17,TablaEgresos[[Mes]:[Mes]],T$51)</f>
        <v>0</v>
      </c>
      <c r="U60" s="36">
        <f>SUMIFS(TablaEgresos[[Valor]:[Valor]],TablaEgresos[[Categoría]:[Categoría]],$A17,TablaEgresos[[Mes]:[Mes]],U$51)</f>
        <v>0</v>
      </c>
      <c r="V60" s="36">
        <f>SUMIFS(TablaEgresos[[Valor]:[Valor]],TablaEgresos[[Categoría]:[Categoría]],$A17,TablaEgresos[[Mes]:[Mes]],V$51)</f>
        <v>0</v>
      </c>
      <c r="W60" s="36">
        <f>SUMIFS(TablaEgresos[[Valor]:[Valor]],TablaEgresos[[Categoría]:[Categoría]],$A17,TablaEgresos[[Mes]:[Mes]],W$51)</f>
        <v>0</v>
      </c>
    </row>
    <row r="61" spans="1:23" outlineLevel="1" x14ac:dyDescent="0.3">
      <c r="A61" t="str">
        <f>A18</f>
        <v>Transporte/peajes/combustible/parqueo</v>
      </c>
      <c r="B61" s="36">
        <f>SUMIFS(TablaEgresos[[Valor]:[Valor]],TablaEgresos[[Categoría]:[Categoría]],$A18,TablaEgresos[[Mes]:[Mes]],B$51)</f>
        <v>0</v>
      </c>
      <c r="C61" s="36">
        <f>SUMIFS(TablaEgresos[[Valor]:[Valor]],TablaEgresos[[Categoría]:[Categoría]],$A18,TablaEgresos[[Mes]:[Mes]],C$51)</f>
        <v>460761</v>
      </c>
      <c r="D61" s="36">
        <f>SUMIFS(TablaEgresos[[Valor]:[Valor]],TablaEgresos[[Categoría]:[Categoría]],$A18,TablaEgresos[[Mes]:[Mes]],D$51)</f>
        <v>1693242</v>
      </c>
      <c r="E61" s="36">
        <f>SUMIFS(TablaEgresos[[Valor]:[Valor]],TablaEgresos[[Categoría]:[Categoría]],$A18,TablaEgresos[[Mes]:[Mes]],E$51)</f>
        <v>1899591</v>
      </c>
      <c r="F61" s="36">
        <f>SUMIFS(TablaEgresos[[Valor]:[Valor]],TablaEgresos[[Categoría]:[Categoría]],$A18,TablaEgresos[[Mes]:[Mes]],F$51)</f>
        <v>1203597.96</v>
      </c>
      <c r="G61" s="36">
        <f>SUMIFS(TablaEgresos[[Valor]:[Valor]],TablaEgresos[[Categoría]:[Categoría]],$A18,TablaEgresos[[Mes]:[Mes]],G$51)</f>
        <v>0</v>
      </c>
      <c r="H61" s="36">
        <f>SUMIFS(TablaEgresos[[Valor]:[Valor]],TablaEgresos[[Categoría]:[Categoría]],$A18,TablaEgresos[[Mes]:[Mes]],H$51)</f>
        <v>0</v>
      </c>
      <c r="I61" s="36">
        <f>SUMIFS(TablaEgresos[[Valor]:[Valor]],TablaEgresos[[Categoría]:[Categoría]],$A18,TablaEgresos[[Mes]:[Mes]],I$51)</f>
        <v>0</v>
      </c>
      <c r="J61" s="36">
        <f>SUMIFS(TablaEgresos[[Valor]:[Valor]],TablaEgresos[[Categoría]:[Categoría]],$A18,TablaEgresos[[Mes]:[Mes]],J$51)</f>
        <v>0</v>
      </c>
      <c r="K61" s="36">
        <f>SUMIFS(TablaEgresos[[Valor]:[Valor]],TablaEgresos[[Categoría]:[Categoría]],$A18,TablaEgresos[[Mes]:[Mes]],K$51)</f>
        <v>0</v>
      </c>
      <c r="L61" s="36">
        <f>SUMIFS(TablaEgresos[[Valor]:[Valor]],TablaEgresos[[Categoría]:[Categoría]],$A18,TablaEgresos[[Mes]:[Mes]],L$51)</f>
        <v>0</v>
      </c>
      <c r="M61" s="36">
        <f>SUMIFS(TablaEgresos[[Valor]:[Valor]],TablaEgresos[[Categoría]:[Categoría]],$A18,TablaEgresos[[Mes]:[Mes]],M$51)</f>
        <v>0</v>
      </c>
      <c r="N61" s="36">
        <f>SUMIFS(TablaEgresos[[Valor]:[Valor]],TablaEgresos[[Categoría]:[Categoría]],$A18,TablaEgresos[[Mes]:[Mes]],N$51)</f>
        <v>0</v>
      </c>
      <c r="O61" s="36">
        <f>SUMIFS(TablaEgresos[[Valor]:[Valor]],TablaEgresos[[Categoría]:[Categoría]],$A18,TablaEgresos[[Mes]:[Mes]],O$51)</f>
        <v>0</v>
      </c>
      <c r="P61" s="36">
        <f>SUMIFS(TablaEgresos[[Valor]:[Valor]],TablaEgresos[[Categoría]:[Categoría]],$A18,TablaEgresos[[Mes]:[Mes]],P$51)</f>
        <v>0</v>
      </c>
      <c r="Q61" s="36">
        <f>SUMIFS(TablaEgresos[[Valor]:[Valor]],TablaEgresos[[Categoría]:[Categoría]],$A18,TablaEgresos[[Mes]:[Mes]],Q$51)</f>
        <v>0</v>
      </c>
      <c r="R61" s="36">
        <f>SUMIFS(TablaEgresos[[Valor]:[Valor]],TablaEgresos[[Categoría]:[Categoría]],$A18,TablaEgresos[[Mes]:[Mes]],R$51)</f>
        <v>0</v>
      </c>
      <c r="S61" s="36">
        <f>SUMIFS(TablaEgresos[[Valor]:[Valor]],TablaEgresos[[Categoría]:[Categoría]],$A18,TablaEgresos[[Mes]:[Mes]],S$51)</f>
        <v>0</v>
      </c>
      <c r="T61" s="36">
        <f>SUMIFS(TablaEgresos[[Valor]:[Valor]],TablaEgresos[[Categoría]:[Categoría]],$A18,TablaEgresos[[Mes]:[Mes]],T$51)</f>
        <v>0</v>
      </c>
      <c r="U61" s="36">
        <f>SUMIFS(TablaEgresos[[Valor]:[Valor]],TablaEgresos[[Categoría]:[Categoría]],$A18,TablaEgresos[[Mes]:[Mes]],U$51)</f>
        <v>0</v>
      </c>
      <c r="V61" s="36">
        <f>SUMIFS(TablaEgresos[[Valor]:[Valor]],TablaEgresos[[Categoría]:[Categoría]],$A18,TablaEgresos[[Mes]:[Mes]],V$51)</f>
        <v>0</v>
      </c>
      <c r="W61" s="36">
        <f>SUMIFS(TablaEgresos[[Valor]:[Valor]],TablaEgresos[[Categoría]:[Categoría]],$A18,TablaEgresos[[Mes]:[Mes]],W$51)</f>
        <v>0</v>
      </c>
    </row>
    <row r="62" spans="1:23" outlineLevel="1" x14ac:dyDescent="0.3">
      <c r="A62" t="str">
        <f>A21</f>
        <v>Gastos de representación</v>
      </c>
      <c r="B62" s="36">
        <f>SUMIFS(TablaEgresos[[Valor]:[Valor]],TablaEgresos[[Categoría]:[Categoría]],$A21,TablaEgresos[[Mes]:[Mes]],B$51)</f>
        <v>0</v>
      </c>
      <c r="C62" s="36">
        <f>SUMIFS(TablaEgresos[[Valor]:[Valor]],TablaEgresos[[Categoría]:[Categoría]],$A21,TablaEgresos[[Mes]:[Mes]],C$51)</f>
        <v>557076</v>
      </c>
      <c r="D62" s="36">
        <f>SUMIFS(TablaEgresos[[Valor]:[Valor]],TablaEgresos[[Categoría]:[Categoría]],$A21,TablaEgresos[[Mes]:[Mes]],D$51)</f>
        <v>774299</v>
      </c>
      <c r="E62" s="36">
        <f>SUMIFS(TablaEgresos[[Valor]:[Valor]],TablaEgresos[[Categoría]:[Categoría]],$A21,TablaEgresos[[Mes]:[Mes]],E$51)</f>
        <v>385056</v>
      </c>
      <c r="F62" s="36">
        <f>SUMIFS(TablaEgresos[[Valor]:[Valor]],TablaEgresos[[Categoría]:[Categoría]],$A21,TablaEgresos[[Mes]:[Mes]],F$51)</f>
        <v>0</v>
      </c>
      <c r="G62" s="36">
        <f>SUMIFS(TablaEgresos[[Valor]:[Valor]],TablaEgresos[[Categoría]:[Categoría]],$A21,TablaEgresos[[Mes]:[Mes]],G$51)</f>
        <v>0</v>
      </c>
      <c r="H62" s="36">
        <f>SUMIFS(TablaEgresos[[Valor]:[Valor]],TablaEgresos[[Categoría]:[Categoría]],$A21,TablaEgresos[[Mes]:[Mes]],H$51)</f>
        <v>0</v>
      </c>
      <c r="I62" s="36">
        <f>SUMIFS(TablaEgresos[[Valor]:[Valor]],TablaEgresos[[Categoría]:[Categoría]],$A21,TablaEgresos[[Mes]:[Mes]],I$51)</f>
        <v>0</v>
      </c>
      <c r="J62" s="36">
        <f>SUMIFS(TablaEgresos[[Valor]:[Valor]],TablaEgresos[[Categoría]:[Categoría]],$A21,TablaEgresos[[Mes]:[Mes]],J$51)</f>
        <v>0</v>
      </c>
      <c r="K62" s="36">
        <f>SUMIFS(TablaEgresos[[Valor]:[Valor]],TablaEgresos[[Categoría]:[Categoría]],$A21,TablaEgresos[[Mes]:[Mes]],K$51)</f>
        <v>0</v>
      </c>
      <c r="L62" s="36">
        <f>SUMIFS(TablaEgresos[[Valor]:[Valor]],TablaEgresos[[Categoría]:[Categoría]],$A21,TablaEgresos[[Mes]:[Mes]],L$51)</f>
        <v>0</v>
      </c>
      <c r="M62" s="36">
        <f>SUMIFS(TablaEgresos[[Valor]:[Valor]],TablaEgresos[[Categoría]:[Categoría]],$A21,TablaEgresos[[Mes]:[Mes]],M$51)</f>
        <v>0</v>
      </c>
      <c r="N62" s="36">
        <f>SUMIFS(TablaEgresos[[Valor]:[Valor]],TablaEgresos[[Categoría]:[Categoría]],$A21,TablaEgresos[[Mes]:[Mes]],N$51)</f>
        <v>0</v>
      </c>
      <c r="O62" s="36">
        <f>SUMIFS(TablaEgresos[[Valor]:[Valor]],TablaEgresos[[Categoría]:[Categoría]],$A21,TablaEgresos[[Mes]:[Mes]],O$51)</f>
        <v>0</v>
      </c>
      <c r="P62" s="36">
        <f>SUMIFS(TablaEgresos[[Valor]:[Valor]],TablaEgresos[[Categoría]:[Categoría]],$A21,TablaEgresos[[Mes]:[Mes]],P$51)</f>
        <v>0</v>
      </c>
      <c r="Q62" s="36">
        <f>SUMIFS(TablaEgresos[[Valor]:[Valor]],TablaEgresos[[Categoría]:[Categoría]],$A21,TablaEgresos[[Mes]:[Mes]],Q$51)</f>
        <v>0</v>
      </c>
      <c r="R62" s="36">
        <f>SUMIFS(TablaEgresos[[Valor]:[Valor]],TablaEgresos[[Categoría]:[Categoría]],$A21,TablaEgresos[[Mes]:[Mes]],R$51)</f>
        <v>0</v>
      </c>
      <c r="S62" s="36">
        <f>SUMIFS(TablaEgresos[[Valor]:[Valor]],TablaEgresos[[Categoría]:[Categoría]],$A21,TablaEgresos[[Mes]:[Mes]],S$51)</f>
        <v>0</v>
      </c>
      <c r="T62" s="36">
        <f>SUMIFS(TablaEgresos[[Valor]:[Valor]],TablaEgresos[[Categoría]:[Categoría]],$A21,TablaEgresos[[Mes]:[Mes]],T$51)</f>
        <v>0</v>
      </c>
      <c r="U62" s="36">
        <f>SUMIFS(TablaEgresos[[Valor]:[Valor]],TablaEgresos[[Categoría]:[Categoría]],$A21,TablaEgresos[[Mes]:[Mes]],U$51)</f>
        <v>0</v>
      </c>
      <c r="V62" s="36">
        <f>SUMIFS(TablaEgresos[[Valor]:[Valor]],TablaEgresos[[Categoría]:[Categoría]],$A21,TablaEgresos[[Mes]:[Mes]],V$51)</f>
        <v>0</v>
      </c>
      <c r="W62" s="36">
        <f>SUMIFS(TablaEgresos[[Valor]:[Valor]],TablaEgresos[[Categoría]:[Categoría]],$A21,TablaEgresos[[Mes]:[Mes]],W$51)</f>
        <v>0</v>
      </c>
    </row>
    <row r="63" spans="1:23" outlineLevel="1" x14ac:dyDescent="0.3">
      <c r="A63" t="str">
        <f>A20</f>
        <v>Marketing y publicidad</v>
      </c>
      <c r="B63" s="36">
        <f>SUMIFS(TablaEgresos[[Valor]:[Valor]],TablaEgresos[[Categoría]:[Categoría]],$A20,TablaEgresos[[Mes]:[Mes]],B$51)</f>
        <v>0</v>
      </c>
      <c r="C63" s="36">
        <f>SUMIFS(TablaEgresos[[Valor]:[Valor]],TablaEgresos[[Categoría]:[Categoría]],$A20,TablaEgresos[[Mes]:[Mes]],C$51)</f>
        <v>153693</v>
      </c>
      <c r="D63" s="36">
        <f>SUMIFS(TablaEgresos[[Valor]:[Valor]],TablaEgresos[[Categoría]:[Categoría]],$A20,TablaEgresos[[Mes]:[Mes]],D$51)</f>
        <v>213721</v>
      </c>
      <c r="E63" s="36">
        <f>SUMIFS(TablaEgresos[[Valor]:[Valor]],TablaEgresos[[Categoría]:[Categoría]],$A20,TablaEgresos[[Mes]:[Mes]],E$51)</f>
        <v>180000</v>
      </c>
      <c r="F63" s="36">
        <f>SUMIFS(TablaEgresos[[Valor]:[Valor]],TablaEgresos[[Categoría]:[Categoría]],$A20,TablaEgresos[[Mes]:[Mes]],F$51)</f>
        <v>0</v>
      </c>
      <c r="G63" s="36">
        <f>SUMIFS(TablaEgresos[[Valor]:[Valor]],TablaEgresos[[Categoría]:[Categoría]],$A20,TablaEgresos[[Mes]:[Mes]],G$51)</f>
        <v>0</v>
      </c>
      <c r="H63" s="36">
        <f>SUMIFS(TablaEgresos[[Valor]:[Valor]],TablaEgresos[[Categoría]:[Categoría]],$A20,TablaEgresos[[Mes]:[Mes]],H$51)</f>
        <v>0</v>
      </c>
      <c r="I63" s="36">
        <f>SUMIFS(TablaEgresos[[Valor]:[Valor]],TablaEgresos[[Categoría]:[Categoría]],$A20,TablaEgresos[[Mes]:[Mes]],I$51)</f>
        <v>0</v>
      </c>
      <c r="J63" s="36">
        <f>SUMIFS(TablaEgresos[[Valor]:[Valor]],TablaEgresos[[Categoría]:[Categoría]],$A20,TablaEgresos[[Mes]:[Mes]],J$51)</f>
        <v>0</v>
      </c>
      <c r="K63" s="36">
        <f>SUMIFS(TablaEgresos[[Valor]:[Valor]],TablaEgresos[[Categoría]:[Categoría]],$A20,TablaEgresos[[Mes]:[Mes]],K$51)</f>
        <v>0</v>
      </c>
      <c r="L63" s="36">
        <f>SUMIFS(TablaEgresos[[Valor]:[Valor]],TablaEgresos[[Categoría]:[Categoría]],$A20,TablaEgresos[[Mes]:[Mes]],L$51)</f>
        <v>0</v>
      </c>
      <c r="M63" s="36">
        <f>SUMIFS(TablaEgresos[[Valor]:[Valor]],TablaEgresos[[Categoría]:[Categoría]],$A20,TablaEgresos[[Mes]:[Mes]],M$51)</f>
        <v>0</v>
      </c>
      <c r="N63" s="36">
        <f>SUMIFS(TablaEgresos[[Valor]:[Valor]],TablaEgresos[[Categoría]:[Categoría]],$A20,TablaEgresos[[Mes]:[Mes]],N$51)</f>
        <v>0</v>
      </c>
      <c r="O63" s="36">
        <f>SUMIFS(TablaEgresos[[Valor]:[Valor]],TablaEgresos[[Categoría]:[Categoría]],$A20,TablaEgresos[[Mes]:[Mes]],O$51)</f>
        <v>0</v>
      </c>
      <c r="P63" s="36">
        <f>SUMIFS(TablaEgresos[[Valor]:[Valor]],TablaEgresos[[Categoría]:[Categoría]],$A20,TablaEgresos[[Mes]:[Mes]],P$51)</f>
        <v>0</v>
      </c>
      <c r="Q63" s="36">
        <f>SUMIFS(TablaEgresos[[Valor]:[Valor]],TablaEgresos[[Categoría]:[Categoría]],$A20,TablaEgresos[[Mes]:[Mes]],Q$51)</f>
        <v>0</v>
      </c>
      <c r="R63" s="36">
        <f>SUMIFS(TablaEgresos[[Valor]:[Valor]],TablaEgresos[[Categoría]:[Categoría]],$A20,TablaEgresos[[Mes]:[Mes]],R$51)</f>
        <v>0</v>
      </c>
      <c r="S63" s="36">
        <f>SUMIFS(TablaEgresos[[Valor]:[Valor]],TablaEgresos[[Categoría]:[Categoría]],$A20,TablaEgresos[[Mes]:[Mes]],S$51)</f>
        <v>0</v>
      </c>
      <c r="T63" s="36">
        <f>SUMIFS(TablaEgresos[[Valor]:[Valor]],TablaEgresos[[Categoría]:[Categoría]],$A20,TablaEgresos[[Mes]:[Mes]],T$51)</f>
        <v>0</v>
      </c>
      <c r="U63" s="36">
        <f>SUMIFS(TablaEgresos[[Valor]:[Valor]],TablaEgresos[[Categoría]:[Categoría]],$A20,TablaEgresos[[Mes]:[Mes]],U$51)</f>
        <v>0</v>
      </c>
      <c r="V63" s="36">
        <f>SUMIFS(TablaEgresos[[Valor]:[Valor]],TablaEgresos[[Categoría]:[Categoría]],$A20,TablaEgresos[[Mes]:[Mes]],V$51)</f>
        <v>0</v>
      </c>
      <c r="W63" s="36">
        <f>SUMIFS(TablaEgresos[[Valor]:[Valor]],TablaEgresos[[Categoría]:[Categoría]],$A20,TablaEgresos[[Mes]:[Mes]],W$51)</f>
        <v>0</v>
      </c>
    </row>
    <row r="64" spans="1:23" outlineLevel="1" x14ac:dyDescent="0.3">
      <c r="A64" t="str">
        <f>A19</f>
        <v>Papelería</v>
      </c>
      <c r="B64" s="36">
        <f>SUMIFS(TablaEgresos[[Valor]:[Valor]],TablaEgresos[[Categoría]:[Categoría]],$A19,TablaEgresos[[Mes]:[Mes]],B$51)</f>
        <v>0</v>
      </c>
      <c r="C64" s="36">
        <f>SUMIFS(TablaEgresos[[Valor]:[Valor]],TablaEgresos[[Categoría]:[Categoría]],$A19,TablaEgresos[[Mes]:[Mes]],C$51)</f>
        <v>203700</v>
      </c>
      <c r="D64" s="36">
        <f>SUMIFS(TablaEgresos[[Valor]:[Valor]],TablaEgresos[[Categoría]:[Categoría]],$A19,TablaEgresos[[Mes]:[Mes]],D$51)</f>
        <v>220300</v>
      </c>
      <c r="E64" s="36">
        <f>SUMIFS(TablaEgresos[[Valor]:[Valor]],TablaEgresos[[Categoría]:[Categoría]],$A19,TablaEgresos[[Mes]:[Mes]],E$51)</f>
        <v>351800</v>
      </c>
      <c r="F64" s="36">
        <f>SUMIFS(TablaEgresos[[Valor]:[Valor]],TablaEgresos[[Categoría]:[Categoría]],$A19,TablaEgresos[[Mes]:[Mes]],F$51)</f>
        <v>0</v>
      </c>
      <c r="G64" s="36">
        <f>SUMIFS(TablaEgresos[[Valor]:[Valor]],TablaEgresos[[Categoría]:[Categoría]],$A19,TablaEgresos[[Mes]:[Mes]],G$51)</f>
        <v>0</v>
      </c>
      <c r="H64" s="36">
        <f>SUMIFS(TablaEgresos[[Valor]:[Valor]],TablaEgresos[[Categoría]:[Categoría]],$A19,TablaEgresos[[Mes]:[Mes]],H$51)</f>
        <v>0</v>
      </c>
      <c r="I64" s="36">
        <f>SUMIFS(TablaEgresos[[Valor]:[Valor]],TablaEgresos[[Categoría]:[Categoría]],$A19,TablaEgresos[[Mes]:[Mes]],I$51)</f>
        <v>0</v>
      </c>
      <c r="J64" s="36">
        <f>SUMIFS(TablaEgresos[[Valor]:[Valor]],TablaEgresos[[Categoría]:[Categoría]],$A19,TablaEgresos[[Mes]:[Mes]],J$51)</f>
        <v>0</v>
      </c>
      <c r="K64" s="36">
        <f>SUMIFS(TablaEgresos[[Valor]:[Valor]],TablaEgresos[[Categoría]:[Categoría]],$A19,TablaEgresos[[Mes]:[Mes]],K$51)</f>
        <v>0</v>
      </c>
      <c r="L64" s="36">
        <f>SUMIFS(TablaEgresos[[Valor]:[Valor]],TablaEgresos[[Categoría]:[Categoría]],$A19,TablaEgresos[[Mes]:[Mes]],L$51)</f>
        <v>0</v>
      </c>
      <c r="M64" s="36">
        <f>SUMIFS(TablaEgresos[[Valor]:[Valor]],TablaEgresos[[Categoría]:[Categoría]],$A19,TablaEgresos[[Mes]:[Mes]],M$51)</f>
        <v>0</v>
      </c>
      <c r="N64" s="36">
        <f>SUMIFS(TablaEgresos[[Valor]:[Valor]],TablaEgresos[[Categoría]:[Categoría]],$A19,TablaEgresos[[Mes]:[Mes]],N$51)</f>
        <v>0</v>
      </c>
      <c r="O64" s="36">
        <f>SUMIFS(TablaEgresos[[Valor]:[Valor]],TablaEgresos[[Categoría]:[Categoría]],$A19,TablaEgresos[[Mes]:[Mes]],O$51)</f>
        <v>0</v>
      </c>
      <c r="P64" s="36">
        <f>SUMIFS(TablaEgresos[[Valor]:[Valor]],TablaEgresos[[Categoría]:[Categoría]],$A19,TablaEgresos[[Mes]:[Mes]],P$51)</f>
        <v>0</v>
      </c>
      <c r="Q64" s="36">
        <f>SUMIFS(TablaEgresos[[Valor]:[Valor]],TablaEgresos[[Categoría]:[Categoría]],$A19,TablaEgresos[[Mes]:[Mes]],Q$51)</f>
        <v>0</v>
      </c>
      <c r="R64" s="36">
        <f>SUMIFS(TablaEgresos[[Valor]:[Valor]],TablaEgresos[[Categoría]:[Categoría]],$A19,TablaEgresos[[Mes]:[Mes]],R$51)</f>
        <v>0</v>
      </c>
      <c r="S64" s="36">
        <f>SUMIFS(TablaEgresos[[Valor]:[Valor]],TablaEgresos[[Categoría]:[Categoría]],$A19,TablaEgresos[[Mes]:[Mes]],S$51)</f>
        <v>0</v>
      </c>
      <c r="T64" s="36">
        <f>SUMIFS(TablaEgresos[[Valor]:[Valor]],TablaEgresos[[Categoría]:[Categoría]],$A19,TablaEgresos[[Mes]:[Mes]],T$51)</f>
        <v>0</v>
      </c>
      <c r="U64" s="36">
        <f>SUMIFS(TablaEgresos[[Valor]:[Valor]],TablaEgresos[[Categoría]:[Categoría]],$A19,TablaEgresos[[Mes]:[Mes]],U$51)</f>
        <v>0</v>
      </c>
      <c r="V64" s="36">
        <f>SUMIFS(TablaEgresos[[Valor]:[Valor]],TablaEgresos[[Categoría]:[Categoría]],$A19,TablaEgresos[[Mes]:[Mes]],V$51)</f>
        <v>0</v>
      </c>
      <c r="W64" s="36">
        <f>SUMIFS(TablaEgresos[[Valor]:[Valor]],TablaEgresos[[Categoría]:[Categoría]],$A19,TablaEgresos[[Mes]:[Mes]],W$51)</f>
        <v>0</v>
      </c>
    </row>
    <row r="65" spans="1:23" outlineLevel="1" x14ac:dyDescent="0.3">
      <c r="A65" t="str">
        <f>A7</f>
        <v>Producto</v>
      </c>
      <c r="B65" s="36">
        <f>SUMIFS(TablaEgresos[[Valor]:[Valor]],TablaEgresos[[Categoría]:[Categoría]],$A7,TablaEgresos[[Mes]:[Mes]],B$51)</f>
        <v>0</v>
      </c>
      <c r="C65" s="36">
        <f>SUMIFS(TablaEgresos[[Valor]:[Valor]],TablaEgresos[[Categoría]:[Categoría]],$A7,TablaEgresos[[Mes]:[Mes]],C$51)</f>
        <v>114999999.12</v>
      </c>
      <c r="D65" s="36">
        <f>SUMIFS(TablaEgresos[[Valor]:[Valor]],TablaEgresos[[Categoría]:[Categoría]],$A7,TablaEgresos[[Mes]:[Mes]],D$51)</f>
        <v>0</v>
      </c>
      <c r="E65" s="36">
        <f>SUMIFS(TablaEgresos[[Valor]:[Valor]],TablaEgresos[[Categoría]:[Categoría]],$A7,TablaEgresos[[Mes]:[Mes]],E$51)</f>
        <v>68999999</v>
      </c>
      <c r="F65" s="36">
        <f>SUMIFS(TablaEgresos[[Valor]:[Valor]],TablaEgresos[[Categoría]:[Categoría]],$A7,TablaEgresos[[Mes]:[Mes]],F$51)</f>
        <v>0</v>
      </c>
      <c r="G65" s="36">
        <f>SUMIFS(TablaEgresos[[Valor]:[Valor]],TablaEgresos[[Categoría]:[Categoría]],$A7,TablaEgresos[[Mes]:[Mes]],G$51)</f>
        <v>0</v>
      </c>
      <c r="H65" s="36">
        <f>SUMIFS(TablaEgresos[[Valor]:[Valor]],TablaEgresos[[Categoría]:[Categoría]],$A7,TablaEgresos[[Mes]:[Mes]],H$51)</f>
        <v>0</v>
      </c>
      <c r="I65" s="36">
        <f>SUMIFS(TablaEgresos[[Valor]:[Valor]],TablaEgresos[[Categoría]:[Categoría]],$A7,TablaEgresos[[Mes]:[Mes]],I$51)</f>
        <v>0</v>
      </c>
      <c r="J65" s="36">
        <f>SUMIFS(TablaEgresos[[Valor]:[Valor]],TablaEgresos[[Categoría]:[Categoría]],$A7,TablaEgresos[[Mes]:[Mes]],J$51)</f>
        <v>0</v>
      </c>
      <c r="K65" s="36">
        <f>SUMIFS(TablaEgresos[[Valor]:[Valor]],TablaEgresos[[Categoría]:[Categoría]],$A7,TablaEgresos[[Mes]:[Mes]],K$51)</f>
        <v>0</v>
      </c>
      <c r="L65" s="36">
        <f>SUMIFS(TablaEgresos[[Valor]:[Valor]],TablaEgresos[[Categoría]:[Categoría]],$A7,TablaEgresos[[Mes]:[Mes]],L$51)</f>
        <v>0</v>
      </c>
      <c r="M65" s="36">
        <f>SUMIFS(TablaEgresos[[Valor]:[Valor]],TablaEgresos[[Categoría]:[Categoría]],$A7,TablaEgresos[[Mes]:[Mes]],M$51)</f>
        <v>0</v>
      </c>
      <c r="N65" s="36">
        <f>SUMIFS(TablaEgresos[[Valor]:[Valor]],TablaEgresos[[Categoría]:[Categoría]],$A7,TablaEgresos[[Mes]:[Mes]],N$51)</f>
        <v>0</v>
      </c>
      <c r="O65" s="36">
        <f>SUMIFS(TablaEgresos[[Valor]:[Valor]],TablaEgresos[[Categoría]:[Categoría]],$A7,TablaEgresos[[Mes]:[Mes]],O$51)</f>
        <v>0</v>
      </c>
      <c r="P65" s="36">
        <f>SUMIFS(TablaEgresos[[Valor]:[Valor]],TablaEgresos[[Categoría]:[Categoría]],$A7,TablaEgresos[[Mes]:[Mes]],P$51)</f>
        <v>0</v>
      </c>
      <c r="Q65" s="36">
        <f>SUMIFS(TablaEgresos[[Valor]:[Valor]],TablaEgresos[[Categoría]:[Categoría]],$A7,TablaEgresos[[Mes]:[Mes]],Q$51)</f>
        <v>0</v>
      </c>
      <c r="R65" s="36">
        <f>SUMIFS(TablaEgresos[[Valor]:[Valor]],TablaEgresos[[Categoría]:[Categoría]],$A7,TablaEgresos[[Mes]:[Mes]],R$51)</f>
        <v>0</v>
      </c>
      <c r="S65" s="36">
        <f>SUMIFS(TablaEgresos[[Valor]:[Valor]],TablaEgresos[[Categoría]:[Categoría]],$A7,TablaEgresos[[Mes]:[Mes]],S$51)</f>
        <v>0</v>
      </c>
      <c r="T65" s="36">
        <f>SUMIFS(TablaEgresos[[Valor]:[Valor]],TablaEgresos[[Categoría]:[Categoría]],$A7,TablaEgresos[[Mes]:[Mes]],T$51)</f>
        <v>0</v>
      </c>
      <c r="U65" s="36">
        <f>SUMIFS(TablaEgresos[[Valor]:[Valor]],TablaEgresos[[Categoría]:[Categoría]],$A7,TablaEgresos[[Mes]:[Mes]],U$51)</f>
        <v>0</v>
      </c>
      <c r="V65" s="36">
        <f>SUMIFS(TablaEgresos[[Valor]:[Valor]],TablaEgresos[[Categoría]:[Categoría]],$A7,TablaEgresos[[Mes]:[Mes]],V$51)</f>
        <v>0</v>
      </c>
      <c r="W65" s="36">
        <f>SUMIFS(TablaEgresos[[Valor]:[Valor]],TablaEgresos[[Categoría]:[Categoría]],$A7,TablaEgresos[[Mes]:[Mes]],W$51)</f>
        <v>0</v>
      </c>
    </row>
    <row r="66" spans="1:23" outlineLevel="1" x14ac:dyDescent="0.3">
      <c r="A66" t="str">
        <f t="shared" ref="A66:A88" si="672">A22</f>
        <v>Renting</v>
      </c>
      <c r="B66" s="36">
        <f>SUMIFS(TablaEgresos[[Valor]:[Valor]],TablaEgresos[[Categoría]:[Categoría]],$A22,TablaEgresos[[Mes]:[Mes]],B$51)</f>
        <v>0</v>
      </c>
      <c r="C66" s="36">
        <f>SUMIFS(TablaEgresos[[Valor]:[Valor]],TablaEgresos[[Categoría]:[Categoría]],$A22,TablaEgresos[[Mes]:[Mes]],C$51)</f>
        <v>0</v>
      </c>
      <c r="D66" s="36">
        <f>SUMIFS(TablaEgresos[[Valor]:[Valor]],TablaEgresos[[Categoría]:[Categoría]],$A22,TablaEgresos[[Mes]:[Mes]],D$51)</f>
        <v>0</v>
      </c>
      <c r="E66" s="36">
        <f>SUMIFS(TablaEgresos[[Valor]:[Valor]],TablaEgresos[[Categoría]:[Categoría]],$A22,TablaEgresos[[Mes]:[Mes]],E$51)</f>
        <v>0</v>
      </c>
      <c r="F66" s="36">
        <f>SUMIFS(TablaEgresos[[Valor]:[Valor]],TablaEgresos[[Categoría]:[Categoría]],$A22,TablaEgresos[[Mes]:[Mes]],F$51)</f>
        <v>0</v>
      </c>
      <c r="G66" s="36">
        <f>SUMIFS(TablaEgresos[[Valor]:[Valor]],TablaEgresos[[Categoría]:[Categoría]],$A22,TablaEgresos[[Mes]:[Mes]],G$51)</f>
        <v>0</v>
      </c>
      <c r="H66" s="36">
        <f>SUMIFS(TablaEgresos[[Valor]:[Valor]],TablaEgresos[[Categoría]:[Categoría]],$A22,TablaEgresos[[Mes]:[Mes]],H$51)</f>
        <v>0</v>
      </c>
      <c r="I66" s="36">
        <f>SUMIFS(TablaEgresos[[Valor]:[Valor]],TablaEgresos[[Categoría]:[Categoría]],$A22,TablaEgresos[[Mes]:[Mes]],I$51)</f>
        <v>0</v>
      </c>
      <c r="J66" s="36">
        <f>SUMIFS(TablaEgresos[[Valor]:[Valor]],TablaEgresos[[Categoría]:[Categoría]],$A22,TablaEgresos[[Mes]:[Mes]],J$51)</f>
        <v>0</v>
      </c>
      <c r="K66" s="36">
        <f>SUMIFS(TablaEgresos[[Valor]:[Valor]],TablaEgresos[[Categoría]:[Categoría]],$A22,TablaEgresos[[Mes]:[Mes]],K$51)</f>
        <v>0</v>
      </c>
      <c r="L66" s="36">
        <f>SUMIFS(TablaEgresos[[Valor]:[Valor]],TablaEgresos[[Categoría]:[Categoría]],$A22,TablaEgresos[[Mes]:[Mes]],L$51)</f>
        <v>0</v>
      </c>
      <c r="M66" s="36">
        <f>SUMIFS(TablaEgresos[[Valor]:[Valor]],TablaEgresos[[Categoría]:[Categoría]],$A22,TablaEgresos[[Mes]:[Mes]],M$51)</f>
        <v>0</v>
      </c>
      <c r="N66" s="36">
        <f>SUMIFS(TablaEgresos[[Valor]:[Valor]],TablaEgresos[[Categoría]:[Categoría]],$A22,TablaEgresos[[Mes]:[Mes]],N$51)</f>
        <v>0</v>
      </c>
      <c r="O66" s="36">
        <f>SUMIFS(TablaEgresos[[Valor]:[Valor]],TablaEgresos[[Categoría]:[Categoría]],$A22,TablaEgresos[[Mes]:[Mes]],O$51)</f>
        <v>0</v>
      </c>
      <c r="P66" s="36">
        <f>SUMIFS(TablaEgresos[[Valor]:[Valor]],TablaEgresos[[Categoría]:[Categoría]],$A22,TablaEgresos[[Mes]:[Mes]],P$51)</f>
        <v>0</v>
      </c>
      <c r="Q66" s="36">
        <f>SUMIFS(TablaEgresos[[Valor]:[Valor]],TablaEgresos[[Categoría]:[Categoría]],$A22,TablaEgresos[[Mes]:[Mes]],Q$51)</f>
        <v>0</v>
      </c>
      <c r="R66" s="36">
        <f>SUMIFS(TablaEgresos[[Valor]:[Valor]],TablaEgresos[[Categoría]:[Categoría]],$A22,TablaEgresos[[Mes]:[Mes]],R$51)</f>
        <v>0</v>
      </c>
      <c r="S66" s="36">
        <f>SUMIFS(TablaEgresos[[Valor]:[Valor]],TablaEgresos[[Categoría]:[Categoría]],$A22,TablaEgresos[[Mes]:[Mes]],S$51)</f>
        <v>0</v>
      </c>
      <c r="T66" s="36">
        <f>SUMIFS(TablaEgresos[[Valor]:[Valor]],TablaEgresos[[Categoría]:[Categoría]],$A22,TablaEgresos[[Mes]:[Mes]],T$51)</f>
        <v>0</v>
      </c>
      <c r="U66" s="36">
        <f>SUMIFS(TablaEgresos[[Valor]:[Valor]],TablaEgresos[[Categoría]:[Categoría]],$A22,TablaEgresos[[Mes]:[Mes]],U$51)</f>
        <v>0</v>
      </c>
      <c r="V66" s="36">
        <f>SUMIFS(TablaEgresos[[Valor]:[Valor]],TablaEgresos[[Categoría]:[Categoría]],$A22,TablaEgresos[[Mes]:[Mes]],V$51)</f>
        <v>0</v>
      </c>
      <c r="W66" s="36">
        <f>SUMIFS(TablaEgresos[[Valor]:[Valor]],TablaEgresos[[Categoría]:[Categoría]],$A22,TablaEgresos[[Mes]:[Mes]],W$51)</f>
        <v>0</v>
      </c>
    </row>
    <row r="67" spans="1:23" outlineLevel="1" x14ac:dyDescent="0.3">
      <c r="A67" t="str">
        <f t="shared" si="672"/>
        <v>Subtotal Operación</v>
      </c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</row>
    <row r="68" spans="1:23" outlineLevel="1" x14ac:dyDescent="0.3">
      <c r="A68" t="str">
        <f t="shared" si="672"/>
        <v>NÓMINA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</row>
    <row r="69" spans="1:23" outlineLevel="1" x14ac:dyDescent="0.3">
      <c r="A69" t="str">
        <f t="shared" si="672"/>
        <v>Sueldos empleados</v>
      </c>
      <c r="B69" s="36">
        <f>SUMIFS(TablaEgresos[[Valor]:[Valor]],TablaEgresos[[Categoría]:[Categoría]],$A25,TablaEgresos[[Mes]:[Mes]],B$51)</f>
        <v>0</v>
      </c>
      <c r="C69" s="36">
        <f>SUMIFS(TablaEgresos[[Valor]:[Valor]],TablaEgresos[[Categoría]:[Categoría]],$A25,TablaEgresos[[Mes]:[Mes]],C$51)</f>
        <v>1765927.37</v>
      </c>
      <c r="D69" s="36">
        <f>SUMIFS(TablaEgresos[[Valor]:[Valor]],TablaEgresos[[Categoría]:[Categoría]],$A25,TablaEgresos[[Mes]:[Mes]],D$51)</f>
        <v>2043927</v>
      </c>
      <c r="E69" s="36">
        <f>SUMIFS(TablaEgresos[[Valor]:[Valor]],TablaEgresos[[Categoría]:[Categoría]],$A25,TablaEgresos[[Mes]:[Mes]],E$51)</f>
        <v>6343926.3199999994</v>
      </c>
      <c r="F69" s="36">
        <f>SUMIFS(TablaEgresos[[Valor]:[Valor]],TablaEgresos[[Categoría]:[Categoría]],$A25,TablaEgresos[[Mes]:[Mes]],F$51)</f>
        <v>9656272.7599999998</v>
      </c>
      <c r="G69" s="36">
        <f>SUMIFS(TablaEgresos[[Valor]:[Valor]],TablaEgresos[[Categoría]:[Categoría]],$A25,TablaEgresos[[Mes]:[Mes]],G$51)</f>
        <v>0</v>
      </c>
      <c r="H69" s="36">
        <f>SUMIFS(TablaEgresos[[Valor]:[Valor]],TablaEgresos[[Categoría]:[Categoría]],$A25,TablaEgresos[[Mes]:[Mes]],H$51)</f>
        <v>0</v>
      </c>
      <c r="I69" s="36">
        <f>SUMIFS(TablaEgresos[[Valor]:[Valor]],TablaEgresos[[Categoría]:[Categoría]],$A25,TablaEgresos[[Mes]:[Mes]],I$51)</f>
        <v>0</v>
      </c>
      <c r="J69" s="36">
        <f>SUMIFS(TablaEgresos[[Valor]:[Valor]],TablaEgresos[[Categoría]:[Categoría]],$A25,TablaEgresos[[Mes]:[Mes]],J$51)</f>
        <v>0</v>
      </c>
      <c r="K69" s="36">
        <f>SUMIFS(TablaEgresos[[Valor]:[Valor]],TablaEgresos[[Categoría]:[Categoría]],$A25,TablaEgresos[[Mes]:[Mes]],K$51)</f>
        <v>0</v>
      </c>
      <c r="L69" s="36">
        <f>SUMIFS(TablaEgresos[[Valor]:[Valor]],TablaEgresos[[Categoría]:[Categoría]],$A25,TablaEgresos[[Mes]:[Mes]],L$51)</f>
        <v>0</v>
      </c>
      <c r="M69" s="36">
        <f>SUMIFS(TablaEgresos[[Valor]:[Valor]],TablaEgresos[[Categoría]:[Categoría]],$A25,TablaEgresos[[Mes]:[Mes]],M$51)</f>
        <v>0</v>
      </c>
      <c r="N69" s="36">
        <f>SUMIFS(TablaEgresos[[Valor]:[Valor]],TablaEgresos[[Categoría]:[Categoría]],$A25,TablaEgresos[[Mes]:[Mes]],N$51)</f>
        <v>0</v>
      </c>
      <c r="O69" s="36">
        <f>SUMIFS(TablaEgresos[[Valor]:[Valor]],TablaEgresos[[Categoría]:[Categoría]],$A25,TablaEgresos[[Mes]:[Mes]],O$51)</f>
        <v>0</v>
      </c>
      <c r="P69" s="36">
        <f>SUMIFS(TablaEgresos[[Valor]:[Valor]],TablaEgresos[[Categoría]:[Categoría]],$A25,TablaEgresos[[Mes]:[Mes]],P$51)</f>
        <v>0</v>
      </c>
      <c r="Q69" s="36">
        <f>SUMIFS(TablaEgresos[[Valor]:[Valor]],TablaEgresos[[Categoría]:[Categoría]],$A25,TablaEgresos[[Mes]:[Mes]],Q$51)</f>
        <v>0</v>
      </c>
      <c r="R69" s="36">
        <f>SUMIFS(TablaEgresos[[Valor]:[Valor]],TablaEgresos[[Categoría]:[Categoría]],$A25,TablaEgresos[[Mes]:[Mes]],R$51)</f>
        <v>0</v>
      </c>
      <c r="S69" s="36">
        <f>SUMIFS(TablaEgresos[[Valor]:[Valor]],TablaEgresos[[Categoría]:[Categoría]],$A25,TablaEgresos[[Mes]:[Mes]],S$51)</f>
        <v>0</v>
      </c>
      <c r="T69" s="36">
        <f>SUMIFS(TablaEgresos[[Valor]:[Valor]],TablaEgresos[[Categoría]:[Categoría]],$A25,TablaEgresos[[Mes]:[Mes]],T$51)</f>
        <v>0</v>
      </c>
      <c r="U69" s="36">
        <f>SUMIFS(TablaEgresos[[Valor]:[Valor]],TablaEgresos[[Categoría]:[Categoría]],$A25,TablaEgresos[[Mes]:[Mes]],U$51)</f>
        <v>0</v>
      </c>
      <c r="V69" s="36">
        <f>SUMIFS(TablaEgresos[[Valor]:[Valor]],TablaEgresos[[Categoría]:[Categoría]],$A25,TablaEgresos[[Mes]:[Mes]],V$51)</f>
        <v>0</v>
      </c>
      <c r="W69" s="36">
        <f>SUMIFS(TablaEgresos[[Valor]:[Valor]],TablaEgresos[[Categoría]:[Categoría]],$A25,TablaEgresos[[Mes]:[Mes]],W$51)</f>
        <v>0</v>
      </c>
    </row>
    <row r="70" spans="1:23" outlineLevel="1" x14ac:dyDescent="0.3">
      <c r="A70" t="str">
        <f t="shared" si="672"/>
        <v>Sueldos directivos</v>
      </c>
      <c r="B70" s="36">
        <f>SUMIFS(TablaEgresos[[Valor]:[Valor]],TablaEgresos[[Categoría]:[Categoría]],$A26,TablaEgresos[[Mes]:[Mes]],B$51)</f>
        <v>0</v>
      </c>
      <c r="C70" s="36">
        <f>SUMIFS(TablaEgresos[[Valor]:[Valor]],TablaEgresos[[Categoría]:[Categoría]],$A26,TablaEgresos[[Mes]:[Mes]],C$51)</f>
        <v>0</v>
      </c>
      <c r="D70" s="36">
        <f>SUMIFS(TablaEgresos[[Valor]:[Valor]],TablaEgresos[[Categoría]:[Categoría]],$A26,TablaEgresos[[Mes]:[Mes]],D$51)</f>
        <v>0</v>
      </c>
      <c r="E70" s="36">
        <f>SUMIFS(TablaEgresos[[Valor]:[Valor]],TablaEgresos[[Categoría]:[Categoría]],$A26,TablaEgresos[[Mes]:[Mes]],E$51)</f>
        <v>0</v>
      </c>
      <c r="F70" s="36">
        <f>SUMIFS(TablaEgresos[[Valor]:[Valor]],TablaEgresos[[Categoría]:[Categoría]],$A26,TablaEgresos[[Mes]:[Mes]],F$51)</f>
        <v>20291951.18</v>
      </c>
      <c r="G70" s="36">
        <f>SUMIFS(TablaEgresos[[Valor]:[Valor]],TablaEgresos[[Categoría]:[Categoría]],$A26,TablaEgresos[[Mes]:[Mes]],G$51)</f>
        <v>0</v>
      </c>
      <c r="H70" s="36">
        <f>SUMIFS(TablaEgresos[[Valor]:[Valor]],TablaEgresos[[Categoría]:[Categoría]],$A26,TablaEgresos[[Mes]:[Mes]],H$51)</f>
        <v>0</v>
      </c>
      <c r="I70" s="36">
        <f>SUMIFS(TablaEgresos[[Valor]:[Valor]],TablaEgresos[[Categoría]:[Categoría]],$A26,TablaEgresos[[Mes]:[Mes]],I$51)</f>
        <v>0</v>
      </c>
      <c r="J70" s="36">
        <f>SUMIFS(TablaEgresos[[Valor]:[Valor]],TablaEgresos[[Categoría]:[Categoría]],$A26,TablaEgresos[[Mes]:[Mes]],J$51)</f>
        <v>0</v>
      </c>
      <c r="K70" s="36">
        <f>SUMIFS(TablaEgresos[[Valor]:[Valor]],TablaEgresos[[Categoría]:[Categoría]],$A26,TablaEgresos[[Mes]:[Mes]],K$51)</f>
        <v>0</v>
      </c>
      <c r="L70" s="36">
        <f>SUMIFS(TablaEgresos[[Valor]:[Valor]],TablaEgresos[[Categoría]:[Categoría]],$A26,TablaEgresos[[Mes]:[Mes]],L$51)</f>
        <v>0</v>
      </c>
      <c r="M70" s="36">
        <f>SUMIFS(TablaEgresos[[Valor]:[Valor]],TablaEgresos[[Categoría]:[Categoría]],$A26,TablaEgresos[[Mes]:[Mes]],M$51)</f>
        <v>0</v>
      </c>
      <c r="N70" s="36">
        <f>SUMIFS(TablaEgresos[[Valor]:[Valor]],TablaEgresos[[Categoría]:[Categoría]],$A26,TablaEgresos[[Mes]:[Mes]],N$51)</f>
        <v>0</v>
      </c>
      <c r="O70" s="36">
        <f>SUMIFS(TablaEgresos[[Valor]:[Valor]],TablaEgresos[[Categoría]:[Categoría]],$A26,TablaEgresos[[Mes]:[Mes]],O$51)</f>
        <v>0</v>
      </c>
      <c r="P70" s="36">
        <f>SUMIFS(TablaEgresos[[Valor]:[Valor]],TablaEgresos[[Categoría]:[Categoría]],$A26,TablaEgresos[[Mes]:[Mes]],P$51)</f>
        <v>0</v>
      </c>
      <c r="Q70" s="36">
        <f>SUMIFS(TablaEgresos[[Valor]:[Valor]],TablaEgresos[[Categoría]:[Categoría]],$A26,TablaEgresos[[Mes]:[Mes]],Q$51)</f>
        <v>0</v>
      </c>
      <c r="R70" s="36">
        <f>SUMIFS(TablaEgresos[[Valor]:[Valor]],TablaEgresos[[Categoría]:[Categoría]],$A26,TablaEgresos[[Mes]:[Mes]],R$51)</f>
        <v>0</v>
      </c>
      <c r="S70" s="36">
        <f>SUMIFS(TablaEgresos[[Valor]:[Valor]],TablaEgresos[[Categoría]:[Categoría]],$A26,TablaEgresos[[Mes]:[Mes]],S$51)</f>
        <v>0</v>
      </c>
      <c r="T70" s="36">
        <f>SUMIFS(TablaEgresos[[Valor]:[Valor]],TablaEgresos[[Categoría]:[Categoría]],$A26,TablaEgresos[[Mes]:[Mes]],T$51)</f>
        <v>0</v>
      </c>
      <c r="U70" s="36">
        <f>SUMIFS(TablaEgresos[[Valor]:[Valor]],TablaEgresos[[Categoría]:[Categoría]],$A26,TablaEgresos[[Mes]:[Mes]],U$51)</f>
        <v>0</v>
      </c>
      <c r="V70" s="36">
        <f>SUMIFS(TablaEgresos[[Valor]:[Valor]],TablaEgresos[[Categoría]:[Categoría]],$A26,TablaEgresos[[Mes]:[Mes]],V$51)</f>
        <v>0</v>
      </c>
      <c r="W70" s="36">
        <f>SUMIFS(TablaEgresos[[Valor]:[Valor]],TablaEgresos[[Categoría]:[Categoría]],$A26,TablaEgresos[[Mes]:[Mes]],W$51)</f>
        <v>0</v>
      </c>
    </row>
    <row r="71" spans="1:23" outlineLevel="1" x14ac:dyDescent="0.3">
      <c r="A71" t="str">
        <f t="shared" si="672"/>
        <v>Bonificaciones</v>
      </c>
      <c r="B71" s="36">
        <f>SUMIFS(TablaEgresos[[Valor]:[Valor]],TablaEgresos[[Categoría]:[Categoría]],$A27,TablaEgresos[[Mes]:[Mes]],B$51)</f>
        <v>0</v>
      </c>
      <c r="C71" s="36">
        <f>SUMIFS(TablaEgresos[[Valor]:[Valor]],TablaEgresos[[Categoría]:[Categoría]],$A27,TablaEgresos[[Mes]:[Mes]],C$51)</f>
        <v>4017588</v>
      </c>
      <c r="D71" s="36">
        <f>SUMIFS(TablaEgresos[[Valor]:[Valor]],TablaEgresos[[Categoría]:[Categoría]],$A27,TablaEgresos[[Mes]:[Mes]],D$51)</f>
        <v>5717031.8399999999</v>
      </c>
      <c r="E71" s="36">
        <f>SUMIFS(TablaEgresos[[Valor]:[Valor]],TablaEgresos[[Categoría]:[Categoría]],$A27,TablaEgresos[[Mes]:[Mes]],E$51)</f>
        <v>6279999.5599999996</v>
      </c>
      <c r="F71" s="36">
        <f>SUMIFS(TablaEgresos[[Valor]:[Valor]],TablaEgresos[[Categoría]:[Categoría]],$A27,TablaEgresos[[Mes]:[Mes]],F$51)</f>
        <v>80314004.410000011</v>
      </c>
      <c r="G71" s="36">
        <f>SUMIFS(TablaEgresos[[Valor]:[Valor]],TablaEgresos[[Categoría]:[Categoría]],$A27,TablaEgresos[[Mes]:[Mes]],G$51)</f>
        <v>0</v>
      </c>
      <c r="H71" s="36">
        <f>SUMIFS(TablaEgresos[[Valor]:[Valor]],TablaEgresos[[Categoría]:[Categoría]],$A27,TablaEgresos[[Mes]:[Mes]],H$51)</f>
        <v>0</v>
      </c>
      <c r="I71" s="36">
        <f>SUMIFS(TablaEgresos[[Valor]:[Valor]],TablaEgresos[[Categoría]:[Categoría]],$A27,TablaEgresos[[Mes]:[Mes]],I$51)</f>
        <v>0</v>
      </c>
      <c r="J71" s="36">
        <f>SUMIFS(TablaEgresos[[Valor]:[Valor]],TablaEgresos[[Categoría]:[Categoría]],$A27,TablaEgresos[[Mes]:[Mes]],J$51)</f>
        <v>0</v>
      </c>
      <c r="K71" s="36">
        <f>SUMIFS(TablaEgresos[[Valor]:[Valor]],TablaEgresos[[Categoría]:[Categoría]],$A27,TablaEgresos[[Mes]:[Mes]],K$51)</f>
        <v>0</v>
      </c>
      <c r="L71" s="36">
        <f>SUMIFS(TablaEgresos[[Valor]:[Valor]],TablaEgresos[[Categoría]:[Categoría]],$A27,TablaEgresos[[Mes]:[Mes]],L$51)</f>
        <v>0</v>
      </c>
      <c r="M71" s="36">
        <f>SUMIFS(TablaEgresos[[Valor]:[Valor]],TablaEgresos[[Categoría]:[Categoría]],$A27,TablaEgresos[[Mes]:[Mes]],M$51)</f>
        <v>0</v>
      </c>
      <c r="N71" s="36">
        <f>SUMIFS(TablaEgresos[[Valor]:[Valor]],TablaEgresos[[Categoría]:[Categoría]],$A27,TablaEgresos[[Mes]:[Mes]],N$51)</f>
        <v>0</v>
      </c>
      <c r="O71" s="36">
        <f>SUMIFS(TablaEgresos[[Valor]:[Valor]],TablaEgresos[[Categoría]:[Categoría]],$A27,TablaEgresos[[Mes]:[Mes]],O$51)</f>
        <v>0</v>
      </c>
      <c r="P71" s="36">
        <f>SUMIFS(TablaEgresos[[Valor]:[Valor]],TablaEgresos[[Categoría]:[Categoría]],$A27,TablaEgresos[[Mes]:[Mes]],P$51)</f>
        <v>0</v>
      </c>
      <c r="Q71" s="36">
        <f>SUMIFS(TablaEgresos[[Valor]:[Valor]],TablaEgresos[[Categoría]:[Categoría]],$A27,TablaEgresos[[Mes]:[Mes]],Q$51)</f>
        <v>0</v>
      </c>
      <c r="R71" s="36">
        <f>SUMIFS(TablaEgresos[[Valor]:[Valor]],TablaEgresos[[Categoría]:[Categoría]],$A27,TablaEgresos[[Mes]:[Mes]],R$51)</f>
        <v>0</v>
      </c>
      <c r="S71" s="36">
        <f>SUMIFS(TablaEgresos[[Valor]:[Valor]],TablaEgresos[[Categoría]:[Categoría]],$A27,TablaEgresos[[Mes]:[Mes]],S$51)</f>
        <v>0</v>
      </c>
      <c r="T71" s="36">
        <f>SUMIFS(TablaEgresos[[Valor]:[Valor]],TablaEgresos[[Categoría]:[Categoría]],$A27,TablaEgresos[[Mes]:[Mes]],T$51)</f>
        <v>0</v>
      </c>
      <c r="U71" s="36">
        <f>SUMIFS(TablaEgresos[[Valor]:[Valor]],TablaEgresos[[Categoría]:[Categoría]],$A27,TablaEgresos[[Mes]:[Mes]],U$51)</f>
        <v>0</v>
      </c>
      <c r="V71" s="36">
        <f>SUMIFS(TablaEgresos[[Valor]:[Valor]],TablaEgresos[[Categoría]:[Categoría]],$A27,TablaEgresos[[Mes]:[Mes]],V$51)</f>
        <v>0</v>
      </c>
      <c r="W71" s="36">
        <f>SUMIFS(TablaEgresos[[Valor]:[Valor]],TablaEgresos[[Categoría]:[Categoría]],$A27,TablaEgresos[[Mes]:[Mes]],W$51)</f>
        <v>0</v>
      </c>
    </row>
    <row r="72" spans="1:23" outlineLevel="1" x14ac:dyDescent="0.3">
      <c r="A72" t="str">
        <f t="shared" si="672"/>
        <v>Beneficios Heads</v>
      </c>
      <c r="B72" s="36">
        <f>SUMIFS(TablaEgresos[[Valor]:[Valor]],TablaEgresos[[Categoría]:[Categoría]],$A28,TablaEgresos[[Mes]:[Mes]],B$51)</f>
        <v>0</v>
      </c>
      <c r="C72" s="36">
        <f>SUMIFS(TablaEgresos[[Valor]:[Valor]],TablaEgresos[[Categoría]:[Categoría]],$A28,TablaEgresos[[Mes]:[Mes]],C$51)</f>
        <v>327793</v>
      </c>
      <c r="D72" s="36">
        <f>SUMIFS(TablaEgresos[[Valor]:[Valor]],TablaEgresos[[Categoría]:[Categoría]],$A28,TablaEgresos[[Mes]:[Mes]],D$51)</f>
        <v>0</v>
      </c>
      <c r="E72" s="36">
        <f>SUMIFS(TablaEgresos[[Valor]:[Valor]],TablaEgresos[[Categoría]:[Categoría]],$A28,TablaEgresos[[Mes]:[Mes]],E$51)</f>
        <v>0</v>
      </c>
      <c r="F72" s="36">
        <f>SUMIFS(TablaEgresos[[Valor]:[Valor]],TablaEgresos[[Categoría]:[Categoría]],$A28,TablaEgresos[[Mes]:[Mes]],F$51)</f>
        <v>0</v>
      </c>
      <c r="G72" s="36">
        <f>SUMIFS(TablaEgresos[[Valor]:[Valor]],TablaEgresos[[Categoría]:[Categoría]],$A28,TablaEgresos[[Mes]:[Mes]],G$51)</f>
        <v>0</v>
      </c>
      <c r="H72" s="36">
        <f>SUMIFS(TablaEgresos[[Valor]:[Valor]],TablaEgresos[[Categoría]:[Categoría]],$A28,TablaEgresos[[Mes]:[Mes]],H$51)</f>
        <v>0</v>
      </c>
      <c r="I72" s="36">
        <f>SUMIFS(TablaEgresos[[Valor]:[Valor]],TablaEgresos[[Categoría]:[Categoría]],$A28,TablaEgresos[[Mes]:[Mes]],I$51)</f>
        <v>0</v>
      </c>
      <c r="J72" s="36">
        <f>SUMIFS(TablaEgresos[[Valor]:[Valor]],TablaEgresos[[Categoría]:[Categoría]],$A28,TablaEgresos[[Mes]:[Mes]],J$51)</f>
        <v>0</v>
      </c>
      <c r="K72" s="36">
        <f>SUMIFS(TablaEgresos[[Valor]:[Valor]],TablaEgresos[[Categoría]:[Categoría]],$A28,TablaEgresos[[Mes]:[Mes]],K$51)</f>
        <v>0</v>
      </c>
      <c r="L72" s="36">
        <f>SUMIFS(TablaEgresos[[Valor]:[Valor]],TablaEgresos[[Categoría]:[Categoría]],$A28,TablaEgresos[[Mes]:[Mes]],L$51)</f>
        <v>0</v>
      </c>
      <c r="M72" s="36">
        <f>SUMIFS(TablaEgresos[[Valor]:[Valor]],TablaEgresos[[Categoría]:[Categoría]],$A28,TablaEgresos[[Mes]:[Mes]],M$51)</f>
        <v>0</v>
      </c>
      <c r="N72" s="36">
        <f>SUMIFS(TablaEgresos[[Valor]:[Valor]],TablaEgresos[[Categoría]:[Categoría]],$A28,TablaEgresos[[Mes]:[Mes]],N$51)</f>
        <v>0</v>
      </c>
      <c r="O72" s="36">
        <f>SUMIFS(TablaEgresos[[Valor]:[Valor]],TablaEgresos[[Categoría]:[Categoría]],$A28,TablaEgresos[[Mes]:[Mes]],O$51)</f>
        <v>0</v>
      </c>
      <c r="P72" s="36">
        <f>SUMIFS(TablaEgresos[[Valor]:[Valor]],TablaEgresos[[Categoría]:[Categoría]],$A28,TablaEgresos[[Mes]:[Mes]],P$51)</f>
        <v>0</v>
      </c>
      <c r="Q72" s="36">
        <f>SUMIFS(TablaEgresos[[Valor]:[Valor]],TablaEgresos[[Categoría]:[Categoría]],$A28,TablaEgresos[[Mes]:[Mes]],Q$51)</f>
        <v>0</v>
      </c>
      <c r="R72" s="36">
        <f>SUMIFS(TablaEgresos[[Valor]:[Valor]],TablaEgresos[[Categoría]:[Categoría]],$A28,TablaEgresos[[Mes]:[Mes]],R$51)</f>
        <v>0</v>
      </c>
      <c r="S72" s="36">
        <f>SUMIFS(TablaEgresos[[Valor]:[Valor]],TablaEgresos[[Categoría]:[Categoría]],$A28,TablaEgresos[[Mes]:[Mes]],S$51)</f>
        <v>0</v>
      </c>
      <c r="T72" s="36">
        <f>SUMIFS(TablaEgresos[[Valor]:[Valor]],TablaEgresos[[Categoría]:[Categoría]],$A28,TablaEgresos[[Mes]:[Mes]],T$51)</f>
        <v>0</v>
      </c>
      <c r="U72" s="36">
        <f>SUMIFS(TablaEgresos[[Valor]:[Valor]],TablaEgresos[[Categoría]:[Categoría]],$A28,TablaEgresos[[Mes]:[Mes]],U$51)</f>
        <v>0</v>
      </c>
      <c r="V72" s="36">
        <f>SUMIFS(TablaEgresos[[Valor]:[Valor]],TablaEgresos[[Categoría]:[Categoría]],$A28,TablaEgresos[[Mes]:[Mes]],V$51)</f>
        <v>0</v>
      </c>
      <c r="W72" s="36">
        <f>SUMIFS(TablaEgresos[[Valor]:[Valor]],TablaEgresos[[Categoría]:[Categoría]],$A28,TablaEgresos[[Mes]:[Mes]],W$51)</f>
        <v>0</v>
      </c>
    </row>
    <row r="73" spans="1:23" outlineLevel="1" x14ac:dyDescent="0.3">
      <c r="A73" t="str">
        <f t="shared" si="672"/>
        <v>Planillas nuevas</v>
      </c>
      <c r="B73" s="36">
        <f>SUMIFS(TablaEgresos[[Valor]:[Valor]],TablaEgresos[[Categoría]:[Categoría]],$A29,TablaEgresos[[Mes]:[Mes]],B$51)</f>
        <v>0</v>
      </c>
      <c r="C73" s="36">
        <f>SUMIFS(TablaEgresos[[Valor]:[Valor]],TablaEgresos[[Categoría]:[Categoría]],$A29,TablaEgresos[[Mes]:[Mes]],C$51)</f>
        <v>0</v>
      </c>
      <c r="D73" s="36">
        <f>SUMIFS(TablaEgresos[[Valor]:[Valor]],TablaEgresos[[Categoría]:[Categoría]],$A29,TablaEgresos[[Mes]:[Mes]],D$51)</f>
        <v>0</v>
      </c>
      <c r="E73" s="36">
        <f>SUMIFS(TablaEgresos[[Valor]:[Valor]],TablaEgresos[[Categoría]:[Categoría]],$A29,TablaEgresos[[Mes]:[Mes]],E$51)</f>
        <v>0</v>
      </c>
      <c r="F73" s="36">
        <f>SUMIFS(TablaEgresos[[Valor]:[Valor]],TablaEgresos[[Categoría]:[Categoría]],$A29,TablaEgresos[[Mes]:[Mes]],F$51)</f>
        <v>0</v>
      </c>
      <c r="G73" s="36">
        <f>SUMIFS(TablaEgresos[[Valor]:[Valor]],TablaEgresos[[Categoría]:[Categoría]],$A29,TablaEgresos[[Mes]:[Mes]],G$51)</f>
        <v>0</v>
      </c>
      <c r="H73" s="36">
        <f>SUMIFS(TablaEgresos[[Valor]:[Valor]],TablaEgresos[[Categoría]:[Categoría]],$A29,TablaEgresos[[Mes]:[Mes]],H$51)</f>
        <v>0</v>
      </c>
      <c r="I73" s="36">
        <f>SUMIFS(TablaEgresos[[Valor]:[Valor]],TablaEgresos[[Categoría]:[Categoría]],$A29,TablaEgresos[[Mes]:[Mes]],I$51)</f>
        <v>0</v>
      </c>
      <c r="J73" s="36">
        <f>SUMIFS(TablaEgresos[[Valor]:[Valor]],TablaEgresos[[Categoría]:[Categoría]],$A29,TablaEgresos[[Mes]:[Mes]],J$51)</f>
        <v>0</v>
      </c>
      <c r="K73" s="36">
        <f>SUMIFS(TablaEgresos[[Valor]:[Valor]],TablaEgresos[[Categoría]:[Categoría]],$A29,TablaEgresos[[Mes]:[Mes]],K$51)</f>
        <v>0</v>
      </c>
      <c r="L73" s="36">
        <f>SUMIFS(TablaEgresos[[Valor]:[Valor]],TablaEgresos[[Categoría]:[Categoría]],$A29,TablaEgresos[[Mes]:[Mes]],L$51)</f>
        <v>0</v>
      </c>
      <c r="M73" s="36">
        <f>SUMIFS(TablaEgresos[[Valor]:[Valor]],TablaEgresos[[Categoría]:[Categoría]],$A29,TablaEgresos[[Mes]:[Mes]],M$51)</f>
        <v>0</v>
      </c>
      <c r="N73" s="36">
        <f>SUMIFS(TablaEgresos[[Valor]:[Valor]],TablaEgresos[[Categoría]:[Categoría]],$A29,TablaEgresos[[Mes]:[Mes]],N$51)</f>
        <v>0</v>
      </c>
      <c r="O73" s="36">
        <f>SUMIFS(TablaEgresos[[Valor]:[Valor]],TablaEgresos[[Categoría]:[Categoría]],$A29,TablaEgresos[[Mes]:[Mes]],O$51)</f>
        <v>0</v>
      </c>
      <c r="P73" s="36">
        <f>SUMIFS(TablaEgresos[[Valor]:[Valor]],TablaEgresos[[Categoría]:[Categoría]],$A29,TablaEgresos[[Mes]:[Mes]],P$51)</f>
        <v>0</v>
      </c>
      <c r="Q73" s="36">
        <f>SUMIFS(TablaEgresos[[Valor]:[Valor]],TablaEgresos[[Categoría]:[Categoría]],$A29,TablaEgresos[[Mes]:[Mes]],Q$51)</f>
        <v>0</v>
      </c>
      <c r="R73" s="36">
        <f>SUMIFS(TablaEgresos[[Valor]:[Valor]],TablaEgresos[[Categoría]:[Categoría]],$A29,TablaEgresos[[Mes]:[Mes]],R$51)</f>
        <v>0</v>
      </c>
      <c r="S73" s="36">
        <f>SUMIFS(TablaEgresos[[Valor]:[Valor]],TablaEgresos[[Categoría]:[Categoría]],$A29,TablaEgresos[[Mes]:[Mes]],S$51)</f>
        <v>0</v>
      </c>
      <c r="T73" s="36">
        <f>SUMIFS(TablaEgresos[[Valor]:[Valor]],TablaEgresos[[Categoría]:[Categoría]],$A29,TablaEgresos[[Mes]:[Mes]],T$51)</f>
        <v>0</v>
      </c>
      <c r="U73" s="36">
        <f>SUMIFS(TablaEgresos[[Valor]:[Valor]],TablaEgresos[[Categoría]:[Categoría]],$A29,TablaEgresos[[Mes]:[Mes]],U$51)</f>
        <v>0</v>
      </c>
      <c r="V73" s="36">
        <f>SUMIFS(TablaEgresos[[Valor]:[Valor]],TablaEgresos[[Categoría]:[Categoría]],$A29,TablaEgresos[[Mes]:[Mes]],V$51)</f>
        <v>0</v>
      </c>
      <c r="W73" s="36">
        <f>SUMIFS(TablaEgresos[[Valor]:[Valor]],TablaEgresos[[Categoría]:[Categoría]],$A29,TablaEgresos[[Mes]:[Mes]],W$51)</f>
        <v>0</v>
      </c>
    </row>
    <row r="74" spans="1:23" outlineLevel="1" x14ac:dyDescent="0.3">
      <c r="A74" t="str">
        <f t="shared" si="672"/>
        <v>Planillas anteriores</v>
      </c>
      <c r="B74" s="36">
        <f>SUMIFS(TablaEgresos[[Valor]:[Valor]],TablaEgresos[[Categoría]:[Categoría]],$A30,TablaEgresos[[Mes]:[Mes]],B$51)</f>
        <v>0</v>
      </c>
      <c r="C74" s="36">
        <f>SUMIFS(TablaEgresos[[Valor]:[Valor]],TablaEgresos[[Categoría]:[Categoría]],$A30,TablaEgresos[[Mes]:[Mes]],C$51)</f>
        <v>0</v>
      </c>
      <c r="D74" s="36">
        <f>SUMIFS(TablaEgresos[[Valor]:[Valor]],TablaEgresos[[Categoría]:[Categoría]],$A30,TablaEgresos[[Mes]:[Mes]],D$51)</f>
        <v>0</v>
      </c>
      <c r="E74" s="36">
        <f>SUMIFS(TablaEgresos[[Valor]:[Valor]],TablaEgresos[[Categoría]:[Categoría]],$A30,TablaEgresos[[Mes]:[Mes]],E$51)</f>
        <v>0</v>
      </c>
      <c r="F74" s="36">
        <f>SUMIFS(TablaEgresos[[Valor]:[Valor]],TablaEgresos[[Categoría]:[Categoría]],$A30,TablaEgresos[[Mes]:[Mes]],F$51)</f>
        <v>38979200</v>
      </c>
      <c r="G74" s="36">
        <f>SUMIFS(TablaEgresos[[Valor]:[Valor]],TablaEgresos[[Categoría]:[Categoría]],$A30,TablaEgresos[[Mes]:[Mes]],G$51)</f>
        <v>0</v>
      </c>
      <c r="H74" s="36">
        <f>SUMIFS(TablaEgresos[[Valor]:[Valor]],TablaEgresos[[Categoría]:[Categoría]],$A30,TablaEgresos[[Mes]:[Mes]],H$51)</f>
        <v>0</v>
      </c>
      <c r="I74" s="36">
        <f>SUMIFS(TablaEgresos[[Valor]:[Valor]],TablaEgresos[[Categoría]:[Categoría]],$A30,TablaEgresos[[Mes]:[Mes]],I$51)</f>
        <v>0</v>
      </c>
      <c r="J74" s="36">
        <f>SUMIFS(TablaEgresos[[Valor]:[Valor]],TablaEgresos[[Categoría]:[Categoría]],$A30,TablaEgresos[[Mes]:[Mes]],J$51)</f>
        <v>0</v>
      </c>
      <c r="K74" s="36">
        <f>SUMIFS(TablaEgresos[[Valor]:[Valor]],TablaEgresos[[Categoría]:[Categoría]],$A30,TablaEgresos[[Mes]:[Mes]],K$51)</f>
        <v>0</v>
      </c>
      <c r="L74" s="36">
        <f>SUMIFS(TablaEgresos[[Valor]:[Valor]],TablaEgresos[[Categoría]:[Categoría]],$A30,TablaEgresos[[Mes]:[Mes]],L$51)</f>
        <v>0</v>
      </c>
      <c r="M74" s="36">
        <f>SUMIFS(TablaEgresos[[Valor]:[Valor]],TablaEgresos[[Categoría]:[Categoría]],$A30,TablaEgresos[[Mes]:[Mes]],M$51)</f>
        <v>0</v>
      </c>
      <c r="N74" s="36">
        <f>SUMIFS(TablaEgresos[[Valor]:[Valor]],TablaEgresos[[Categoría]:[Categoría]],$A30,TablaEgresos[[Mes]:[Mes]],N$51)</f>
        <v>0</v>
      </c>
      <c r="O74" s="36">
        <f>SUMIFS(TablaEgresos[[Valor]:[Valor]],TablaEgresos[[Categoría]:[Categoría]],$A30,TablaEgresos[[Mes]:[Mes]],O$51)</f>
        <v>0</v>
      </c>
      <c r="P74" s="36">
        <f>SUMIFS(TablaEgresos[[Valor]:[Valor]],TablaEgresos[[Categoría]:[Categoría]],$A30,TablaEgresos[[Mes]:[Mes]],P$51)</f>
        <v>0</v>
      </c>
      <c r="Q74" s="36">
        <f>SUMIFS(TablaEgresos[[Valor]:[Valor]],TablaEgresos[[Categoría]:[Categoría]],$A30,TablaEgresos[[Mes]:[Mes]],Q$51)</f>
        <v>0</v>
      </c>
      <c r="R74" s="36">
        <f>SUMIFS(TablaEgresos[[Valor]:[Valor]],TablaEgresos[[Categoría]:[Categoría]],$A30,TablaEgresos[[Mes]:[Mes]],R$51)</f>
        <v>0</v>
      </c>
      <c r="S74" s="36">
        <f>SUMIFS(TablaEgresos[[Valor]:[Valor]],TablaEgresos[[Categoría]:[Categoría]],$A30,TablaEgresos[[Mes]:[Mes]],S$51)</f>
        <v>0</v>
      </c>
      <c r="T74" s="36">
        <f>SUMIFS(TablaEgresos[[Valor]:[Valor]],TablaEgresos[[Categoría]:[Categoría]],$A30,TablaEgresos[[Mes]:[Mes]],T$51)</f>
        <v>0</v>
      </c>
      <c r="U74" s="36">
        <f>SUMIFS(TablaEgresos[[Valor]:[Valor]],TablaEgresos[[Categoría]:[Categoría]],$A30,TablaEgresos[[Mes]:[Mes]],U$51)</f>
        <v>0</v>
      </c>
      <c r="V74" s="36">
        <f>SUMIFS(TablaEgresos[[Valor]:[Valor]],TablaEgresos[[Categoría]:[Categoría]],$A30,TablaEgresos[[Mes]:[Mes]],V$51)</f>
        <v>0</v>
      </c>
      <c r="W74" s="36">
        <f>SUMIFS(TablaEgresos[[Valor]:[Valor]],TablaEgresos[[Categoría]:[Categoría]],$A30,TablaEgresos[[Mes]:[Mes]],W$51)</f>
        <v>0</v>
      </c>
    </row>
    <row r="75" spans="1:23" outlineLevel="1" x14ac:dyDescent="0.3">
      <c r="A75" t="str">
        <f t="shared" si="672"/>
        <v>Subtotal Nómina</v>
      </c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</row>
    <row r="76" spans="1:23" outlineLevel="1" x14ac:dyDescent="0.3">
      <c r="A76" t="str">
        <f t="shared" si="672"/>
        <v>DEUDAS Y OBLIGACIONES</v>
      </c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</row>
    <row r="77" spans="1:23" outlineLevel="1" x14ac:dyDescent="0.3">
      <c r="A77" t="str">
        <f t="shared" si="672"/>
        <v>Préstamos</v>
      </c>
      <c r="B77" s="36">
        <f>SUMIFS(TablaEgresos[[Valor]:[Valor]],TablaEgresos[[Categoría]:[Categoría]],$A33,TablaEgresos[[Mes]:[Mes]],B$51)</f>
        <v>12734888.539999999</v>
      </c>
      <c r="C77" s="36">
        <f>SUMIFS(TablaEgresos[[Valor]:[Valor]],TablaEgresos[[Categoría]:[Categoría]],$A33,TablaEgresos[[Mes]:[Mes]],C$51)</f>
        <v>17596478.449999999</v>
      </c>
      <c r="D77" s="36">
        <f>SUMIFS(TablaEgresos[[Valor]:[Valor]],TablaEgresos[[Categoría]:[Categoría]],$A33,TablaEgresos[[Mes]:[Mes]],D$51)</f>
        <v>6861031.9699999997</v>
      </c>
      <c r="E77" s="36">
        <f>SUMIFS(TablaEgresos[[Valor]:[Valor]],TablaEgresos[[Categoría]:[Categoría]],$A33,TablaEgresos[[Mes]:[Mes]],E$51)</f>
        <v>0</v>
      </c>
      <c r="F77" s="36">
        <f>SUMIFS(TablaEgresos[[Valor]:[Valor]],TablaEgresos[[Categoría]:[Categoría]],$A33,TablaEgresos[[Mes]:[Mes]],F$51)</f>
        <v>17653260.960000001</v>
      </c>
      <c r="G77" s="36">
        <f>SUMIFS(TablaEgresos[[Valor]:[Valor]],TablaEgresos[[Categoría]:[Categoría]],$A33,TablaEgresos[[Mes]:[Mes]],G$51)</f>
        <v>0</v>
      </c>
      <c r="H77" s="36">
        <f>SUMIFS(TablaEgresos[[Valor]:[Valor]],TablaEgresos[[Categoría]:[Categoría]],$A33,TablaEgresos[[Mes]:[Mes]],H$51)</f>
        <v>0</v>
      </c>
      <c r="I77" s="36">
        <f>SUMIFS(TablaEgresos[[Valor]:[Valor]],TablaEgresos[[Categoría]:[Categoría]],$A33,TablaEgresos[[Mes]:[Mes]],I$51)</f>
        <v>0</v>
      </c>
      <c r="J77" s="36">
        <f>SUMIFS(TablaEgresos[[Valor]:[Valor]],TablaEgresos[[Categoría]:[Categoría]],$A33,TablaEgresos[[Mes]:[Mes]],J$51)</f>
        <v>0</v>
      </c>
      <c r="K77" s="36">
        <f>SUMIFS(TablaEgresos[[Valor]:[Valor]],TablaEgresos[[Categoría]:[Categoría]],$A33,TablaEgresos[[Mes]:[Mes]],K$51)</f>
        <v>0</v>
      </c>
      <c r="L77" s="36">
        <f>SUMIFS(TablaEgresos[[Valor]:[Valor]],TablaEgresos[[Categoría]:[Categoría]],$A33,TablaEgresos[[Mes]:[Mes]],L$51)</f>
        <v>0</v>
      </c>
      <c r="M77" s="36">
        <f>SUMIFS(TablaEgresos[[Valor]:[Valor]],TablaEgresos[[Categoría]:[Categoría]],$A33,TablaEgresos[[Mes]:[Mes]],M$51)</f>
        <v>0</v>
      </c>
      <c r="N77" s="36">
        <f>SUMIFS(TablaEgresos[[Valor]:[Valor]],TablaEgresos[[Categoría]:[Categoría]],$A33,TablaEgresos[[Mes]:[Mes]],N$51)</f>
        <v>0</v>
      </c>
      <c r="O77" s="36">
        <f>SUMIFS(TablaEgresos[[Valor]:[Valor]],TablaEgresos[[Categoría]:[Categoría]],$A33,TablaEgresos[[Mes]:[Mes]],O$51)</f>
        <v>0</v>
      </c>
      <c r="P77" s="36">
        <f>SUMIFS(TablaEgresos[[Valor]:[Valor]],TablaEgresos[[Categoría]:[Categoría]],$A33,TablaEgresos[[Mes]:[Mes]],P$51)</f>
        <v>0</v>
      </c>
      <c r="Q77" s="36">
        <f>SUMIFS(TablaEgresos[[Valor]:[Valor]],TablaEgresos[[Categoría]:[Categoría]],$A33,TablaEgresos[[Mes]:[Mes]],Q$51)</f>
        <v>0</v>
      </c>
      <c r="R77" s="36">
        <f>SUMIFS(TablaEgresos[[Valor]:[Valor]],TablaEgresos[[Categoría]:[Categoría]],$A33,TablaEgresos[[Mes]:[Mes]],R$51)</f>
        <v>0</v>
      </c>
      <c r="S77" s="36">
        <f>SUMIFS(TablaEgresos[[Valor]:[Valor]],TablaEgresos[[Categoría]:[Categoría]],$A33,TablaEgresos[[Mes]:[Mes]],S$51)</f>
        <v>0</v>
      </c>
      <c r="T77" s="36">
        <f>SUMIFS(TablaEgresos[[Valor]:[Valor]],TablaEgresos[[Categoría]:[Categoría]],$A33,TablaEgresos[[Mes]:[Mes]],T$51)</f>
        <v>0</v>
      </c>
      <c r="U77" s="36">
        <f>SUMIFS(TablaEgresos[[Valor]:[Valor]],TablaEgresos[[Categoría]:[Categoría]],$A33,TablaEgresos[[Mes]:[Mes]],U$51)</f>
        <v>0</v>
      </c>
      <c r="V77" s="36">
        <f>SUMIFS(TablaEgresos[[Valor]:[Valor]],TablaEgresos[[Categoría]:[Categoría]],$A33,TablaEgresos[[Mes]:[Mes]],V$51)</f>
        <v>0</v>
      </c>
      <c r="W77" s="36">
        <f>SUMIFS(TablaEgresos[[Valor]:[Valor]],TablaEgresos[[Categoría]:[Categoría]],$A33,TablaEgresos[[Mes]:[Mes]],W$51)</f>
        <v>0</v>
      </c>
    </row>
    <row r="78" spans="1:23" outlineLevel="1" x14ac:dyDescent="0.3">
      <c r="A78" t="str">
        <f t="shared" si="672"/>
        <v>Deudas tarjetas de crédito</v>
      </c>
      <c r="B78" s="36">
        <f>SUMIFS(TablaEgresos[[Valor]:[Valor]],TablaEgresos[[Categoría]:[Categoría]],$A34,TablaEgresos[[Mes]:[Mes]],B$51)</f>
        <v>0</v>
      </c>
      <c r="C78" s="36">
        <f>SUMIFS(TablaEgresos[[Valor]:[Valor]],TablaEgresos[[Categoría]:[Categoría]],$A34,TablaEgresos[[Mes]:[Mes]],C$51)</f>
        <v>0</v>
      </c>
      <c r="D78" s="36">
        <f>SUMIFS(TablaEgresos[[Valor]:[Valor]],TablaEgresos[[Categoría]:[Categoría]],$A34,TablaEgresos[[Mes]:[Mes]],D$51)</f>
        <v>0</v>
      </c>
      <c r="E78" s="36">
        <f>SUMIFS(TablaEgresos[[Valor]:[Valor]],TablaEgresos[[Categoría]:[Categoría]],$A34,TablaEgresos[[Mes]:[Mes]],E$51)</f>
        <v>0</v>
      </c>
      <c r="F78" s="36">
        <f>SUMIFS(TablaEgresos[[Valor]:[Valor]],TablaEgresos[[Categoría]:[Categoría]],$A34,TablaEgresos[[Mes]:[Mes]],F$51)</f>
        <v>9200000</v>
      </c>
      <c r="G78" s="36">
        <f>SUMIFS(TablaEgresos[[Valor]:[Valor]],TablaEgresos[[Categoría]:[Categoría]],$A34,TablaEgresos[[Mes]:[Mes]],G$51)</f>
        <v>0</v>
      </c>
      <c r="H78" s="36">
        <f>SUMIFS(TablaEgresos[[Valor]:[Valor]],TablaEgresos[[Categoría]:[Categoría]],$A34,TablaEgresos[[Mes]:[Mes]],H$51)</f>
        <v>0</v>
      </c>
      <c r="I78" s="36">
        <f>SUMIFS(TablaEgresos[[Valor]:[Valor]],TablaEgresos[[Categoría]:[Categoría]],$A34,TablaEgresos[[Mes]:[Mes]],I$51)</f>
        <v>0</v>
      </c>
      <c r="J78" s="36">
        <f>SUMIFS(TablaEgresos[[Valor]:[Valor]],TablaEgresos[[Categoría]:[Categoría]],$A34,TablaEgresos[[Mes]:[Mes]],J$51)</f>
        <v>0</v>
      </c>
      <c r="K78" s="36">
        <f>SUMIFS(TablaEgresos[[Valor]:[Valor]],TablaEgresos[[Categoría]:[Categoría]],$A34,TablaEgresos[[Mes]:[Mes]],K$51)</f>
        <v>0</v>
      </c>
      <c r="L78" s="36">
        <f>SUMIFS(TablaEgresos[[Valor]:[Valor]],TablaEgresos[[Categoría]:[Categoría]],$A34,TablaEgresos[[Mes]:[Mes]],L$51)</f>
        <v>0</v>
      </c>
      <c r="M78" s="36">
        <f>SUMIFS(TablaEgresos[[Valor]:[Valor]],TablaEgresos[[Categoría]:[Categoría]],$A34,TablaEgresos[[Mes]:[Mes]],M$51)</f>
        <v>0</v>
      </c>
      <c r="N78" s="36">
        <f>SUMIFS(TablaEgresos[[Valor]:[Valor]],TablaEgresos[[Categoría]:[Categoría]],$A34,TablaEgresos[[Mes]:[Mes]],N$51)</f>
        <v>0</v>
      </c>
      <c r="O78" s="36">
        <f>SUMIFS(TablaEgresos[[Valor]:[Valor]],TablaEgresos[[Categoría]:[Categoría]],$A34,TablaEgresos[[Mes]:[Mes]],O$51)</f>
        <v>0</v>
      </c>
      <c r="P78" s="36">
        <f>SUMIFS(TablaEgresos[[Valor]:[Valor]],TablaEgresos[[Categoría]:[Categoría]],$A34,TablaEgresos[[Mes]:[Mes]],P$51)</f>
        <v>0</v>
      </c>
      <c r="Q78" s="36">
        <f>SUMIFS(TablaEgresos[[Valor]:[Valor]],TablaEgresos[[Categoría]:[Categoría]],$A34,TablaEgresos[[Mes]:[Mes]],Q$51)</f>
        <v>0</v>
      </c>
      <c r="R78" s="36">
        <f>SUMIFS(TablaEgresos[[Valor]:[Valor]],TablaEgresos[[Categoría]:[Categoría]],$A34,TablaEgresos[[Mes]:[Mes]],R$51)</f>
        <v>0</v>
      </c>
      <c r="S78" s="36">
        <f>SUMIFS(TablaEgresos[[Valor]:[Valor]],TablaEgresos[[Categoría]:[Categoría]],$A34,TablaEgresos[[Mes]:[Mes]],S$51)</f>
        <v>0</v>
      </c>
      <c r="T78" s="36">
        <f>SUMIFS(TablaEgresos[[Valor]:[Valor]],TablaEgresos[[Categoría]:[Categoría]],$A34,TablaEgresos[[Mes]:[Mes]],T$51)</f>
        <v>0</v>
      </c>
      <c r="U78" s="36">
        <f>SUMIFS(TablaEgresos[[Valor]:[Valor]],TablaEgresos[[Categoría]:[Categoría]],$A34,TablaEgresos[[Mes]:[Mes]],U$51)</f>
        <v>0</v>
      </c>
      <c r="V78" s="36">
        <f>SUMIFS(TablaEgresos[[Valor]:[Valor]],TablaEgresos[[Categoría]:[Categoría]],$A34,TablaEgresos[[Mes]:[Mes]],V$51)</f>
        <v>0</v>
      </c>
      <c r="W78" s="36">
        <f>SUMIFS(TablaEgresos[[Valor]:[Valor]],TablaEgresos[[Categoría]:[Categoría]],$A34,TablaEgresos[[Mes]:[Mes]],W$51)</f>
        <v>0</v>
      </c>
    </row>
    <row r="79" spans="1:23" outlineLevel="1" x14ac:dyDescent="0.3">
      <c r="A79" t="str">
        <f t="shared" si="672"/>
        <v>Garantía cupo</v>
      </c>
      <c r="B79" s="36">
        <f>SUMIFS(TablaEgresos[[Valor]:[Valor]],TablaEgresos[[Categoría]:[Categoría]],$A35,TablaEgresos[[Mes]:[Mes]],B$51)</f>
        <v>0</v>
      </c>
      <c r="C79" s="36">
        <f>SUMIFS(TablaEgresos[[Valor]:[Valor]],TablaEgresos[[Categoría]:[Categoría]],$A35,TablaEgresos[[Mes]:[Mes]],C$51)</f>
        <v>0</v>
      </c>
      <c r="D79" s="36">
        <f>SUMIFS(TablaEgresos[[Valor]:[Valor]],TablaEgresos[[Categoría]:[Categoría]],$A35,TablaEgresos[[Mes]:[Mes]],D$51)</f>
        <v>0</v>
      </c>
      <c r="E79" s="36">
        <f>SUMIFS(TablaEgresos[[Valor]:[Valor]],TablaEgresos[[Categoría]:[Categoría]],$A35,TablaEgresos[[Mes]:[Mes]],E$51)</f>
        <v>0</v>
      </c>
      <c r="F79" s="36">
        <f>SUMIFS(TablaEgresos[[Valor]:[Valor]],TablaEgresos[[Categoría]:[Categoría]],$A35,TablaEgresos[[Mes]:[Mes]],F$51)</f>
        <v>0</v>
      </c>
      <c r="G79" s="36">
        <f>SUMIFS(TablaEgresos[[Valor]:[Valor]],TablaEgresos[[Categoría]:[Categoría]],$A35,TablaEgresos[[Mes]:[Mes]],G$51)</f>
        <v>0</v>
      </c>
      <c r="H79" s="36">
        <f>SUMIFS(TablaEgresos[[Valor]:[Valor]],TablaEgresos[[Categoría]:[Categoría]],$A35,TablaEgresos[[Mes]:[Mes]],H$51)</f>
        <v>0</v>
      </c>
      <c r="I79" s="36">
        <f>SUMIFS(TablaEgresos[[Valor]:[Valor]],TablaEgresos[[Categoría]:[Categoría]],$A35,TablaEgresos[[Mes]:[Mes]],I$51)</f>
        <v>0</v>
      </c>
      <c r="J79" s="36">
        <f>SUMIFS(TablaEgresos[[Valor]:[Valor]],TablaEgresos[[Categoría]:[Categoría]],$A35,TablaEgresos[[Mes]:[Mes]],J$51)</f>
        <v>0</v>
      </c>
      <c r="K79" s="36">
        <f>SUMIFS(TablaEgresos[[Valor]:[Valor]],TablaEgresos[[Categoría]:[Categoría]],$A35,TablaEgresos[[Mes]:[Mes]],K$51)</f>
        <v>0</v>
      </c>
      <c r="L79" s="36">
        <f>SUMIFS(TablaEgresos[[Valor]:[Valor]],TablaEgresos[[Categoría]:[Categoría]],$A35,TablaEgresos[[Mes]:[Mes]],L$51)</f>
        <v>0</v>
      </c>
      <c r="M79" s="36">
        <f>SUMIFS(TablaEgresos[[Valor]:[Valor]],TablaEgresos[[Categoría]:[Categoría]],$A35,TablaEgresos[[Mes]:[Mes]],M$51)</f>
        <v>0</v>
      </c>
      <c r="N79" s="36">
        <f>SUMIFS(TablaEgresos[[Valor]:[Valor]],TablaEgresos[[Categoría]:[Categoría]],$A35,TablaEgresos[[Mes]:[Mes]],N$51)</f>
        <v>0</v>
      </c>
      <c r="O79" s="36">
        <f>SUMIFS(TablaEgresos[[Valor]:[Valor]],TablaEgresos[[Categoría]:[Categoría]],$A35,TablaEgresos[[Mes]:[Mes]],O$51)</f>
        <v>0</v>
      </c>
      <c r="P79" s="36">
        <f>SUMIFS(TablaEgresos[[Valor]:[Valor]],TablaEgresos[[Categoría]:[Categoría]],$A35,TablaEgresos[[Mes]:[Mes]],P$51)</f>
        <v>0</v>
      </c>
      <c r="Q79" s="36">
        <f>SUMIFS(TablaEgresos[[Valor]:[Valor]],TablaEgresos[[Categoría]:[Categoría]],$A35,TablaEgresos[[Mes]:[Mes]],Q$51)</f>
        <v>0</v>
      </c>
      <c r="R79" s="36">
        <f>SUMIFS(TablaEgresos[[Valor]:[Valor]],TablaEgresos[[Categoría]:[Categoría]],$A35,TablaEgresos[[Mes]:[Mes]],R$51)</f>
        <v>0</v>
      </c>
      <c r="S79" s="36">
        <f>SUMIFS(TablaEgresos[[Valor]:[Valor]],TablaEgresos[[Categoría]:[Categoría]],$A35,TablaEgresos[[Mes]:[Mes]],S$51)</f>
        <v>0</v>
      </c>
      <c r="T79" s="36">
        <f>SUMIFS(TablaEgresos[[Valor]:[Valor]],TablaEgresos[[Categoría]:[Categoría]],$A35,TablaEgresos[[Mes]:[Mes]],T$51)</f>
        <v>0</v>
      </c>
      <c r="U79" s="36">
        <f>SUMIFS(TablaEgresos[[Valor]:[Valor]],TablaEgresos[[Categoría]:[Categoría]],$A35,TablaEgresos[[Mes]:[Mes]],U$51)</f>
        <v>0</v>
      </c>
      <c r="V79" s="36">
        <f>SUMIFS(TablaEgresos[[Valor]:[Valor]],TablaEgresos[[Categoría]:[Categoría]],$A35,TablaEgresos[[Mes]:[Mes]],V$51)</f>
        <v>0</v>
      </c>
      <c r="W79" s="36">
        <f>SUMIFS(TablaEgresos[[Valor]:[Valor]],TablaEgresos[[Categoría]:[Categoría]],$A35,TablaEgresos[[Mes]:[Mes]],W$51)</f>
        <v>0</v>
      </c>
    </row>
    <row r="80" spans="1:23" outlineLevel="1" x14ac:dyDescent="0.3">
      <c r="A80" t="str">
        <f t="shared" si="672"/>
        <v>Deudas impuestos</v>
      </c>
      <c r="B80" s="36">
        <f>SUMIFS(TablaEgresos[[Valor]:[Valor]],TablaEgresos[[Categoría]:[Categoría]],$A36,TablaEgresos[[Mes]:[Mes]],B$51)</f>
        <v>0</v>
      </c>
      <c r="C80" s="36">
        <f>SUMIFS(TablaEgresos[[Valor]:[Valor]],TablaEgresos[[Categoría]:[Categoría]],$A36,TablaEgresos[[Mes]:[Mes]],C$51)</f>
        <v>0</v>
      </c>
      <c r="D80" s="36">
        <f>SUMIFS(TablaEgresos[[Valor]:[Valor]],TablaEgresos[[Categoría]:[Categoría]],$A36,TablaEgresos[[Mes]:[Mes]],D$51)</f>
        <v>0</v>
      </c>
      <c r="E80" s="36">
        <f>SUMIFS(TablaEgresos[[Valor]:[Valor]],TablaEgresos[[Categoría]:[Categoría]],$A36,TablaEgresos[[Mes]:[Mes]],E$51)</f>
        <v>0</v>
      </c>
      <c r="F80" s="36">
        <f>SUMIFS(TablaEgresos[[Valor]:[Valor]],TablaEgresos[[Categoría]:[Categoría]],$A36,TablaEgresos[[Mes]:[Mes]],F$51)</f>
        <v>0</v>
      </c>
      <c r="G80" s="36">
        <f>SUMIFS(TablaEgresos[[Valor]:[Valor]],TablaEgresos[[Categoría]:[Categoría]],$A36,TablaEgresos[[Mes]:[Mes]],G$51)</f>
        <v>0</v>
      </c>
      <c r="H80" s="36">
        <f>SUMIFS(TablaEgresos[[Valor]:[Valor]],TablaEgresos[[Categoría]:[Categoría]],$A36,TablaEgresos[[Mes]:[Mes]],H$51)</f>
        <v>0</v>
      </c>
      <c r="I80" s="36">
        <f>SUMIFS(TablaEgresos[[Valor]:[Valor]],TablaEgresos[[Categoría]:[Categoría]],$A36,TablaEgresos[[Mes]:[Mes]],I$51)</f>
        <v>0</v>
      </c>
      <c r="J80" s="36">
        <f>SUMIFS(TablaEgresos[[Valor]:[Valor]],TablaEgresos[[Categoría]:[Categoría]],$A36,TablaEgresos[[Mes]:[Mes]],J$51)</f>
        <v>0</v>
      </c>
      <c r="K80" s="36">
        <f>SUMIFS(TablaEgresos[[Valor]:[Valor]],TablaEgresos[[Categoría]:[Categoría]],$A36,TablaEgresos[[Mes]:[Mes]],K$51)</f>
        <v>0</v>
      </c>
      <c r="L80" s="36">
        <f>SUMIFS(TablaEgresos[[Valor]:[Valor]],TablaEgresos[[Categoría]:[Categoría]],$A36,TablaEgresos[[Mes]:[Mes]],L$51)</f>
        <v>0</v>
      </c>
      <c r="M80" s="36">
        <f>SUMIFS(TablaEgresos[[Valor]:[Valor]],TablaEgresos[[Categoría]:[Categoría]],$A36,TablaEgresos[[Mes]:[Mes]],M$51)</f>
        <v>0</v>
      </c>
      <c r="N80" s="36">
        <f>SUMIFS(TablaEgresos[[Valor]:[Valor]],TablaEgresos[[Categoría]:[Categoría]],$A36,TablaEgresos[[Mes]:[Mes]],N$51)</f>
        <v>0</v>
      </c>
      <c r="O80" s="36">
        <f>SUMIFS(TablaEgresos[[Valor]:[Valor]],TablaEgresos[[Categoría]:[Categoría]],$A36,TablaEgresos[[Mes]:[Mes]],O$51)</f>
        <v>0</v>
      </c>
      <c r="P80" s="36">
        <f>SUMIFS(TablaEgresos[[Valor]:[Valor]],TablaEgresos[[Categoría]:[Categoría]],$A36,TablaEgresos[[Mes]:[Mes]],P$51)</f>
        <v>0</v>
      </c>
      <c r="Q80" s="36">
        <f>SUMIFS(TablaEgresos[[Valor]:[Valor]],TablaEgresos[[Categoría]:[Categoría]],$A36,TablaEgresos[[Mes]:[Mes]],Q$51)</f>
        <v>0</v>
      </c>
      <c r="R80" s="36">
        <f>SUMIFS(TablaEgresos[[Valor]:[Valor]],TablaEgresos[[Categoría]:[Categoría]],$A36,TablaEgresos[[Mes]:[Mes]],R$51)</f>
        <v>0</v>
      </c>
      <c r="S80" s="36">
        <f>SUMIFS(TablaEgresos[[Valor]:[Valor]],TablaEgresos[[Categoría]:[Categoría]],$A36,TablaEgresos[[Mes]:[Mes]],S$51)</f>
        <v>0</v>
      </c>
      <c r="T80" s="36">
        <f>SUMIFS(TablaEgresos[[Valor]:[Valor]],TablaEgresos[[Categoría]:[Categoría]],$A36,TablaEgresos[[Mes]:[Mes]],T$51)</f>
        <v>0</v>
      </c>
      <c r="U80" s="36">
        <f>SUMIFS(TablaEgresos[[Valor]:[Valor]],TablaEgresos[[Categoría]:[Categoría]],$A36,TablaEgresos[[Mes]:[Mes]],U$51)</f>
        <v>0</v>
      </c>
      <c r="V80" s="36">
        <f>SUMIFS(TablaEgresos[[Valor]:[Valor]],TablaEgresos[[Categoría]:[Categoría]],$A36,TablaEgresos[[Mes]:[Mes]],V$51)</f>
        <v>0</v>
      </c>
      <c r="W80" s="36">
        <f>SUMIFS(TablaEgresos[[Valor]:[Valor]],TablaEgresos[[Categoría]:[Categoría]],$A36,TablaEgresos[[Mes]:[Mes]],W$51)</f>
        <v>0</v>
      </c>
    </row>
    <row r="81" spans="1:25" outlineLevel="1" x14ac:dyDescent="0.3">
      <c r="A81" t="str">
        <f t="shared" si="672"/>
        <v>Deudas proveedores anteriores</v>
      </c>
      <c r="B81" s="36">
        <f>SUMIFS(TablaEgresos[[Valor]:[Valor]],TablaEgresos[[Categoría]:[Categoría]],$A37,TablaEgresos[[Mes]:[Mes]],B$51)</f>
        <v>0</v>
      </c>
      <c r="C81" s="36">
        <f>SUMIFS(TablaEgresos[[Valor]:[Valor]],TablaEgresos[[Categoría]:[Categoría]],$A37,TablaEgresos[[Mes]:[Mes]],C$51)</f>
        <v>1683398.56</v>
      </c>
      <c r="D81" s="36">
        <f>SUMIFS(TablaEgresos[[Valor]:[Valor]],TablaEgresos[[Categoría]:[Categoría]],$A37,TablaEgresos[[Mes]:[Mes]],D$51)</f>
        <v>2533399.42</v>
      </c>
      <c r="E81" s="36">
        <f>SUMIFS(TablaEgresos[[Valor]:[Valor]],TablaEgresos[[Categoría]:[Categoría]],$A37,TablaEgresos[[Mes]:[Mes]],E$51)</f>
        <v>0</v>
      </c>
      <c r="F81" s="36">
        <f>SUMIFS(TablaEgresos[[Valor]:[Valor]],TablaEgresos[[Categoría]:[Categoría]],$A37,TablaEgresos[[Mes]:[Mes]],F$51)</f>
        <v>9999999.7699999996</v>
      </c>
      <c r="G81" s="36">
        <f>SUMIFS(TablaEgresos[[Valor]:[Valor]],TablaEgresos[[Categoría]:[Categoría]],$A37,TablaEgresos[[Mes]:[Mes]],G$51)</f>
        <v>0</v>
      </c>
      <c r="H81" s="36">
        <f>SUMIFS(TablaEgresos[[Valor]:[Valor]],TablaEgresos[[Categoría]:[Categoría]],$A37,TablaEgresos[[Mes]:[Mes]],H$51)</f>
        <v>0</v>
      </c>
      <c r="I81" s="36">
        <f>SUMIFS(TablaEgresos[[Valor]:[Valor]],TablaEgresos[[Categoría]:[Categoría]],$A37,TablaEgresos[[Mes]:[Mes]],I$51)</f>
        <v>0</v>
      </c>
      <c r="J81" s="36">
        <f>SUMIFS(TablaEgresos[[Valor]:[Valor]],TablaEgresos[[Categoría]:[Categoría]],$A37,TablaEgresos[[Mes]:[Mes]],J$51)</f>
        <v>0</v>
      </c>
      <c r="K81" s="36">
        <f>SUMIFS(TablaEgresos[[Valor]:[Valor]],TablaEgresos[[Categoría]:[Categoría]],$A37,TablaEgresos[[Mes]:[Mes]],K$51)</f>
        <v>0</v>
      </c>
      <c r="L81" s="36">
        <f>SUMIFS(TablaEgresos[[Valor]:[Valor]],TablaEgresos[[Categoría]:[Categoría]],$A37,TablaEgresos[[Mes]:[Mes]],L$51)</f>
        <v>0</v>
      </c>
      <c r="M81" s="36">
        <f>SUMIFS(TablaEgresos[[Valor]:[Valor]],TablaEgresos[[Categoría]:[Categoría]],$A37,TablaEgresos[[Mes]:[Mes]],M$51)</f>
        <v>0</v>
      </c>
      <c r="N81" s="36">
        <f>SUMIFS(TablaEgresos[[Valor]:[Valor]],TablaEgresos[[Categoría]:[Categoría]],$A37,TablaEgresos[[Mes]:[Mes]],N$51)</f>
        <v>0</v>
      </c>
      <c r="O81" s="36">
        <f>SUMIFS(TablaEgresos[[Valor]:[Valor]],TablaEgresos[[Categoría]:[Categoría]],$A37,TablaEgresos[[Mes]:[Mes]],O$51)</f>
        <v>0</v>
      </c>
      <c r="P81" s="36">
        <f>SUMIFS(TablaEgresos[[Valor]:[Valor]],TablaEgresos[[Categoría]:[Categoría]],$A37,TablaEgresos[[Mes]:[Mes]],P$51)</f>
        <v>0</v>
      </c>
      <c r="Q81" s="36">
        <f>SUMIFS(TablaEgresos[[Valor]:[Valor]],TablaEgresos[[Categoría]:[Categoría]],$A37,TablaEgresos[[Mes]:[Mes]],Q$51)</f>
        <v>0</v>
      </c>
      <c r="R81" s="36">
        <f>SUMIFS(TablaEgresos[[Valor]:[Valor]],TablaEgresos[[Categoría]:[Categoría]],$A37,TablaEgresos[[Mes]:[Mes]],R$51)</f>
        <v>0</v>
      </c>
      <c r="S81" s="36">
        <f>SUMIFS(TablaEgresos[[Valor]:[Valor]],TablaEgresos[[Categoría]:[Categoría]],$A37,TablaEgresos[[Mes]:[Mes]],S$51)</f>
        <v>0</v>
      </c>
      <c r="T81" s="36">
        <f>SUMIFS(TablaEgresos[[Valor]:[Valor]],TablaEgresos[[Categoría]:[Categoría]],$A37,TablaEgresos[[Mes]:[Mes]],T$51)</f>
        <v>0</v>
      </c>
      <c r="U81" s="36">
        <f>SUMIFS(TablaEgresos[[Valor]:[Valor]],TablaEgresos[[Categoría]:[Categoría]],$A37,TablaEgresos[[Mes]:[Mes]],U$51)</f>
        <v>0</v>
      </c>
      <c r="V81" s="36">
        <f>SUMIFS(TablaEgresos[[Valor]:[Valor]],TablaEgresos[[Categoría]:[Categoría]],$A37,TablaEgresos[[Mes]:[Mes]],V$51)</f>
        <v>0</v>
      </c>
      <c r="W81" s="36">
        <f>SUMIFS(TablaEgresos[[Valor]:[Valor]],TablaEgresos[[Categoría]:[Categoría]],$A37,TablaEgresos[[Mes]:[Mes]],W$51)</f>
        <v>0</v>
      </c>
    </row>
    <row r="82" spans="1:25" outlineLevel="1" x14ac:dyDescent="0.3">
      <c r="A82" t="str">
        <f t="shared" si="672"/>
        <v>Subtotal Deudas</v>
      </c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</row>
    <row r="83" spans="1:25" outlineLevel="1" x14ac:dyDescent="0.3">
      <c r="A83" t="str">
        <f t="shared" si="672"/>
        <v>OTROS Y VARIOS</v>
      </c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</row>
    <row r="84" spans="1:25" outlineLevel="1" x14ac:dyDescent="0.3">
      <c r="A84" t="str">
        <f t="shared" si="672"/>
        <v>Otros gastos</v>
      </c>
      <c r="B84" s="36">
        <f>SUMIFS(TablaEgresos[[Valor]:[Valor]],TablaEgresos[[Categoría]:[Categoría]],$A40,TablaEgresos[[Mes]:[Mes]],B$51)</f>
        <v>1616605.34</v>
      </c>
      <c r="C84" s="36">
        <f>SUMIFS(TablaEgresos[[Valor]:[Valor]],TablaEgresos[[Categoría]:[Categoría]],$A40,TablaEgresos[[Mes]:[Mes]],C$51)</f>
        <v>39505270</v>
      </c>
      <c r="D84" s="36">
        <f>SUMIFS(TablaEgresos[[Valor]:[Valor]],TablaEgresos[[Categoría]:[Categoría]],$A40,TablaEgresos[[Mes]:[Mes]],D$51)</f>
        <v>44454558.399999999</v>
      </c>
      <c r="E84" s="36">
        <f>SUMIFS(TablaEgresos[[Valor]:[Valor]],TablaEgresos[[Categoría]:[Categoría]],$A40,TablaEgresos[[Mes]:[Mes]],E$51)</f>
        <v>29086691.34</v>
      </c>
      <c r="F84" s="36">
        <f>SUMIFS(TablaEgresos[[Valor]:[Valor]],TablaEgresos[[Categoría]:[Categoría]],$A40,TablaEgresos[[Mes]:[Mes]],F$51)</f>
        <v>10084789.34</v>
      </c>
      <c r="G84" s="36">
        <f>SUMIFS(TablaEgresos[[Valor]:[Valor]],TablaEgresos[[Categoría]:[Categoría]],$A40,TablaEgresos[[Mes]:[Mes]],G$51)</f>
        <v>0</v>
      </c>
      <c r="H84" s="36">
        <f>SUMIFS(TablaEgresos[[Valor]:[Valor]],TablaEgresos[[Categoría]:[Categoría]],$A40,TablaEgresos[[Mes]:[Mes]],H$51)</f>
        <v>0</v>
      </c>
      <c r="I84" s="36">
        <f>SUMIFS(TablaEgresos[[Valor]:[Valor]],TablaEgresos[[Categoría]:[Categoría]],$A40,TablaEgresos[[Mes]:[Mes]],I$51)</f>
        <v>0</v>
      </c>
      <c r="J84" s="36">
        <f>SUMIFS(TablaEgresos[[Valor]:[Valor]],TablaEgresos[[Categoría]:[Categoría]],$A40,TablaEgresos[[Mes]:[Mes]],J$51)</f>
        <v>0</v>
      </c>
      <c r="K84" s="36">
        <f>SUMIFS(TablaEgresos[[Valor]:[Valor]],TablaEgresos[[Categoría]:[Categoría]],$A40,TablaEgresos[[Mes]:[Mes]],K$51)</f>
        <v>0</v>
      </c>
      <c r="L84" s="36">
        <f>SUMIFS(TablaEgresos[[Valor]:[Valor]],TablaEgresos[[Categoría]:[Categoría]],$A40,TablaEgresos[[Mes]:[Mes]],L$51)</f>
        <v>0</v>
      </c>
      <c r="M84" s="36">
        <f>SUMIFS(TablaEgresos[[Valor]:[Valor]],TablaEgresos[[Categoría]:[Categoría]],$A40,TablaEgresos[[Mes]:[Mes]],M$51)</f>
        <v>0</v>
      </c>
      <c r="N84" s="36">
        <f>SUMIFS(TablaEgresos[[Valor]:[Valor]],TablaEgresos[[Categoría]:[Categoría]],$A40,TablaEgresos[[Mes]:[Mes]],N$51)</f>
        <v>0</v>
      </c>
      <c r="O84" s="36">
        <f>SUMIFS(TablaEgresos[[Valor]:[Valor]],TablaEgresos[[Categoría]:[Categoría]],$A40,TablaEgresos[[Mes]:[Mes]],O$51)</f>
        <v>0</v>
      </c>
      <c r="P84" s="36">
        <f>SUMIFS(TablaEgresos[[Valor]:[Valor]],TablaEgresos[[Categoría]:[Categoría]],$A40,TablaEgresos[[Mes]:[Mes]],P$51)</f>
        <v>0</v>
      </c>
      <c r="Q84" s="36">
        <f>SUMIFS(TablaEgresos[[Valor]:[Valor]],TablaEgresos[[Categoría]:[Categoría]],$A40,TablaEgresos[[Mes]:[Mes]],Q$51)</f>
        <v>0</v>
      </c>
      <c r="R84" s="36">
        <f>SUMIFS(TablaEgresos[[Valor]:[Valor]],TablaEgresos[[Categoría]:[Categoría]],$A40,TablaEgresos[[Mes]:[Mes]],R$51)</f>
        <v>0</v>
      </c>
      <c r="S84" s="36">
        <f>SUMIFS(TablaEgresos[[Valor]:[Valor]],TablaEgresos[[Categoría]:[Categoría]],$A40,TablaEgresos[[Mes]:[Mes]],S$51)</f>
        <v>0</v>
      </c>
      <c r="T84" s="36">
        <f>SUMIFS(TablaEgresos[[Valor]:[Valor]],TablaEgresos[[Categoría]:[Categoría]],$A40,TablaEgresos[[Mes]:[Mes]],T$51)</f>
        <v>0</v>
      </c>
      <c r="U84" s="36">
        <f>SUMIFS(TablaEgresos[[Valor]:[Valor]],TablaEgresos[[Categoría]:[Categoría]],$A40,TablaEgresos[[Mes]:[Mes]],U$51)</f>
        <v>0</v>
      </c>
      <c r="V84" s="36">
        <f>SUMIFS(TablaEgresos[[Valor]:[Valor]],TablaEgresos[[Categoría]:[Categoría]],$A40,TablaEgresos[[Mes]:[Mes]],V$51)</f>
        <v>0</v>
      </c>
      <c r="W84" s="36">
        <f>SUMIFS(TablaEgresos[[Valor]:[Valor]],TablaEgresos[[Categoría]:[Categoría]],$A40,TablaEgresos[[Mes]:[Mes]],W$51)</f>
        <v>0</v>
      </c>
    </row>
    <row r="85" spans="1:25" outlineLevel="1" x14ac:dyDescent="0.3">
      <c r="A85" t="str">
        <f t="shared" si="672"/>
        <v>Gastos notariales</v>
      </c>
      <c r="B85" s="36">
        <f>SUMIFS(TablaEgresos[[Valor]:[Valor]],TablaEgresos[[Categoría]:[Categoría]],$A41,TablaEgresos[[Mes]:[Mes]],B$51)</f>
        <v>0</v>
      </c>
      <c r="C85" s="36">
        <f>SUMIFS(TablaEgresos[[Valor]:[Valor]],TablaEgresos[[Categoría]:[Categoría]],$A41,TablaEgresos[[Mes]:[Mes]],C$51)</f>
        <v>180464</v>
      </c>
      <c r="D85" s="36">
        <f>SUMIFS(TablaEgresos[[Valor]:[Valor]],TablaEgresos[[Categoría]:[Categoría]],$A41,TablaEgresos[[Mes]:[Mes]],D$51)</f>
        <v>0</v>
      </c>
      <c r="E85" s="36">
        <f>SUMIFS(TablaEgresos[[Valor]:[Valor]],TablaEgresos[[Categoría]:[Categoría]],$A41,TablaEgresos[[Mes]:[Mes]],E$51)</f>
        <v>172122</v>
      </c>
      <c r="F85" s="36">
        <f>SUMIFS(TablaEgresos[[Valor]:[Valor]],TablaEgresos[[Categoría]:[Categoría]],$A41,TablaEgresos[[Mes]:[Mes]],F$51)</f>
        <v>3686613</v>
      </c>
      <c r="G85" s="36">
        <f>SUMIFS(TablaEgresos[[Valor]:[Valor]],TablaEgresos[[Categoría]:[Categoría]],$A41,TablaEgresos[[Mes]:[Mes]],G$51)</f>
        <v>0</v>
      </c>
      <c r="H85" s="36">
        <f>SUMIFS(TablaEgresos[[Valor]:[Valor]],TablaEgresos[[Categoría]:[Categoría]],$A41,TablaEgresos[[Mes]:[Mes]],H$51)</f>
        <v>0</v>
      </c>
      <c r="I85" s="36">
        <f>SUMIFS(TablaEgresos[[Valor]:[Valor]],TablaEgresos[[Categoría]:[Categoría]],$A41,TablaEgresos[[Mes]:[Mes]],I$51)</f>
        <v>0</v>
      </c>
      <c r="J85" s="36">
        <f>SUMIFS(TablaEgresos[[Valor]:[Valor]],TablaEgresos[[Categoría]:[Categoría]],$A41,TablaEgresos[[Mes]:[Mes]],J$51)</f>
        <v>0</v>
      </c>
      <c r="K85" s="36">
        <f>SUMIFS(TablaEgresos[[Valor]:[Valor]],TablaEgresos[[Categoría]:[Categoría]],$A41,TablaEgresos[[Mes]:[Mes]],K$51)</f>
        <v>0</v>
      </c>
      <c r="L85" s="36">
        <f>SUMIFS(TablaEgresos[[Valor]:[Valor]],TablaEgresos[[Categoría]:[Categoría]],$A41,TablaEgresos[[Mes]:[Mes]],L$51)</f>
        <v>0</v>
      </c>
      <c r="M85" s="36">
        <f>SUMIFS(TablaEgresos[[Valor]:[Valor]],TablaEgresos[[Categoría]:[Categoría]],$A41,TablaEgresos[[Mes]:[Mes]],M$51)</f>
        <v>0</v>
      </c>
      <c r="N85" s="36">
        <f>SUMIFS(TablaEgresos[[Valor]:[Valor]],TablaEgresos[[Categoría]:[Categoría]],$A41,TablaEgresos[[Mes]:[Mes]],N$51)</f>
        <v>0</v>
      </c>
      <c r="O85" s="36">
        <f>SUMIFS(TablaEgresos[[Valor]:[Valor]],TablaEgresos[[Categoría]:[Categoría]],$A41,TablaEgresos[[Mes]:[Mes]],O$51)</f>
        <v>0</v>
      </c>
      <c r="P85" s="36">
        <f>SUMIFS(TablaEgresos[[Valor]:[Valor]],TablaEgresos[[Categoría]:[Categoría]],$A41,TablaEgresos[[Mes]:[Mes]],P$51)</f>
        <v>0</v>
      </c>
      <c r="Q85" s="36">
        <f>SUMIFS(TablaEgresos[[Valor]:[Valor]],TablaEgresos[[Categoría]:[Categoría]],$A41,TablaEgresos[[Mes]:[Mes]],Q$51)</f>
        <v>0</v>
      </c>
      <c r="R85" s="36">
        <f>SUMIFS(TablaEgresos[[Valor]:[Valor]],TablaEgresos[[Categoría]:[Categoría]],$A41,TablaEgresos[[Mes]:[Mes]],R$51)</f>
        <v>0</v>
      </c>
      <c r="S85" s="36">
        <f>SUMIFS(TablaEgresos[[Valor]:[Valor]],TablaEgresos[[Categoría]:[Categoría]],$A41,TablaEgresos[[Mes]:[Mes]],S$51)</f>
        <v>0</v>
      </c>
      <c r="T85" s="36">
        <f>SUMIFS(TablaEgresos[[Valor]:[Valor]],TablaEgresos[[Categoría]:[Categoría]],$A41,TablaEgresos[[Mes]:[Mes]],T$51)</f>
        <v>0</v>
      </c>
      <c r="U85" s="36">
        <f>SUMIFS(TablaEgresos[[Valor]:[Valor]],TablaEgresos[[Categoría]:[Categoría]],$A41,TablaEgresos[[Mes]:[Mes]],U$51)</f>
        <v>0</v>
      </c>
      <c r="V85" s="36">
        <f>SUMIFS(TablaEgresos[[Valor]:[Valor]],TablaEgresos[[Categoría]:[Categoría]],$A41,TablaEgresos[[Mes]:[Mes]],V$51)</f>
        <v>0</v>
      </c>
      <c r="W85" s="36">
        <f>SUMIFS(TablaEgresos[[Valor]:[Valor]],TablaEgresos[[Categoría]:[Categoría]],$A41,TablaEgresos[[Mes]:[Mes]],W$51)</f>
        <v>0</v>
      </c>
    </row>
    <row r="86" spans="1:25" outlineLevel="1" x14ac:dyDescent="0.3">
      <c r="A86" t="str">
        <f t="shared" si="672"/>
        <v>Gastos bancarios</v>
      </c>
      <c r="B86" s="36">
        <f>SUMIFS(TablaEgresos[[Valor]:[Valor]],TablaEgresos[[Categoría]:[Categoría]],$A42,TablaEgresos[[Mes]:[Mes]],B$51)</f>
        <v>0</v>
      </c>
      <c r="C86" s="36">
        <f>SUMIFS(TablaEgresos[[Valor]:[Valor]],TablaEgresos[[Categoría]:[Categoría]],$A42,TablaEgresos[[Mes]:[Mes]],C$51)</f>
        <v>27457</v>
      </c>
      <c r="D86" s="36">
        <f>SUMIFS(TablaEgresos[[Valor]:[Valor]],TablaEgresos[[Categoría]:[Categoría]],$A42,TablaEgresos[[Mes]:[Mes]],D$51)</f>
        <v>19996</v>
      </c>
      <c r="E86" s="36">
        <f>SUMIFS(TablaEgresos[[Valor]:[Valor]],TablaEgresos[[Categoría]:[Categoría]],$A42,TablaEgresos[[Mes]:[Mes]],E$51)</f>
        <v>58791</v>
      </c>
      <c r="F86" s="36">
        <f>SUMIFS(TablaEgresos[[Valor]:[Valor]],TablaEgresos[[Categoría]:[Categoría]],$A42,TablaEgresos[[Mes]:[Mes]],F$51)</f>
        <v>29701</v>
      </c>
      <c r="G86" s="36">
        <f>SUMIFS(TablaEgresos[[Valor]:[Valor]],TablaEgresos[[Categoría]:[Categoría]],$A42,TablaEgresos[[Mes]:[Mes]],G$51)</f>
        <v>0</v>
      </c>
      <c r="H86" s="36">
        <f>SUMIFS(TablaEgresos[[Valor]:[Valor]],TablaEgresos[[Categoría]:[Categoría]],$A42,TablaEgresos[[Mes]:[Mes]],H$51)</f>
        <v>0</v>
      </c>
      <c r="I86" s="36">
        <f>SUMIFS(TablaEgresos[[Valor]:[Valor]],TablaEgresos[[Categoría]:[Categoría]],$A42,TablaEgresos[[Mes]:[Mes]],I$51)</f>
        <v>0</v>
      </c>
      <c r="J86" s="36">
        <f>SUMIFS(TablaEgresos[[Valor]:[Valor]],TablaEgresos[[Categoría]:[Categoría]],$A42,TablaEgresos[[Mes]:[Mes]],J$51)</f>
        <v>0</v>
      </c>
      <c r="K86" s="36">
        <f>SUMIFS(TablaEgresos[[Valor]:[Valor]],TablaEgresos[[Categoría]:[Categoría]],$A42,TablaEgresos[[Mes]:[Mes]],K$51)</f>
        <v>0</v>
      </c>
      <c r="L86" s="36">
        <f>SUMIFS(TablaEgresos[[Valor]:[Valor]],TablaEgresos[[Categoría]:[Categoría]],$A42,TablaEgresos[[Mes]:[Mes]],L$51)</f>
        <v>0</v>
      </c>
      <c r="M86" s="36">
        <f>SUMIFS(TablaEgresos[[Valor]:[Valor]],TablaEgresos[[Categoría]:[Categoría]],$A42,TablaEgresos[[Mes]:[Mes]],M$51)</f>
        <v>0</v>
      </c>
      <c r="N86" s="36">
        <f>SUMIFS(TablaEgresos[[Valor]:[Valor]],TablaEgresos[[Categoría]:[Categoría]],$A42,TablaEgresos[[Mes]:[Mes]],N$51)</f>
        <v>0</v>
      </c>
      <c r="O86" s="36">
        <f>SUMIFS(TablaEgresos[[Valor]:[Valor]],TablaEgresos[[Categoría]:[Categoría]],$A42,TablaEgresos[[Mes]:[Mes]],O$51)</f>
        <v>0</v>
      </c>
      <c r="P86" s="36">
        <f>SUMIFS(TablaEgresos[[Valor]:[Valor]],TablaEgresos[[Categoría]:[Categoría]],$A42,TablaEgresos[[Mes]:[Mes]],P$51)</f>
        <v>0</v>
      </c>
      <c r="Q86" s="36">
        <f>SUMIFS(TablaEgresos[[Valor]:[Valor]],TablaEgresos[[Categoría]:[Categoría]],$A42,TablaEgresos[[Mes]:[Mes]],Q$51)</f>
        <v>0</v>
      </c>
      <c r="R86" s="36">
        <f>SUMIFS(TablaEgresos[[Valor]:[Valor]],TablaEgresos[[Categoría]:[Categoría]],$A42,TablaEgresos[[Mes]:[Mes]],R$51)</f>
        <v>0</v>
      </c>
      <c r="S86" s="36">
        <f>SUMIFS(TablaEgresos[[Valor]:[Valor]],TablaEgresos[[Categoría]:[Categoría]],$A42,TablaEgresos[[Mes]:[Mes]],S$51)</f>
        <v>0</v>
      </c>
      <c r="T86" s="36">
        <f>SUMIFS(TablaEgresos[[Valor]:[Valor]],TablaEgresos[[Categoría]:[Categoría]],$A42,TablaEgresos[[Mes]:[Mes]],T$51)</f>
        <v>0</v>
      </c>
      <c r="U86" s="36">
        <f>SUMIFS(TablaEgresos[[Valor]:[Valor]],TablaEgresos[[Categoría]:[Categoría]],$A42,TablaEgresos[[Mes]:[Mes]],U$51)</f>
        <v>0</v>
      </c>
      <c r="V86" s="36">
        <f>SUMIFS(TablaEgresos[[Valor]:[Valor]],TablaEgresos[[Categoría]:[Categoría]],$A42,TablaEgresos[[Mes]:[Mes]],V$51)</f>
        <v>0</v>
      </c>
      <c r="W86" s="36">
        <f>SUMIFS(TablaEgresos[[Valor]:[Valor]],TablaEgresos[[Categoría]:[Categoría]],$A42,TablaEgresos[[Mes]:[Mes]],W$51)</f>
        <v>0</v>
      </c>
    </row>
    <row r="87" spans="1:25" outlineLevel="1" x14ac:dyDescent="0.3">
      <c r="A87" t="str">
        <f t="shared" si="672"/>
        <v>Gastos financieros</v>
      </c>
      <c r="B87" s="36">
        <f>SUMIFS(TablaEgresos[[Valor]:[Valor]],TablaEgresos[[Categoría]:[Categoría]],$A43,TablaEgresos[[Mes]:[Mes]],B$51)</f>
        <v>0</v>
      </c>
      <c r="C87" s="36">
        <f>SUMIFS(TablaEgresos[[Valor]:[Valor]],TablaEgresos[[Categoría]:[Categoría]],$A43,TablaEgresos[[Mes]:[Mes]],C$51)</f>
        <v>9163.26</v>
      </c>
      <c r="D87" s="36">
        <f>SUMIFS(TablaEgresos[[Valor]:[Valor]],TablaEgresos[[Categoría]:[Categoría]],$A43,TablaEgresos[[Mes]:[Mes]],D$51)</f>
        <v>0</v>
      </c>
      <c r="E87" s="36">
        <f>SUMIFS(TablaEgresos[[Valor]:[Valor]],TablaEgresos[[Categoría]:[Categoría]],$A43,TablaEgresos[[Mes]:[Mes]],E$51)</f>
        <v>0</v>
      </c>
      <c r="F87" s="36">
        <f>SUMIFS(TablaEgresos[[Valor]:[Valor]],TablaEgresos[[Categoría]:[Categoría]],$A43,TablaEgresos[[Mes]:[Mes]],F$51)</f>
        <v>0</v>
      </c>
      <c r="G87" s="36">
        <f>SUMIFS(TablaEgresos[[Valor]:[Valor]],TablaEgresos[[Categoría]:[Categoría]],$A43,TablaEgresos[[Mes]:[Mes]],G$51)</f>
        <v>0</v>
      </c>
      <c r="H87" s="36">
        <f>SUMIFS(TablaEgresos[[Valor]:[Valor]],TablaEgresos[[Categoría]:[Categoría]],$A43,TablaEgresos[[Mes]:[Mes]],H$51)</f>
        <v>0</v>
      </c>
      <c r="I87" s="36">
        <f>SUMIFS(TablaEgresos[[Valor]:[Valor]],TablaEgresos[[Categoría]:[Categoría]],$A43,TablaEgresos[[Mes]:[Mes]],I$51)</f>
        <v>0</v>
      </c>
      <c r="J87" s="36">
        <f>SUMIFS(TablaEgresos[[Valor]:[Valor]],TablaEgresos[[Categoría]:[Categoría]],$A43,TablaEgresos[[Mes]:[Mes]],J$51)</f>
        <v>0</v>
      </c>
      <c r="K87" s="36">
        <f>SUMIFS(TablaEgresos[[Valor]:[Valor]],TablaEgresos[[Categoría]:[Categoría]],$A43,TablaEgresos[[Mes]:[Mes]],K$51)</f>
        <v>0</v>
      </c>
      <c r="L87" s="36">
        <f>SUMIFS(TablaEgresos[[Valor]:[Valor]],TablaEgresos[[Categoría]:[Categoría]],$A43,TablaEgresos[[Mes]:[Mes]],L$51)</f>
        <v>0</v>
      </c>
      <c r="M87" s="36">
        <f>SUMIFS(TablaEgresos[[Valor]:[Valor]],TablaEgresos[[Categoría]:[Categoría]],$A43,TablaEgresos[[Mes]:[Mes]],M$51)</f>
        <v>0</v>
      </c>
      <c r="N87" s="36">
        <f>SUMIFS(TablaEgresos[[Valor]:[Valor]],TablaEgresos[[Categoría]:[Categoría]],$A43,TablaEgresos[[Mes]:[Mes]],N$51)</f>
        <v>0</v>
      </c>
      <c r="O87" s="36">
        <f>SUMIFS(TablaEgresos[[Valor]:[Valor]],TablaEgresos[[Categoría]:[Categoría]],$A43,TablaEgresos[[Mes]:[Mes]],O$51)</f>
        <v>0</v>
      </c>
      <c r="P87" s="36">
        <f>SUMIFS(TablaEgresos[[Valor]:[Valor]],TablaEgresos[[Categoría]:[Categoría]],$A43,TablaEgresos[[Mes]:[Mes]],P$51)</f>
        <v>0</v>
      </c>
      <c r="Q87" s="36">
        <f>SUMIFS(TablaEgresos[[Valor]:[Valor]],TablaEgresos[[Categoría]:[Categoría]],$A43,TablaEgresos[[Mes]:[Mes]],Q$51)</f>
        <v>0</v>
      </c>
      <c r="R87" s="36">
        <f>SUMIFS(TablaEgresos[[Valor]:[Valor]],TablaEgresos[[Categoría]:[Categoría]],$A43,TablaEgresos[[Mes]:[Mes]],R$51)</f>
        <v>0</v>
      </c>
      <c r="S87" s="36">
        <f>SUMIFS(TablaEgresos[[Valor]:[Valor]],TablaEgresos[[Categoría]:[Categoría]],$A43,TablaEgresos[[Mes]:[Mes]],S$51)</f>
        <v>0</v>
      </c>
      <c r="T87" s="36">
        <f>SUMIFS(TablaEgresos[[Valor]:[Valor]],TablaEgresos[[Categoría]:[Categoría]],$A43,TablaEgresos[[Mes]:[Mes]],T$51)</f>
        <v>0</v>
      </c>
      <c r="U87" s="36">
        <f>SUMIFS(TablaEgresos[[Valor]:[Valor]],TablaEgresos[[Categoría]:[Categoría]],$A43,TablaEgresos[[Mes]:[Mes]],U$51)</f>
        <v>0</v>
      </c>
      <c r="V87" s="36">
        <f>SUMIFS(TablaEgresos[[Valor]:[Valor]],TablaEgresos[[Categoría]:[Categoría]],$A43,TablaEgresos[[Mes]:[Mes]],V$51)</f>
        <v>0</v>
      </c>
      <c r="W87" s="36">
        <f>SUMIFS(TablaEgresos[[Valor]:[Valor]],TablaEgresos[[Categoría]:[Categoría]],$A43,TablaEgresos[[Mes]:[Mes]],W$51)</f>
        <v>0</v>
      </c>
    </row>
    <row r="88" spans="1:25" outlineLevel="1" x14ac:dyDescent="0.3">
      <c r="A88" t="str">
        <f t="shared" si="672"/>
        <v>Impuestos</v>
      </c>
      <c r="B88" s="36">
        <f>SUMIFS(TablaEgresos[[Valor]:[Valor]],TablaEgresos[[Categoría]:[Categoría]],$A44,TablaEgresos[[Mes]:[Mes]],B$51)</f>
        <v>8247.76</v>
      </c>
      <c r="C88" s="36">
        <f>SUMIFS(TablaEgresos[[Valor]:[Valor]],TablaEgresos[[Categoría]:[Categoría]],$A44,TablaEgresos[[Mes]:[Mes]],C$51)</f>
        <v>746212.48</v>
      </c>
      <c r="D88" s="36">
        <f>SUMIFS(TablaEgresos[[Valor]:[Valor]],TablaEgresos[[Categoría]:[Categoría]],$A44,TablaEgresos[[Mes]:[Mes]],D$51)</f>
        <v>357732.21</v>
      </c>
      <c r="E88" s="36">
        <f>SUMIFS(TablaEgresos[[Valor]:[Valor]],TablaEgresos[[Categoría]:[Categoría]],$A44,TablaEgresos[[Mes]:[Mes]],E$51)</f>
        <v>774992.31</v>
      </c>
      <c r="F88" s="36">
        <f>SUMIFS(TablaEgresos[[Valor]:[Valor]],TablaEgresos[[Categoría]:[Categoría]],$A44,TablaEgresos[[Mes]:[Mes]],F$51)</f>
        <v>859232.2699999999</v>
      </c>
      <c r="G88" s="36">
        <f>SUMIFS(TablaEgresos[[Valor]:[Valor]],TablaEgresos[[Categoría]:[Categoría]],$A44,TablaEgresos[[Mes]:[Mes]],G$51)</f>
        <v>0</v>
      </c>
      <c r="H88" s="36">
        <f>SUMIFS(TablaEgresos[[Valor]:[Valor]],TablaEgresos[[Categoría]:[Categoría]],$A44,TablaEgresos[[Mes]:[Mes]],H$51)</f>
        <v>0</v>
      </c>
      <c r="I88" s="36">
        <f>SUMIFS(TablaEgresos[[Valor]:[Valor]],TablaEgresos[[Categoría]:[Categoría]],$A44,TablaEgresos[[Mes]:[Mes]],I$51)</f>
        <v>0</v>
      </c>
      <c r="J88" s="36">
        <f>SUMIFS(TablaEgresos[[Valor]:[Valor]],TablaEgresos[[Categoría]:[Categoría]],$A44,TablaEgresos[[Mes]:[Mes]],J$51)</f>
        <v>0</v>
      </c>
      <c r="K88" s="36">
        <f>SUMIFS(TablaEgresos[[Valor]:[Valor]],TablaEgresos[[Categoría]:[Categoría]],$A44,TablaEgresos[[Mes]:[Mes]],K$51)</f>
        <v>0</v>
      </c>
      <c r="L88" s="36">
        <f>SUMIFS(TablaEgresos[[Valor]:[Valor]],TablaEgresos[[Categoría]:[Categoría]],$A44,TablaEgresos[[Mes]:[Mes]],L$51)</f>
        <v>0</v>
      </c>
      <c r="M88" s="36">
        <f>SUMIFS(TablaEgresos[[Valor]:[Valor]],TablaEgresos[[Categoría]:[Categoría]],$A44,TablaEgresos[[Mes]:[Mes]],M$51)</f>
        <v>0</v>
      </c>
      <c r="N88" s="36">
        <f>SUMIFS(TablaEgresos[[Valor]:[Valor]],TablaEgresos[[Categoría]:[Categoría]],$A44,TablaEgresos[[Mes]:[Mes]],N$51)</f>
        <v>0</v>
      </c>
      <c r="O88" s="36">
        <f>SUMIFS(TablaEgresos[[Valor]:[Valor]],TablaEgresos[[Categoría]:[Categoría]],$A44,TablaEgresos[[Mes]:[Mes]],O$51)</f>
        <v>0</v>
      </c>
      <c r="P88" s="36">
        <f>SUMIFS(TablaEgresos[[Valor]:[Valor]],TablaEgresos[[Categoría]:[Categoría]],$A44,TablaEgresos[[Mes]:[Mes]],P$51)</f>
        <v>0</v>
      </c>
      <c r="Q88" s="36">
        <f>SUMIFS(TablaEgresos[[Valor]:[Valor]],TablaEgresos[[Categoría]:[Categoría]],$A44,TablaEgresos[[Mes]:[Mes]],Q$51)</f>
        <v>0</v>
      </c>
      <c r="R88" s="36">
        <f>SUMIFS(TablaEgresos[[Valor]:[Valor]],TablaEgresos[[Categoría]:[Categoría]],$A44,TablaEgresos[[Mes]:[Mes]],R$51)</f>
        <v>0</v>
      </c>
      <c r="S88" s="36">
        <f>SUMIFS(TablaEgresos[[Valor]:[Valor]],TablaEgresos[[Categoría]:[Categoría]],$A44,TablaEgresos[[Mes]:[Mes]],S$51)</f>
        <v>0</v>
      </c>
      <c r="T88" s="36">
        <f>SUMIFS(TablaEgresos[[Valor]:[Valor]],TablaEgresos[[Categoría]:[Categoría]],$A44,TablaEgresos[[Mes]:[Mes]],T$51)</f>
        <v>0</v>
      </c>
      <c r="U88" s="36">
        <f>SUMIFS(TablaEgresos[[Valor]:[Valor]],TablaEgresos[[Categoría]:[Categoría]],$A44,TablaEgresos[[Mes]:[Mes]],U$51)</f>
        <v>0</v>
      </c>
      <c r="V88" s="36">
        <f>SUMIFS(TablaEgresos[[Valor]:[Valor]],TablaEgresos[[Categoría]:[Categoría]],$A44,TablaEgresos[[Mes]:[Mes]],V$51)</f>
        <v>0</v>
      </c>
      <c r="W88" s="36">
        <f>SUMIFS(TablaEgresos[[Valor]:[Valor]],TablaEgresos[[Categoría]:[Categoría]],$A44,TablaEgresos[[Mes]:[Mes]],W$51)</f>
        <v>0</v>
      </c>
    </row>
    <row r="89" spans="1:25" outlineLevel="1" x14ac:dyDescent="0.3">
      <c r="A89" t="str">
        <f t="shared" ref="A89:A91" si="673">A45</f>
        <v>Por clasificar</v>
      </c>
      <c r="B89" s="36">
        <f>SUMIFS(TablaEgresos[[Valor]:[Valor]],TablaEgresos[[Categoría]:[Categoría]],$A45,TablaEgresos[[Mes]:[Mes]],B$51)</f>
        <v>0</v>
      </c>
      <c r="C89" s="36">
        <f>SUMIFS(TablaEgresos[[Valor]:[Valor]],TablaEgresos[[Categoría]:[Categoría]],$A45,TablaEgresos[[Mes]:[Mes]],C$51)</f>
        <v>3689043.8899999997</v>
      </c>
      <c r="D89" s="36">
        <f>SUMIFS(TablaEgresos[[Valor]:[Valor]],TablaEgresos[[Categoría]:[Categoría]],$A45,TablaEgresos[[Mes]:[Mes]],D$51)</f>
        <v>11920484.58</v>
      </c>
      <c r="E89" s="36">
        <f>SUMIFS(TablaEgresos[[Valor]:[Valor]],TablaEgresos[[Categoría]:[Categoría]],$A45,TablaEgresos[[Mes]:[Mes]],E$51)</f>
        <v>58796869.32</v>
      </c>
      <c r="F89" s="36">
        <f>SUMIFS(TablaEgresos[[Valor]:[Valor]],TablaEgresos[[Categoría]:[Categoría]],$A45,TablaEgresos[[Mes]:[Mes]],F$51)</f>
        <v>106000</v>
      </c>
      <c r="G89" s="36">
        <f>SUMIFS(TablaEgresos[[Valor]:[Valor]],TablaEgresos[[Categoría]:[Categoría]],$A45,TablaEgresos[[Mes]:[Mes]],G$51)</f>
        <v>0</v>
      </c>
      <c r="H89" s="36">
        <f>SUMIFS(TablaEgresos[[Valor]:[Valor]],TablaEgresos[[Categoría]:[Categoría]],$A45,TablaEgresos[[Mes]:[Mes]],H$51)</f>
        <v>0</v>
      </c>
      <c r="I89" s="36">
        <f>SUMIFS(TablaEgresos[[Valor]:[Valor]],TablaEgresos[[Categoría]:[Categoría]],$A45,TablaEgresos[[Mes]:[Mes]],I$51)</f>
        <v>0</v>
      </c>
      <c r="J89" s="36">
        <f>SUMIFS(TablaEgresos[[Valor]:[Valor]],TablaEgresos[[Categoría]:[Categoría]],$A45,TablaEgresos[[Mes]:[Mes]],J$51)</f>
        <v>0</v>
      </c>
      <c r="K89" s="36">
        <f>SUMIFS(TablaEgresos[[Valor]:[Valor]],TablaEgresos[[Categoría]:[Categoría]],$A45,TablaEgresos[[Mes]:[Mes]],K$51)</f>
        <v>0</v>
      </c>
      <c r="L89" s="36">
        <f>SUMIFS(TablaEgresos[[Valor]:[Valor]],TablaEgresos[[Categoría]:[Categoría]],$A45,TablaEgresos[[Mes]:[Mes]],L$51)</f>
        <v>0</v>
      </c>
      <c r="M89" s="36">
        <f>SUMIFS(TablaEgresos[[Valor]:[Valor]],TablaEgresos[[Categoría]:[Categoría]],$A45,TablaEgresos[[Mes]:[Mes]],M$51)</f>
        <v>0</v>
      </c>
      <c r="N89" s="36">
        <f>SUMIFS(TablaEgresos[[Valor]:[Valor]],TablaEgresos[[Categoría]:[Categoría]],$A45,TablaEgresos[[Mes]:[Mes]],N$51)</f>
        <v>0</v>
      </c>
      <c r="O89" s="36">
        <f>SUMIFS(TablaEgresos[[Valor]:[Valor]],TablaEgresos[[Categoría]:[Categoría]],$A45,TablaEgresos[[Mes]:[Mes]],O$51)</f>
        <v>0</v>
      </c>
      <c r="P89" s="36">
        <f>SUMIFS(TablaEgresos[[Valor]:[Valor]],TablaEgresos[[Categoría]:[Categoría]],$A45,TablaEgresos[[Mes]:[Mes]],P$51)</f>
        <v>0</v>
      </c>
      <c r="Q89" s="36">
        <f>SUMIFS(TablaEgresos[[Valor]:[Valor]],TablaEgresos[[Categoría]:[Categoría]],$A45,TablaEgresos[[Mes]:[Mes]],Q$51)</f>
        <v>0</v>
      </c>
      <c r="R89" s="36">
        <f>SUMIFS(TablaEgresos[[Valor]:[Valor]],TablaEgresos[[Categoría]:[Categoría]],$A45,TablaEgresos[[Mes]:[Mes]],R$51)</f>
        <v>0</v>
      </c>
      <c r="S89" s="36">
        <f>SUMIFS(TablaEgresos[[Valor]:[Valor]],TablaEgresos[[Categoría]:[Categoría]],$A45,TablaEgresos[[Mes]:[Mes]],S$51)</f>
        <v>0</v>
      </c>
      <c r="T89" s="36">
        <f>SUMIFS(TablaEgresos[[Valor]:[Valor]],TablaEgresos[[Categoría]:[Categoría]],$A45,TablaEgresos[[Mes]:[Mes]],T$51)</f>
        <v>0</v>
      </c>
      <c r="U89" s="36">
        <f>SUMIFS(TablaEgresos[[Valor]:[Valor]],TablaEgresos[[Categoría]:[Categoría]],$A45,TablaEgresos[[Mes]:[Mes]],U$51)</f>
        <v>0</v>
      </c>
      <c r="V89" s="36">
        <f>SUMIFS(TablaEgresos[[Valor]:[Valor]],TablaEgresos[[Categoría]:[Categoría]],$A45,TablaEgresos[[Mes]:[Mes]],V$51)</f>
        <v>0</v>
      </c>
      <c r="W89" s="36">
        <f>SUMIFS(TablaEgresos[[Valor]:[Valor]],TablaEgresos[[Categoría]:[Categoría]],$A45,TablaEgresos[[Mes]:[Mes]],W$51)</f>
        <v>0</v>
      </c>
    </row>
    <row r="90" spans="1:25" outlineLevel="1" x14ac:dyDescent="0.3">
      <c r="A90" t="str">
        <f t="shared" si="673"/>
        <v>Subtotal Otros</v>
      </c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</row>
    <row r="91" spans="1:25" outlineLevel="1" x14ac:dyDescent="0.3">
      <c r="A91" t="str">
        <f t="shared" si="673"/>
        <v>TOTAL</v>
      </c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</row>
    <row r="92" spans="1:25" outlineLevel="1" x14ac:dyDescent="0.3"/>
    <row r="93" spans="1:25" outlineLevel="1" x14ac:dyDescent="0.3">
      <c r="A93" s="141" t="s">
        <v>1191</v>
      </c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</row>
    <row r="94" spans="1:25" outlineLevel="1" x14ac:dyDescent="0.3">
      <c r="A94" s="142" t="s">
        <v>1192</v>
      </c>
      <c r="B94" s="143">
        <f>B$51</f>
        <v>46082</v>
      </c>
      <c r="C94" s="143">
        <f t="shared" ref="C94:W94" si="674">C$51</f>
        <v>46113</v>
      </c>
      <c r="D94" s="143">
        <f t="shared" si="674"/>
        <v>46143</v>
      </c>
      <c r="E94" s="143">
        <f t="shared" si="674"/>
        <v>46174</v>
      </c>
      <c r="F94" s="143">
        <f t="shared" si="674"/>
        <v>46204</v>
      </c>
      <c r="G94" s="143">
        <f t="shared" si="674"/>
        <v>46235</v>
      </c>
      <c r="H94" s="143">
        <f t="shared" si="674"/>
        <v>46266</v>
      </c>
      <c r="I94" s="143">
        <f t="shared" si="674"/>
        <v>46296</v>
      </c>
      <c r="J94" s="143">
        <f t="shared" si="674"/>
        <v>46327</v>
      </c>
      <c r="K94" s="143">
        <f t="shared" si="674"/>
        <v>46357</v>
      </c>
      <c r="L94" s="143">
        <f t="shared" si="674"/>
        <v>46388</v>
      </c>
      <c r="M94" s="143">
        <f t="shared" si="674"/>
        <v>46419</v>
      </c>
      <c r="N94" s="143">
        <f t="shared" si="674"/>
        <v>46447</v>
      </c>
      <c r="O94" s="143">
        <f t="shared" si="674"/>
        <v>46478</v>
      </c>
      <c r="P94" s="143">
        <f t="shared" si="674"/>
        <v>46508</v>
      </c>
      <c r="Q94" s="143">
        <f t="shared" si="674"/>
        <v>46539</v>
      </c>
      <c r="R94" s="143">
        <f t="shared" si="674"/>
        <v>46569</v>
      </c>
      <c r="S94" s="143">
        <f t="shared" si="674"/>
        <v>46600</v>
      </c>
      <c r="T94" s="143">
        <f t="shared" si="674"/>
        <v>46631</v>
      </c>
      <c r="U94" s="143">
        <f t="shared" si="674"/>
        <v>46661</v>
      </c>
      <c r="V94" s="143">
        <f t="shared" si="674"/>
        <v>46692</v>
      </c>
      <c r="W94" s="143">
        <f t="shared" si="674"/>
        <v>46722</v>
      </c>
      <c r="X94" s="142" t="s">
        <v>1193</v>
      </c>
      <c r="Y94" s="142" t="s">
        <v>1194</v>
      </c>
    </row>
    <row r="95" spans="1:25" outlineLevel="1" x14ac:dyDescent="0.3">
      <c r="A95" t="s">
        <v>1195</v>
      </c>
      <c r="B95" s="33">
        <f>SUMIFS(TablaEgresos[[Valor]:[Valor]],TablaEgresos[[Categoría]:[Categoría]],"Impuestos",TablaEgresos[[Descripción]:[Descripción]],"*GMF*",TablaEgresos[[Mes]:[Mes]],B$51)+SUMIFS(TablaEgresos[[Valor]:[Valor]],TablaEgresos[[Categoría]:[Categoría]],"Impuestos",TablaEgresos[[Descripción]:[Descripción]],"Impuesto 4x1000",TablaEgresos[[Mes]:[Mes]],B$51)</f>
        <v>8247.76</v>
      </c>
      <c r="C95" s="33">
        <f>SUMIFS(TablaEgresos[[Valor]:[Valor]],TablaEgresos[[Categoría]:[Categoría]],"Impuestos",TablaEgresos[[Descripción]:[Descripción]],"*GMF*",TablaEgresos[[Mes]:[Mes]],C$51)+SUMIFS(TablaEgresos[[Valor]:[Valor]],TablaEgresos[[Categoría]:[Categoría]],"Impuestos",TablaEgresos[[Descripción]:[Descripción]],"Impuesto 4x1000",TablaEgresos[[Mes]:[Mes]],C$51)</f>
        <v>741688.96</v>
      </c>
      <c r="D95" s="33">
        <f>SUMIFS(TablaEgresos[[Valor]:[Valor]],TablaEgresos[[Categoría]:[Categoría]],"Impuestos",TablaEgresos[[Descripción]:[Descripción]],"*GMF*",TablaEgresos[[Mes]:[Mes]],D$51)+SUMIFS(TablaEgresos[[Valor]:[Valor]],TablaEgresos[[Categoría]:[Categoría]],"Impuestos",TablaEgresos[[Descripción]:[Descripción]],"Impuesto 4x1000",TablaEgresos[[Mes]:[Mes]],D$51)</f>
        <v>316127.27</v>
      </c>
      <c r="E95" s="33">
        <f>SUMIFS(TablaEgresos[[Valor]:[Valor]],TablaEgresos[[Categoría]:[Categoría]],"Impuestos",TablaEgresos[[Descripción]:[Descripción]],"*GMF*",TablaEgresos[[Mes]:[Mes]],E$51)+SUMIFS(TablaEgresos[[Valor]:[Valor]],TablaEgresos[[Categoría]:[Categoría]],"Impuestos",TablaEgresos[[Descripción]:[Descripción]],"Impuesto 4x1000",TablaEgresos[[Mes]:[Mes]],E$51)</f>
        <v>763822.02</v>
      </c>
      <c r="F95" s="33">
        <f>SUMIFS(TablaEgresos[[Valor]:[Valor]],TablaEgresos[[Categoría]:[Categoría]],"Impuestos",TablaEgresos[[Descripción]:[Descripción]],"*GMF*",TablaEgresos[[Mes]:[Mes]],F$51)+SUMIFS(TablaEgresos[[Valor]:[Valor]],TablaEgresos[[Categoría]:[Categoría]],"Impuestos",TablaEgresos[[Descripción]:[Descripción]],"Impuesto 4x1000",TablaEgresos[[Mes]:[Mes]],F$51)</f>
        <v>853589.72</v>
      </c>
      <c r="G95" s="33">
        <f>SUMIFS(TablaEgresos[[Valor]:[Valor]],TablaEgresos[[Categoría]:[Categoría]],"Impuestos",TablaEgresos[[Descripción]:[Descripción]],"*GMF*",TablaEgresos[[Mes]:[Mes]],G$51)+SUMIFS(TablaEgresos[[Valor]:[Valor]],TablaEgresos[[Categoría]:[Categoría]],"Impuestos",TablaEgresos[[Descripción]:[Descripción]],"Impuesto 4x1000",TablaEgresos[[Mes]:[Mes]],G$51)</f>
        <v>0</v>
      </c>
      <c r="H95" s="33">
        <f>SUMIFS(TablaEgresos[[Valor]:[Valor]],TablaEgresos[[Categoría]:[Categoría]],"Impuestos",TablaEgresos[[Descripción]:[Descripción]],"*GMF*",TablaEgresos[[Mes]:[Mes]],H$51)+SUMIFS(TablaEgresos[[Valor]:[Valor]],TablaEgresos[[Categoría]:[Categoría]],"Impuestos",TablaEgresos[[Descripción]:[Descripción]],"Impuesto 4x1000",TablaEgresos[[Mes]:[Mes]],H$51)</f>
        <v>0</v>
      </c>
      <c r="I95" s="33">
        <f>SUMIFS(TablaEgresos[[Valor]:[Valor]],TablaEgresos[[Categoría]:[Categoría]],"Impuestos",TablaEgresos[[Descripción]:[Descripción]],"*GMF*",TablaEgresos[[Mes]:[Mes]],I$51)+SUMIFS(TablaEgresos[[Valor]:[Valor]],TablaEgresos[[Categoría]:[Categoría]],"Impuestos",TablaEgresos[[Descripción]:[Descripción]],"Impuesto 4x1000",TablaEgresos[[Mes]:[Mes]],I$51)</f>
        <v>0</v>
      </c>
      <c r="J95" s="33">
        <f>SUMIFS(TablaEgresos[[Valor]:[Valor]],TablaEgresos[[Categoría]:[Categoría]],"Impuestos",TablaEgresos[[Descripción]:[Descripción]],"*GMF*",TablaEgresos[[Mes]:[Mes]],J$51)+SUMIFS(TablaEgresos[[Valor]:[Valor]],TablaEgresos[[Categoría]:[Categoría]],"Impuestos",TablaEgresos[[Descripción]:[Descripción]],"Impuesto 4x1000",TablaEgresos[[Mes]:[Mes]],J$51)</f>
        <v>0</v>
      </c>
      <c r="K95" s="33">
        <f>SUMIFS(TablaEgresos[[Valor]:[Valor]],TablaEgresos[[Categoría]:[Categoría]],"Impuestos",TablaEgresos[[Descripción]:[Descripción]],"*GMF*",TablaEgresos[[Mes]:[Mes]],K$51)+SUMIFS(TablaEgresos[[Valor]:[Valor]],TablaEgresos[[Categoría]:[Categoría]],"Impuestos",TablaEgresos[[Descripción]:[Descripción]],"Impuesto 4x1000",TablaEgresos[[Mes]:[Mes]],K$51)</f>
        <v>0</v>
      </c>
      <c r="L95" s="33">
        <f>SUMIFS(TablaEgresos[[Valor]:[Valor]],TablaEgresos[[Categoría]:[Categoría]],"Impuestos",TablaEgresos[[Descripción]:[Descripción]],"*GMF*",TablaEgresos[[Mes]:[Mes]],L$51)+SUMIFS(TablaEgresos[[Valor]:[Valor]],TablaEgresos[[Categoría]:[Categoría]],"Impuestos",TablaEgresos[[Descripción]:[Descripción]],"Impuesto 4x1000",TablaEgresos[[Mes]:[Mes]],L$51)</f>
        <v>0</v>
      </c>
      <c r="M95" s="33">
        <f>SUMIFS(TablaEgresos[[Valor]:[Valor]],TablaEgresos[[Categoría]:[Categoría]],"Impuestos",TablaEgresos[[Descripción]:[Descripción]],"*GMF*",TablaEgresos[[Mes]:[Mes]],M$51)+SUMIFS(TablaEgresos[[Valor]:[Valor]],TablaEgresos[[Categoría]:[Categoría]],"Impuestos",TablaEgresos[[Descripción]:[Descripción]],"Impuesto 4x1000",TablaEgresos[[Mes]:[Mes]],M$51)</f>
        <v>0</v>
      </c>
      <c r="N95" s="33">
        <f>SUMIFS(TablaEgresos[[Valor]:[Valor]],TablaEgresos[[Categoría]:[Categoría]],"Impuestos",TablaEgresos[[Descripción]:[Descripción]],"*GMF*",TablaEgresos[[Mes]:[Mes]],N$51)+SUMIFS(TablaEgresos[[Valor]:[Valor]],TablaEgresos[[Categoría]:[Categoría]],"Impuestos",TablaEgresos[[Descripción]:[Descripción]],"Impuesto 4x1000",TablaEgresos[[Mes]:[Mes]],N$51)</f>
        <v>0</v>
      </c>
      <c r="O95" s="33">
        <f>SUMIFS(TablaEgresos[[Valor]:[Valor]],TablaEgresos[[Categoría]:[Categoría]],"Impuestos",TablaEgresos[[Descripción]:[Descripción]],"*GMF*",TablaEgresos[[Mes]:[Mes]],O$51)+SUMIFS(TablaEgresos[[Valor]:[Valor]],TablaEgresos[[Categoría]:[Categoría]],"Impuestos",TablaEgresos[[Descripción]:[Descripción]],"Impuesto 4x1000",TablaEgresos[[Mes]:[Mes]],O$51)</f>
        <v>0</v>
      </c>
      <c r="P95" s="33">
        <f>SUMIFS(TablaEgresos[[Valor]:[Valor]],TablaEgresos[[Categoría]:[Categoría]],"Impuestos",TablaEgresos[[Descripción]:[Descripción]],"*GMF*",TablaEgresos[[Mes]:[Mes]],P$51)+SUMIFS(TablaEgresos[[Valor]:[Valor]],TablaEgresos[[Categoría]:[Categoría]],"Impuestos",TablaEgresos[[Descripción]:[Descripción]],"Impuesto 4x1000",TablaEgresos[[Mes]:[Mes]],P$51)</f>
        <v>0</v>
      </c>
      <c r="Q95" s="33">
        <f>SUMIFS(TablaEgresos[[Valor]:[Valor]],TablaEgresos[[Categoría]:[Categoría]],"Impuestos",TablaEgresos[[Descripción]:[Descripción]],"*GMF*",TablaEgresos[[Mes]:[Mes]],Q$51)+SUMIFS(TablaEgresos[[Valor]:[Valor]],TablaEgresos[[Categoría]:[Categoría]],"Impuestos",TablaEgresos[[Descripción]:[Descripción]],"Impuesto 4x1000",TablaEgresos[[Mes]:[Mes]],Q$51)</f>
        <v>0</v>
      </c>
      <c r="R95" s="33">
        <f>SUMIFS(TablaEgresos[[Valor]:[Valor]],TablaEgresos[[Categoría]:[Categoría]],"Impuestos",TablaEgresos[[Descripción]:[Descripción]],"*GMF*",TablaEgresos[[Mes]:[Mes]],R$51)+SUMIFS(TablaEgresos[[Valor]:[Valor]],TablaEgresos[[Categoría]:[Categoría]],"Impuestos",TablaEgresos[[Descripción]:[Descripción]],"Impuesto 4x1000",TablaEgresos[[Mes]:[Mes]],R$51)</f>
        <v>0</v>
      </c>
      <c r="S95" s="33">
        <f>SUMIFS(TablaEgresos[[Valor]:[Valor]],TablaEgresos[[Categoría]:[Categoría]],"Impuestos",TablaEgresos[[Descripción]:[Descripción]],"*GMF*",TablaEgresos[[Mes]:[Mes]],S$51)+SUMIFS(TablaEgresos[[Valor]:[Valor]],TablaEgresos[[Categoría]:[Categoría]],"Impuestos",TablaEgresos[[Descripción]:[Descripción]],"Impuesto 4x1000",TablaEgresos[[Mes]:[Mes]],S$51)</f>
        <v>0</v>
      </c>
      <c r="T95" s="33">
        <f>SUMIFS(TablaEgresos[[Valor]:[Valor]],TablaEgresos[[Categoría]:[Categoría]],"Impuestos",TablaEgresos[[Descripción]:[Descripción]],"*GMF*",TablaEgresos[[Mes]:[Mes]],T$51)+SUMIFS(TablaEgresos[[Valor]:[Valor]],TablaEgresos[[Categoría]:[Categoría]],"Impuestos",TablaEgresos[[Descripción]:[Descripción]],"Impuesto 4x1000",TablaEgresos[[Mes]:[Mes]],T$51)</f>
        <v>0</v>
      </c>
      <c r="U95" s="33">
        <f>SUMIFS(TablaEgresos[[Valor]:[Valor]],TablaEgresos[[Categoría]:[Categoría]],"Impuestos",TablaEgresos[[Descripción]:[Descripción]],"*GMF*",TablaEgresos[[Mes]:[Mes]],U$51)+SUMIFS(TablaEgresos[[Valor]:[Valor]],TablaEgresos[[Categoría]:[Categoría]],"Impuestos",TablaEgresos[[Descripción]:[Descripción]],"Impuesto 4x1000",TablaEgresos[[Mes]:[Mes]],U$51)</f>
        <v>0</v>
      </c>
      <c r="V95" s="33">
        <f>SUMIFS(TablaEgresos[[Valor]:[Valor]],TablaEgresos[[Categoría]:[Categoría]],"Impuestos",TablaEgresos[[Descripción]:[Descripción]],"*GMF*",TablaEgresos[[Mes]:[Mes]],V$51)+SUMIFS(TablaEgresos[[Valor]:[Valor]],TablaEgresos[[Categoría]:[Categoría]],"Impuestos",TablaEgresos[[Descripción]:[Descripción]],"Impuesto 4x1000",TablaEgresos[[Mes]:[Mes]],V$51)</f>
        <v>0</v>
      </c>
      <c r="W95" s="33">
        <f>SUMIFS(TablaEgresos[[Valor]:[Valor]],TablaEgresos[[Categoría]:[Categoría]],"Impuestos",TablaEgresos[[Descripción]:[Descripción]],"*GMF*",TablaEgresos[[Mes]:[Mes]],W$51)+SUMIFS(TablaEgresos[[Valor]:[Valor]],TablaEgresos[[Categoría]:[Categoría]],"Impuestos",TablaEgresos[[Descripción]:[Descripción]],"Impuesto 4x1000",TablaEgresos[[Mes]:[Mes]],W$51)</f>
        <v>0</v>
      </c>
      <c r="X95" s="37">
        <f>SUM(B95:W95)</f>
        <v>2683475.73</v>
      </c>
      <c r="Y95" s="11">
        <f>IF($X$98=0,"",X95/$X$98)</f>
        <v>0.97708239523988105</v>
      </c>
    </row>
    <row r="96" spans="1:25" outlineLevel="1" x14ac:dyDescent="0.3">
      <c r="A96" t="s">
        <v>1196</v>
      </c>
      <c r="B96" s="33">
        <f>SUMIFS(TablaEgresos[[Valor]:[Valor]],TablaEgresos[[Categoría]:[Categoría]],"Impuestos",TablaEgresos[[Descripción]:[Descripción]],"*IVA*",TablaEgresos[[Mes]:[Mes]],B$51)</f>
        <v>0</v>
      </c>
      <c r="C96" s="33">
        <f>SUMIFS(TablaEgresos[[Valor]:[Valor]],TablaEgresos[[Categoría]:[Categoría]],"Impuestos",TablaEgresos[[Descripción]:[Descripción]],"*IVA*",TablaEgresos[[Mes]:[Mes]],C$51)</f>
        <v>4523.5200000000004</v>
      </c>
      <c r="D96" s="33">
        <f>SUMIFS(TablaEgresos[[Valor]:[Valor]],TablaEgresos[[Categoría]:[Categoría]],"Impuestos",TablaEgresos[[Descripción]:[Descripción]],"*IVA*",TablaEgresos[[Mes]:[Mes]],D$51)</f>
        <v>3799.24</v>
      </c>
      <c r="E96" s="33">
        <f>SUMIFS(TablaEgresos[[Valor]:[Valor]],TablaEgresos[[Categoría]:[Categoría]],"Impuestos",TablaEgresos[[Descripción]:[Descripción]],"*IVA*",TablaEgresos[[Mes]:[Mes]],E$51)</f>
        <v>11170.29</v>
      </c>
      <c r="F96" s="33">
        <f>SUMIFS(TablaEgresos[[Valor]:[Valor]],TablaEgresos[[Categoría]:[Categoría]],"Impuestos",TablaEgresos[[Descripción]:[Descripción]],"*IVA*",TablaEgresos[[Mes]:[Mes]],F$51)</f>
        <v>5642.55</v>
      </c>
      <c r="G96" s="33">
        <f>SUMIFS(TablaEgresos[[Valor]:[Valor]],TablaEgresos[[Categoría]:[Categoría]],"Impuestos",TablaEgresos[[Descripción]:[Descripción]],"*IVA*",TablaEgresos[[Mes]:[Mes]],G$51)</f>
        <v>0</v>
      </c>
      <c r="H96" s="33">
        <f>SUMIFS(TablaEgresos[[Valor]:[Valor]],TablaEgresos[[Categoría]:[Categoría]],"Impuestos",TablaEgresos[[Descripción]:[Descripción]],"*IVA*",TablaEgresos[[Mes]:[Mes]],H$51)</f>
        <v>0</v>
      </c>
      <c r="I96" s="33">
        <f>SUMIFS(TablaEgresos[[Valor]:[Valor]],TablaEgresos[[Categoría]:[Categoría]],"Impuestos",TablaEgresos[[Descripción]:[Descripción]],"*IVA*",TablaEgresos[[Mes]:[Mes]],I$51)</f>
        <v>0</v>
      </c>
      <c r="J96" s="33">
        <f>SUMIFS(TablaEgresos[[Valor]:[Valor]],TablaEgresos[[Categoría]:[Categoría]],"Impuestos",TablaEgresos[[Descripción]:[Descripción]],"*IVA*",TablaEgresos[[Mes]:[Mes]],J$51)</f>
        <v>0</v>
      </c>
      <c r="K96" s="33">
        <f>SUMIFS(TablaEgresos[[Valor]:[Valor]],TablaEgresos[[Categoría]:[Categoría]],"Impuestos",TablaEgresos[[Descripción]:[Descripción]],"*IVA*",TablaEgresos[[Mes]:[Mes]],K$51)</f>
        <v>0</v>
      </c>
      <c r="L96" s="33">
        <f>SUMIFS(TablaEgresos[[Valor]:[Valor]],TablaEgresos[[Categoría]:[Categoría]],"Impuestos",TablaEgresos[[Descripción]:[Descripción]],"*IVA*",TablaEgresos[[Mes]:[Mes]],L$51)</f>
        <v>0</v>
      </c>
      <c r="M96" s="33">
        <f>SUMIFS(TablaEgresos[[Valor]:[Valor]],TablaEgresos[[Categoría]:[Categoría]],"Impuestos",TablaEgresos[[Descripción]:[Descripción]],"*IVA*",TablaEgresos[[Mes]:[Mes]],M$51)</f>
        <v>0</v>
      </c>
      <c r="N96" s="33">
        <f>SUMIFS(TablaEgresos[[Valor]:[Valor]],TablaEgresos[[Categoría]:[Categoría]],"Impuestos",TablaEgresos[[Descripción]:[Descripción]],"*IVA*",TablaEgresos[[Mes]:[Mes]],N$51)</f>
        <v>0</v>
      </c>
      <c r="O96" s="33">
        <f>SUMIFS(TablaEgresos[[Valor]:[Valor]],TablaEgresos[[Categoría]:[Categoría]],"Impuestos",TablaEgresos[[Descripción]:[Descripción]],"*IVA*",TablaEgresos[[Mes]:[Mes]],O$51)</f>
        <v>0</v>
      </c>
      <c r="P96" s="33">
        <f>SUMIFS(TablaEgresos[[Valor]:[Valor]],TablaEgresos[[Categoría]:[Categoría]],"Impuestos",TablaEgresos[[Descripción]:[Descripción]],"*IVA*",TablaEgresos[[Mes]:[Mes]],P$51)</f>
        <v>0</v>
      </c>
      <c r="Q96" s="33">
        <f>SUMIFS(TablaEgresos[[Valor]:[Valor]],TablaEgresos[[Categoría]:[Categoría]],"Impuestos",TablaEgresos[[Descripción]:[Descripción]],"*IVA*",TablaEgresos[[Mes]:[Mes]],Q$51)</f>
        <v>0</v>
      </c>
      <c r="R96" s="33">
        <f>SUMIFS(TablaEgresos[[Valor]:[Valor]],TablaEgresos[[Categoría]:[Categoría]],"Impuestos",TablaEgresos[[Descripción]:[Descripción]],"*IVA*",TablaEgresos[[Mes]:[Mes]],R$51)</f>
        <v>0</v>
      </c>
      <c r="S96" s="33">
        <f>SUMIFS(TablaEgresos[[Valor]:[Valor]],TablaEgresos[[Categoría]:[Categoría]],"Impuestos",TablaEgresos[[Descripción]:[Descripción]],"*IVA*",TablaEgresos[[Mes]:[Mes]],S$51)</f>
        <v>0</v>
      </c>
      <c r="T96" s="33">
        <f>SUMIFS(TablaEgresos[[Valor]:[Valor]],TablaEgresos[[Categoría]:[Categoría]],"Impuestos",TablaEgresos[[Descripción]:[Descripción]],"*IVA*",TablaEgresos[[Mes]:[Mes]],T$51)</f>
        <v>0</v>
      </c>
      <c r="U96" s="33">
        <f>SUMIFS(TablaEgresos[[Valor]:[Valor]],TablaEgresos[[Categoría]:[Categoría]],"Impuestos",TablaEgresos[[Descripción]:[Descripción]],"*IVA*",TablaEgresos[[Mes]:[Mes]],U$51)</f>
        <v>0</v>
      </c>
      <c r="V96" s="33">
        <f>SUMIFS(TablaEgresos[[Valor]:[Valor]],TablaEgresos[[Categoría]:[Categoría]],"Impuestos",TablaEgresos[[Descripción]:[Descripción]],"*IVA*",TablaEgresos[[Mes]:[Mes]],V$51)</f>
        <v>0</v>
      </c>
      <c r="W96" s="33">
        <f>SUMIFS(TablaEgresos[[Valor]:[Valor]],TablaEgresos[[Categoría]:[Categoría]],"Impuestos",TablaEgresos[[Descripción]:[Descripción]],"*IVA*",TablaEgresos[[Mes]:[Mes]],W$51)</f>
        <v>0</v>
      </c>
      <c r="X96" s="37">
        <f t="shared" ref="X96:X98" si="675">SUM(B96:W96)</f>
        <v>25135.600000000002</v>
      </c>
      <c r="Y96" s="11">
        <f t="shared" ref="Y96:Y98" si="676">IF($X$98=0,"",X96/$X$98)</f>
        <v>9.1521424916302697E-3</v>
      </c>
    </row>
    <row r="97" spans="1:25" outlineLevel="1" x14ac:dyDescent="0.3">
      <c r="A97" t="s">
        <v>1197</v>
      </c>
      <c r="B97" s="33">
        <f>SUMIFS(TablaEgresos[[Valor]:[Valor]],TablaEgresos[[Categoría]:[Categoría]],"Impuestos",TablaEgresos[[Mes]:[Mes]],B$51)-B95-B96</f>
        <v>0</v>
      </c>
      <c r="C97" s="33">
        <f>SUMIFS(TablaEgresos[[Valor]:[Valor]],TablaEgresos[[Categoría]:[Categoría]],"Impuestos",TablaEgresos[[Mes]:[Mes]],C$51)-C95-C96</f>
        <v>1.8189894035458565E-11</v>
      </c>
      <c r="D97" s="33">
        <f>SUMIFS(TablaEgresos[[Valor]:[Valor]],TablaEgresos[[Categoría]:[Categoría]],"Impuestos",TablaEgresos[[Mes]:[Mes]],D$51)-D95-D96</f>
        <v>37805.700000000004</v>
      </c>
      <c r="E97" s="33">
        <f>SUMIFS(TablaEgresos[[Valor]:[Valor]],TablaEgresos[[Categoría]:[Categoría]],"Impuestos",TablaEgresos[[Mes]:[Mes]],E$51)-E95-E96</f>
        <v>3.637978807091713E-11</v>
      </c>
      <c r="F97" s="33">
        <f>SUMIFS(TablaEgresos[[Valor]:[Valor]],TablaEgresos[[Categoría]:[Categoría]],"Impuestos",TablaEgresos[[Mes]:[Mes]],F$51)-F95-F96</f>
        <v>-7.0031092036515474E-11</v>
      </c>
      <c r="G97" s="33">
        <f>SUMIFS(TablaEgresos[[Valor]:[Valor]],TablaEgresos[[Categoría]:[Categoría]],"Impuestos",TablaEgresos[[Mes]:[Mes]],G$51)-G95-G96</f>
        <v>0</v>
      </c>
      <c r="H97" s="33">
        <f>SUMIFS(TablaEgresos[[Valor]:[Valor]],TablaEgresos[[Categoría]:[Categoría]],"Impuestos",TablaEgresos[[Mes]:[Mes]],H$51)-H95-H96</f>
        <v>0</v>
      </c>
      <c r="I97" s="33">
        <f>SUMIFS(TablaEgresos[[Valor]:[Valor]],TablaEgresos[[Categoría]:[Categoría]],"Impuestos",TablaEgresos[[Mes]:[Mes]],I$51)-I95-I96</f>
        <v>0</v>
      </c>
      <c r="J97" s="33">
        <f>SUMIFS(TablaEgresos[[Valor]:[Valor]],TablaEgresos[[Categoría]:[Categoría]],"Impuestos",TablaEgresos[[Mes]:[Mes]],J$51)-J95-J96</f>
        <v>0</v>
      </c>
      <c r="K97" s="33">
        <f>SUMIFS(TablaEgresos[[Valor]:[Valor]],TablaEgresos[[Categoría]:[Categoría]],"Impuestos",TablaEgresos[[Mes]:[Mes]],K$51)-K95-K96</f>
        <v>0</v>
      </c>
      <c r="L97" s="33">
        <f>SUMIFS(TablaEgresos[[Valor]:[Valor]],TablaEgresos[[Categoría]:[Categoría]],"Impuestos",TablaEgresos[[Mes]:[Mes]],L$51)-L95-L96</f>
        <v>0</v>
      </c>
      <c r="M97" s="33">
        <f>SUMIFS(TablaEgresos[[Valor]:[Valor]],TablaEgresos[[Categoría]:[Categoría]],"Impuestos",TablaEgresos[[Mes]:[Mes]],M$51)-M95-M96</f>
        <v>0</v>
      </c>
      <c r="N97" s="33">
        <f>SUMIFS(TablaEgresos[[Valor]:[Valor]],TablaEgresos[[Categoría]:[Categoría]],"Impuestos",TablaEgresos[[Mes]:[Mes]],N$51)-N95-N96</f>
        <v>0</v>
      </c>
      <c r="O97" s="33">
        <f>SUMIFS(TablaEgresos[[Valor]:[Valor]],TablaEgresos[[Categoría]:[Categoría]],"Impuestos",TablaEgresos[[Mes]:[Mes]],O$51)-O95-O96</f>
        <v>0</v>
      </c>
      <c r="P97" s="33">
        <f>SUMIFS(TablaEgresos[[Valor]:[Valor]],TablaEgresos[[Categoría]:[Categoría]],"Impuestos",TablaEgresos[[Mes]:[Mes]],P$51)-P95-P96</f>
        <v>0</v>
      </c>
      <c r="Q97" s="33">
        <f>SUMIFS(TablaEgresos[[Valor]:[Valor]],TablaEgresos[[Categoría]:[Categoría]],"Impuestos",TablaEgresos[[Mes]:[Mes]],Q$51)-Q95-Q96</f>
        <v>0</v>
      </c>
      <c r="R97" s="33">
        <f>SUMIFS(TablaEgresos[[Valor]:[Valor]],TablaEgresos[[Categoría]:[Categoría]],"Impuestos",TablaEgresos[[Mes]:[Mes]],R$51)-R95-R96</f>
        <v>0</v>
      </c>
      <c r="S97" s="33">
        <f>SUMIFS(TablaEgresos[[Valor]:[Valor]],TablaEgresos[[Categoría]:[Categoría]],"Impuestos",TablaEgresos[[Mes]:[Mes]],S$51)-S95-S96</f>
        <v>0</v>
      </c>
      <c r="T97" s="33">
        <f>SUMIFS(TablaEgresos[[Valor]:[Valor]],TablaEgresos[[Categoría]:[Categoría]],"Impuestos",TablaEgresos[[Mes]:[Mes]],T$51)-T95-T96</f>
        <v>0</v>
      </c>
      <c r="U97" s="33">
        <f>SUMIFS(TablaEgresos[[Valor]:[Valor]],TablaEgresos[[Categoría]:[Categoría]],"Impuestos",TablaEgresos[[Mes]:[Mes]],U$51)-U95-U96</f>
        <v>0</v>
      </c>
      <c r="V97" s="33">
        <f>SUMIFS(TablaEgresos[[Valor]:[Valor]],TablaEgresos[[Categoría]:[Categoría]],"Impuestos",TablaEgresos[[Mes]:[Mes]],V$51)-V95-V96</f>
        <v>0</v>
      </c>
      <c r="W97" s="33">
        <f>SUMIFS(TablaEgresos[[Valor]:[Valor]],TablaEgresos[[Categoría]:[Categoría]],"Impuestos",TablaEgresos[[Mes]:[Mes]],W$51)-W95-W96</f>
        <v>0</v>
      </c>
      <c r="X97" s="37">
        <f t="shared" si="675"/>
        <v>37805.69999999999</v>
      </c>
      <c r="Y97" s="11">
        <f t="shared" si="676"/>
        <v>1.376546226848877E-2</v>
      </c>
    </row>
    <row r="98" spans="1:25" outlineLevel="1" x14ac:dyDescent="0.3">
      <c r="A98" s="12" t="s">
        <v>1198</v>
      </c>
      <c r="B98" s="34">
        <f>SUM(B95:B97)</f>
        <v>8247.76</v>
      </c>
      <c r="C98" s="34">
        <f t="shared" ref="C98:W98" si="677">SUM(C95:C97)</f>
        <v>746212.48</v>
      </c>
      <c r="D98" s="34">
        <f t="shared" si="677"/>
        <v>357732.21</v>
      </c>
      <c r="E98" s="34">
        <f t="shared" si="677"/>
        <v>774992.31</v>
      </c>
      <c r="F98" s="34">
        <f t="shared" si="677"/>
        <v>859232.2699999999</v>
      </c>
      <c r="G98" s="34">
        <f t="shared" si="677"/>
        <v>0</v>
      </c>
      <c r="H98" s="34">
        <f t="shared" si="677"/>
        <v>0</v>
      </c>
      <c r="I98" s="34">
        <f t="shared" si="677"/>
        <v>0</v>
      </c>
      <c r="J98" s="34">
        <f t="shared" si="677"/>
        <v>0</v>
      </c>
      <c r="K98" s="34">
        <f t="shared" si="677"/>
        <v>0</v>
      </c>
      <c r="L98" s="34">
        <f t="shared" si="677"/>
        <v>0</v>
      </c>
      <c r="M98" s="34">
        <f t="shared" si="677"/>
        <v>0</v>
      </c>
      <c r="N98" s="34">
        <f t="shared" si="677"/>
        <v>0</v>
      </c>
      <c r="O98" s="34">
        <f t="shared" si="677"/>
        <v>0</v>
      </c>
      <c r="P98" s="34">
        <f t="shared" si="677"/>
        <v>0</v>
      </c>
      <c r="Q98" s="34">
        <f t="shared" si="677"/>
        <v>0</v>
      </c>
      <c r="R98" s="34">
        <f t="shared" si="677"/>
        <v>0</v>
      </c>
      <c r="S98" s="34">
        <f t="shared" si="677"/>
        <v>0</v>
      </c>
      <c r="T98" s="34">
        <f t="shared" si="677"/>
        <v>0</v>
      </c>
      <c r="U98" s="34">
        <f t="shared" si="677"/>
        <v>0</v>
      </c>
      <c r="V98" s="34">
        <f t="shared" si="677"/>
        <v>0</v>
      </c>
      <c r="W98" s="34">
        <f t="shared" si="677"/>
        <v>0</v>
      </c>
      <c r="X98" s="34">
        <f t="shared" si="675"/>
        <v>2746417.03</v>
      </c>
      <c r="Y98" s="13">
        <f t="shared" si="676"/>
        <v>1</v>
      </c>
    </row>
    <row r="101" spans="1:25" x14ac:dyDescent="0.3">
      <c r="A101" s="38" t="s">
        <v>1199</v>
      </c>
    </row>
    <row r="102" spans="1:25" x14ac:dyDescent="0.3">
      <c r="A102" s="39" t="str">
        <f>A7</f>
        <v>Producto</v>
      </c>
    </row>
    <row r="103" spans="1:25" x14ac:dyDescent="0.3">
      <c r="A103" s="39" t="str">
        <f>A8</f>
        <v>SOAT/Matrículas</v>
      </c>
    </row>
    <row r="104" spans="1:25" x14ac:dyDescent="0.3">
      <c r="A104" s="39" t="str">
        <f>A9</f>
        <v>Seguros (Hunter)</v>
      </c>
    </row>
    <row r="105" spans="1:25" x14ac:dyDescent="0.3">
      <c r="A105" s="39" t="str">
        <f t="shared" ref="A105:A115" si="678">A12</f>
        <v>Arriendos</v>
      </c>
    </row>
    <row r="106" spans="1:25" x14ac:dyDescent="0.3">
      <c r="A106" s="39" t="str">
        <f t="shared" si="678"/>
        <v>Tecnología y software</v>
      </c>
    </row>
    <row r="107" spans="1:25" x14ac:dyDescent="0.3">
      <c r="A107" s="39" t="str">
        <f t="shared" si="678"/>
        <v>Mobiliario/planta/equipo</v>
      </c>
    </row>
    <row r="108" spans="1:25" x14ac:dyDescent="0.3">
      <c r="A108" s="39" t="str">
        <f t="shared" si="678"/>
        <v>Servicios públicos y telecom</v>
      </c>
    </row>
    <row r="109" spans="1:25" x14ac:dyDescent="0.3">
      <c r="A109" s="39" t="str">
        <f t="shared" si="678"/>
        <v>Mercado y aseo</v>
      </c>
    </row>
    <row r="110" spans="1:25" x14ac:dyDescent="0.3">
      <c r="A110" s="39" t="str">
        <f t="shared" si="678"/>
        <v>Cafetería</v>
      </c>
    </row>
    <row r="111" spans="1:25" x14ac:dyDescent="0.3">
      <c r="A111" s="39" t="str">
        <f t="shared" si="678"/>
        <v>Transporte/peajes/combustible/parqueo</v>
      </c>
    </row>
    <row r="112" spans="1:25" x14ac:dyDescent="0.3">
      <c r="A112" s="39" t="str">
        <f t="shared" si="678"/>
        <v>Papelería</v>
      </c>
    </row>
    <row r="113" spans="1:1" x14ac:dyDescent="0.3">
      <c r="A113" s="39" t="str">
        <f t="shared" si="678"/>
        <v>Marketing y publicidad</v>
      </c>
    </row>
    <row r="114" spans="1:1" x14ac:dyDescent="0.3">
      <c r="A114" s="39" t="str">
        <f t="shared" si="678"/>
        <v>Gastos de representación</v>
      </c>
    </row>
    <row r="115" spans="1:1" x14ac:dyDescent="0.3">
      <c r="A115" s="39" t="str">
        <f t="shared" si="678"/>
        <v>Renting</v>
      </c>
    </row>
    <row r="116" spans="1:1" x14ac:dyDescent="0.3">
      <c r="A116" s="39" t="str">
        <f t="shared" ref="A116:A121" si="679">A25</f>
        <v>Sueldos empleados</v>
      </c>
    </row>
    <row r="117" spans="1:1" x14ac:dyDescent="0.3">
      <c r="A117" s="39" t="str">
        <f t="shared" si="679"/>
        <v>Sueldos directivos</v>
      </c>
    </row>
    <row r="118" spans="1:1" x14ac:dyDescent="0.3">
      <c r="A118" s="39" t="str">
        <f t="shared" si="679"/>
        <v>Bonificaciones</v>
      </c>
    </row>
    <row r="119" spans="1:1" x14ac:dyDescent="0.3">
      <c r="A119" s="39" t="str">
        <f t="shared" si="679"/>
        <v>Beneficios Heads</v>
      </c>
    </row>
    <row r="120" spans="1:1" x14ac:dyDescent="0.3">
      <c r="A120" s="39" t="str">
        <f t="shared" si="679"/>
        <v>Planillas nuevas</v>
      </c>
    </row>
    <row r="121" spans="1:1" x14ac:dyDescent="0.3">
      <c r="A121" s="39" t="str">
        <f t="shared" si="679"/>
        <v>Planillas anteriores</v>
      </c>
    </row>
    <row r="122" spans="1:1" x14ac:dyDescent="0.3">
      <c r="A122" s="39" t="str">
        <f>A33</f>
        <v>Préstamos</v>
      </c>
    </row>
    <row r="123" spans="1:1" x14ac:dyDescent="0.3">
      <c r="A123" s="39" t="str">
        <f>A34</f>
        <v>Deudas tarjetas de crédito</v>
      </c>
    </row>
    <row r="124" spans="1:1" x14ac:dyDescent="0.3">
      <c r="A124" s="39" t="str">
        <f>A35</f>
        <v>Garantía cupo</v>
      </c>
    </row>
    <row r="125" spans="1:1" x14ac:dyDescent="0.3">
      <c r="A125" s="39" t="str">
        <f>A36</f>
        <v>Deudas impuestos</v>
      </c>
    </row>
    <row r="126" spans="1:1" x14ac:dyDescent="0.3">
      <c r="A126" s="39" t="str">
        <f>A37</f>
        <v>Deudas proveedores anteriores</v>
      </c>
    </row>
    <row r="127" spans="1:1" x14ac:dyDescent="0.3">
      <c r="A127" s="39" t="str">
        <f t="shared" ref="A127:A132" si="680">A40</f>
        <v>Otros gastos</v>
      </c>
    </row>
    <row r="128" spans="1:1" x14ac:dyDescent="0.3">
      <c r="A128" s="39" t="str">
        <f t="shared" si="680"/>
        <v>Gastos notariales</v>
      </c>
    </row>
    <row r="129" spans="1:1" x14ac:dyDescent="0.3">
      <c r="A129" s="39" t="str">
        <f t="shared" si="680"/>
        <v>Gastos bancarios</v>
      </c>
    </row>
    <row r="130" spans="1:1" x14ac:dyDescent="0.3">
      <c r="A130" s="39" t="str">
        <f t="shared" si="680"/>
        <v>Gastos financieros</v>
      </c>
    </row>
    <row r="131" spans="1:1" x14ac:dyDescent="0.3">
      <c r="A131" s="39" t="str">
        <f t="shared" si="680"/>
        <v>Impuestos</v>
      </c>
    </row>
    <row r="132" spans="1:1" x14ac:dyDescent="0.3">
      <c r="A132" s="39" t="str">
        <f t="shared" si="680"/>
        <v>Por clasificar</v>
      </c>
    </row>
    <row r="133" spans="1:1" x14ac:dyDescent="0.3">
      <c r="A133" s="39"/>
    </row>
  </sheetData>
  <mergeCells count="22">
    <mergeCell ref="BZ4:CC4"/>
    <mergeCell ref="CD4:CG4"/>
    <mergeCell ref="CH4:CK4"/>
    <mergeCell ref="CL4:CO4"/>
    <mergeCell ref="BB4:BE4"/>
    <mergeCell ref="BF4:BI4"/>
    <mergeCell ref="BJ4:BM4"/>
    <mergeCell ref="BN4:BQ4"/>
    <mergeCell ref="BR4:BU4"/>
    <mergeCell ref="BV4:BY4"/>
    <mergeCell ref="AX4:BA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69B7-7F2B-41D6-A667-106D15CB81F7}">
  <sheetPr>
    <tabColor rgb="FFE8710A"/>
  </sheetPr>
  <dimension ref="A1:S53"/>
  <sheetViews>
    <sheetView showGridLines="0" zoomScale="90" zoomScaleNormal="90" zoomScalePageLayoutView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49" sqref="H49"/>
    </sheetView>
  </sheetViews>
  <sheetFormatPr baseColWidth="10" defaultColWidth="11.5546875" defaultRowHeight="13.2" outlineLevelRow="1" x14ac:dyDescent="0.25"/>
  <cols>
    <col min="1" max="1" width="42.5546875" style="18" customWidth="1"/>
    <col min="2" max="19" width="16.33203125" style="18" customWidth="1"/>
    <col min="20" max="16384" width="11.5546875" style="18"/>
  </cols>
  <sheetData>
    <row r="1" spans="1:19" ht="23.4" x14ac:dyDescent="0.45">
      <c r="A1" s="40" t="s">
        <v>1229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1:19" ht="14.4" x14ac:dyDescent="0.3">
      <c r="A2" s="167" t="s">
        <v>1230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</row>
    <row r="3" spans="1:19" ht="15" thickBot="1" x14ac:dyDescent="0.35">
      <c r="A3" s="168" t="s">
        <v>73</v>
      </c>
      <c r="B3" s="169">
        <v>46204</v>
      </c>
      <c r="C3" s="169">
        <v>46235</v>
      </c>
      <c r="D3" s="169">
        <v>46266</v>
      </c>
      <c r="E3" s="169">
        <v>46296</v>
      </c>
      <c r="F3" s="169">
        <v>46327</v>
      </c>
      <c r="G3" s="169">
        <v>46357</v>
      </c>
      <c r="H3" s="169">
        <v>46388</v>
      </c>
      <c r="I3" s="169">
        <v>46419</v>
      </c>
      <c r="J3" s="169">
        <v>46447</v>
      </c>
      <c r="K3" s="169">
        <v>46478</v>
      </c>
      <c r="L3" s="169">
        <v>46508</v>
      </c>
      <c r="M3" s="169">
        <v>46539</v>
      </c>
      <c r="N3" s="169">
        <v>46569</v>
      </c>
      <c r="O3" s="169">
        <v>46600</v>
      </c>
      <c r="P3" s="169">
        <v>46631</v>
      </c>
      <c r="Q3" s="169">
        <v>46661</v>
      </c>
      <c r="R3" s="169">
        <v>46692</v>
      </c>
      <c r="S3" s="169">
        <v>46722</v>
      </c>
    </row>
    <row r="4" spans="1:19" ht="14.4" x14ac:dyDescent="0.3">
      <c r="A4" s="98" t="str">
        <f>Presupuesto!A6</f>
        <v>COSTO DE PRODUCTO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</row>
    <row r="5" spans="1:19" ht="14.4" hidden="1" outlineLevel="1" x14ac:dyDescent="0.3">
      <c r="A5" t="str">
        <f>Presupuesto!A7</f>
        <v>Producto</v>
      </c>
      <c r="B5" s="33">
        <f>SUMIFS(TablaEgresos[[Valor]:[Valor]],TablaEgresos[[Categoría]:[Categoría]],$A5,TablaEgresos[[Mes]:[Mes]],B$3)</f>
        <v>0</v>
      </c>
      <c r="C5" s="35">
        <f>IFERROR(INDEX(Presupuesto!$F$7:$CO$46,MATCH($A5,Presupuesto!$A$7:$A$46,0),MATCH(C$3,Presupuesto!$F$4:$CO$4,0)),0)</f>
        <v>0</v>
      </c>
      <c r="D5" s="35">
        <f>IFERROR(INDEX(Presupuesto!$F$7:$CO$46,MATCH($A5,Presupuesto!$A$7:$A$46,0),MATCH(D$3,Presupuesto!$F$4:$CO$4,0)),0)</f>
        <v>145471312</v>
      </c>
      <c r="E5" s="35">
        <f>IFERROR(INDEX(Presupuesto!$F$7:$CO$46,MATCH($A5,Presupuesto!$A$7:$A$46,0),MATCH(E$3,Presupuesto!$F$4:$CO$4,0)),0)</f>
        <v>149030808</v>
      </c>
      <c r="F5" s="35">
        <f>IFERROR(INDEX(Presupuesto!$F$7:$CO$46,MATCH($A5,Presupuesto!$A$7:$A$46,0),MATCH(F$3,Presupuesto!$F$4:$CO$4,0)),0)</f>
        <v>255668507</v>
      </c>
      <c r="G5" s="35">
        <f>IFERROR(INDEX(Presupuesto!$F$7:$CO$46,MATCH($A5,Presupuesto!$A$7:$A$46,0),MATCH(G$3,Presupuesto!$F$4:$CO$4,0)),0)</f>
        <v>380000000</v>
      </c>
      <c r="H5" s="35">
        <f ca="1">IFERROR(INDEX(Presupuesto!$F$7:$CO$46,MATCH($A5,Presupuesto!$A$7:$A$46,0),MATCH(H$3,Presupuesto!$F$4:$CO$4,0)),0)</f>
        <v>134933000</v>
      </c>
      <c r="I5" s="35">
        <f ca="1">IFERROR(INDEX(Presupuesto!$F$7:$CO$46,MATCH($A5,Presupuesto!$A$7:$A$46,0),MATCH(I$3,Presupuesto!$F$4:$CO$4,0)),0)</f>
        <v>144133000</v>
      </c>
      <c r="J5" s="35">
        <f ca="1">IFERROR(INDEX(Presupuesto!$F$7:$CO$46,MATCH($A5,Presupuesto!$A$7:$A$46,0),MATCH(J$3,Presupuesto!$F$4:$CO$4,0)),0)</f>
        <v>153333000</v>
      </c>
      <c r="K5" s="35">
        <f ca="1">IFERROR(INDEX(Presupuesto!$F$7:$CO$46,MATCH($A5,Presupuesto!$A$7:$A$46,0),MATCH(K$3,Presupuesto!$F$4:$CO$4,0)),0)</f>
        <v>162533000</v>
      </c>
      <c r="L5" s="35">
        <f ca="1">IFERROR(INDEX(Presupuesto!$F$7:$CO$46,MATCH($A5,Presupuesto!$A$7:$A$46,0),MATCH(L$3,Presupuesto!$F$4:$CO$4,0)),0)</f>
        <v>171733000</v>
      </c>
      <c r="M5" s="35">
        <f ca="1">IFERROR(INDEX(Presupuesto!$F$7:$CO$46,MATCH($A5,Presupuesto!$A$7:$A$46,0),MATCH(M$3,Presupuesto!$F$4:$CO$4,0)),0)</f>
        <v>180933000</v>
      </c>
      <c r="N5" s="35">
        <f ca="1">IFERROR(INDEX(Presupuesto!$F$7:$CO$46,MATCH($A5,Presupuesto!$A$7:$A$46,0),MATCH(N$3,Presupuesto!$F$4:$CO$4,0)),0)</f>
        <v>190133000</v>
      </c>
      <c r="O5" s="35">
        <f ca="1">IFERROR(INDEX(Presupuesto!$F$7:$CO$46,MATCH($A5,Presupuesto!$A$7:$A$46,0),MATCH(O$3,Presupuesto!$F$4:$CO$4,0)),0)</f>
        <v>199333000</v>
      </c>
      <c r="P5" s="35">
        <f ca="1">IFERROR(INDEX(Presupuesto!$F$7:$CO$46,MATCH($A5,Presupuesto!$A$7:$A$46,0),MATCH(P$3,Presupuesto!$F$4:$CO$4,0)),0)</f>
        <v>208533000</v>
      </c>
      <c r="Q5" s="35">
        <f ca="1">IFERROR(INDEX(Presupuesto!$F$7:$CO$46,MATCH($A5,Presupuesto!$A$7:$A$46,0),MATCH(Q$3,Presupuesto!$F$4:$CO$4,0)),0)</f>
        <v>217733000</v>
      </c>
      <c r="R5" s="35">
        <f ca="1">IFERROR(INDEX(Presupuesto!$F$7:$CO$46,MATCH($A5,Presupuesto!$A$7:$A$46,0),MATCH(R$3,Presupuesto!$F$4:$CO$4,0)),0)</f>
        <v>226933000</v>
      </c>
      <c r="S5" s="35">
        <f ca="1">IFERROR(INDEX(Presupuesto!$F$7:$CO$46,MATCH($A5,Presupuesto!$A$7:$A$46,0),MATCH(S$3,Presupuesto!$F$4:$CO$4,0)),0)</f>
        <v>236133000</v>
      </c>
    </row>
    <row r="6" spans="1:19" ht="14.4" hidden="1" outlineLevel="1" x14ac:dyDescent="0.3">
      <c r="A6" t="str">
        <f>Presupuesto!A8</f>
        <v>SOAT/Matrículas</v>
      </c>
      <c r="B6" s="33">
        <f>SUMIFS(TablaEgresos[[Valor]:[Valor]],TablaEgresos[[Categoría]:[Categoría]],$A6,TablaEgresos[[Mes]:[Mes]],B$3)</f>
        <v>10465679.98</v>
      </c>
      <c r="C6" s="35">
        <f>IFERROR(INDEX(Presupuesto!$F$7:$CO$46,MATCH($A6,Presupuesto!$A$7:$A$46,0),MATCH(C$3,Presupuesto!$F$4:$CO$4,0)),0)</f>
        <v>17000000</v>
      </c>
      <c r="D6" s="35">
        <f>IFERROR(INDEX(Presupuesto!$F$7:$CO$46,MATCH($A6,Presupuesto!$A$7:$A$46,0),MATCH(D$3,Presupuesto!$F$4:$CO$4,0)),0)</f>
        <v>22000000</v>
      </c>
      <c r="E6" s="35">
        <f>IFERROR(INDEX(Presupuesto!$F$7:$CO$46,MATCH($A6,Presupuesto!$A$7:$A$46,0),MATCH(E$3,Presupuesto!$F$4:$CO$4,0)),0)</f>
        <v>17000000</v>
      </c>
      <c r="F6" s="35">
        <f>IFERROR(INDEX(Presupuesto!$F$7:$CO$46,MATCH($A6,Presupuesto!$A$7:$A$46,0),MATCH(F$3,Presupuesto!$F$4:$CO$4,0)),0)</f>
        <v>17000000</v>
      </c>
      <c r="G6" s="35">
        <f>IFERROR(INDEX(Presupuesto!$F$7:$CO$46,MATCH($A6,Presupuesto!$A$7:$A$46,0),MATCH(G$3,Presupuesto!$F$4:$CO$4,0)),0)</f>
        <v>17000000</v>
      </c>
      <c r="H6" s="35">
        <f>IFERROR(INDEX(Presupuesto!$F$7:$CO$46,MATCH($A6,Presupuesto!$A$7:$A$46,0),MATCH(H$3,Presupuesto!$F$4:$CO$4,0)),0)</f>
        <v>17000000</v>
      </c>
      <c r="I6" s="35">
        <f>IFERROR(INDEX(Presupuesto!$F$7:$CO$46,MATCH($A6,Presupuesto!$A$7:$A$46,0),MATCH(I$3,Presupuesto!$F$4:$CO$4,0)),0)</f>
        <v>17000000</v>
      </c>
      <c r="J6" s="35">
        <f>IFERROR(INDEX(Presupuesto!$F$7:$CO$46,MATCH($A6,Presupuesto!$A$7:$A$46,0),MATCH(J$3,Presupuesto!$F$4:$CO$4,0)),0)</f>
        <v>17000000</v>
      </c>
      <c r="K6" s="35">
        <f>IFERROR(INDEX(Presupuesto!$F$7:$CO$46,MATCH($A6,Presupuesto!$A$7:$A$46,0),MATCH(K$3,Presupuesto!$F$4:$CO$4,0)),0)</f>
        <v>17000000</v>
      </c>
      <c r="L6" s="35">
        <f>IFERROR(INDEX(Presupuesto!$F$7:$CO$46,MATCH($A6,Presupuesto!$A$7:$A$46,0),MATCH(L$3,Presupuesto!$F$4:$CO$4,0)),0)</f>
        <v>17000000</v>
      </c>
      <c r="M6" s="35">
        <f>IFERROR(INDEX(Presupuesto!$F$7:$CO$46,MATCH($A6,Presupuesto!$A$7:$A$46,0),MATCH(M$3,Presupuesto!$F$4:$CO$4,0)),0)</f>
        <v>17000000</v>
      </c>
      <c r="N6" s="35">
        <f>IFERROR(INDEX(Presupuesto!$F$7:$CO$46,MATCH($A6,Presupuesto!$A$7:$A$46,0),MATCH(N$3,Presupuesto!$F$4:$CO$4,0)),0)</f>
        <v>17000000</v>
      </c>
      <c r="O6" s="35">
        <f>IFERROR(INDEX(Presupuesto!$F$7:$CO$46,MATCH($A6,Presupuesto!$A$7:$A$46,0),MATCH(O$3,Presupuesto!$F$4:$CO$4,0)),0)</f>
        <v>17000000</v>
      </c>
      <c r="P6" s="35">
        <f>IFERROR(INDEX(Presupuesto!$F$7:$CO$46,MATCH($A6,Presupuesto!$A$7:$A$46,0),MATCH(P$3,Presupuesto!$F$4:$CO$4,0)),0)</f>
        <v>17000000</v>
      </c>
      <c r="Q6" s="35">
        <f>IFERROR(INDEX(Presupuesto!$F$7:$CO$46,MATCH($A6,Presupuesto!$A$7:$A$46,0),MATCH(Q$3,Presupuesto!$F$4:$CO$4,0)),0)</f>
        <v>17000000</v>
      </c>
      <c r="R6" s="35">
        <f>IFERROR(INDEX(Presupuesto!$F$7:$CO$46,MATCH($A6,Presupuesto!$A$7:$A$46,0),MATCH(R$3,Presupuesto!$F$4:$CO$4,0)),0)</f>
        <v>17000000</v>
      </c>
      <c r="S6" s="35">
        <f>IFERROR(INDEX(Presupuesto!$F$7:$CO$46,MATCH($A6,Presupuesto!$A$7:$A$46,0),MATCH(S$3,Presupuesto!$F$4:$CO$4,0)),0)</f>
        <v>17000000</v>
      </c>
    </row>
    <row r="7" spans="1:19" ht="14.4" hidden="1" outlineLevel="1" x14ac:dyDescent="0.3">
      <c r="A7" t="str">
        <f>Presupuesto!A9</f>
        <v>Seguros (Hunter)</v>
      </c>
      <c r="B7" s="33">
        <f>SUMIFS(TablaEgresos[[Valor]:[Valor]],TablaEgresos[[Categoría]:[Categoría]],$A7,TablaEgresos[[Mes]:[Mes]],B$3)</f>
        <v>0</v>
      </c>
      <c r="C7" s="35">
        <f>IFERROR(INDEX(Presupuesto!$F$7:$CO$46,MATCH($A7,Presupuesto!$A$7:$A$46,0),MATCH(C$3,Presupuesto!$F$4:$CO$4,0)),0)</f>
        <v>4000000</v>
      </c>
      <c r="D7" s="35">
        <f>IFERROR(INDEX(Presupuesto!$F$7:$CO$46,MATCH($A7,Presupuesto!$A$7:$A$46,0),MATCH(D$3,Presupuesto!$F$4:$CO$4,0)),0)</f>
        <v>4000000</v>
      </c>
      <c r="E7" s="35">
        <f>IFERROR(INDEX(Presupuesto!$F$7:$CO$46,MATCH($A7,Presupuesto!$A$7:$A$46,0),MATCH(E$3,Presupuesto!$F$4:$CO$4,0)),0)</f>
        <v>4000000</v>
      </c>
      <c r="F7" s="35">
        <f>IFERROR(INDEX(Presupuesto!$F$7:$CO$46,MATCH($A7,Presupuesto!$A$7:$A$46,0),MATCH(F$3,Presupuesto!$F$4:$CO$4,0)),0)</f>
        <v>4000000</v>
      </c>
      <c r="G7" s="35">
        <f>IFERROR(INDEX(Presupuesto!$F$7:$CO$46,MATCH($A7,Presupuesto!$A$7:$A$46,0),MATCH(G$3,Presupuesto!$F$4:$CO$4,0)),0)</f>
        <v>4000000</v>
      </c>
      <c r="H7" s="35">
        <f>IFERROR(INDEX(Presupuesto!$F$7:$CO$46,MATCH($A7,Presupuesto!$A$7:$A$46,0),MATCH(H$3,Presupuesto!$F$4:$CO$4,0)),0)</f>
        <v>4000000</v>
      </c>
      <c r="I7" s="35">
        <f>IFERROR(INDEX(Presupuesto!$F$7:$CO$46,MATCH($A7,Presupuesto!$A$7:$A$46,0),MATCH(I$3,Presupuesto!$F$4:$CO$4,0)),0)</f>
        <v>4000000</v>
      </c>
      <c r="J7" s="35">
        <f>IFERROR(INDEX(Presupuesto!$F$7:$CO$46,MATCH($A7,Presupuesto!$A$7:$A$46,0),MATCH(J$3,Presupuesto!$F$4:$CO$4,0)),0)</f>
        <v>4000000</v>
      </c>
      <c r="K7" s="35">
        <f>IFERROR(INDEX(Presupuesto!$F$7:$CO$46,MATCH($A7,Presupuesto!$A$7:$A$46,0),MATCH(K$3,Presupuesto!$F$4:$CO$4,0)),0)</f>
        <v>4000000</v>
      </c>
      <c r="L7" s="35">
        <f>IFERROR(INDEX(Presupuesto!$F$7:$CO$46,MATCH($A7,Presupuesto!$A$7:$A$46,0),MATCH(L$3,Presupuesto!$F$4:$CO$4,0)),0)</f>
        <v>4000000</v>
      </c>
      <c r="M7" s="35">
        <f>IFERROR(INDEX(Presupuesto!$F$7:$CO$46,MATCH($A7,Presupuesto!$A$7:$A$46,0),MATCH(M$3,Presupuesto!$F$4:$CO$4,0)),0)</f>
        <v>4000000</v>
      </c>
      <c r="N7" s="35">
        <f>IFERROR(INDEX(Presupuesto!$F$7:$CO$46,MATCH($A7,Presupuesto!$A$7:$A$46,0),MATCH(N$3,Presupuesto!$F$4:$CO$4,0)),0)</f>
        <v>4000000</v>
      </c>
      <c r="O7" s="35">
        <f>IFERROR(INDEX(Presupuesto!$F$7:$CO$46,MATCH($A7,Presupuesto!$A$7:$A$46,0),MATCH(O$3,Presupuesto!$F$4:$CO$4,0)),0)</f>
        <v>4000000</v>
      </c>
      <c r="P7" s="35">
        <f>IFERROR(INDEX(Presupuesto!$F$7:$CO$46,MATCH($A7,Presupuesto!$A$7:$A$46,0),MATCH(P$3,Presupuesto!$F$4:$CO$4,0)),0)</f>
        <v>4000000</v>
      </c>
      <c r="Q7" s="35">
        <f>IFERROR(INDEX(Presupuesto!$F$7:$CO$46,MATCH($A7,Presupuesto!$A$7:$A$46,0),MATCH(Q$3,Presupuesto!$F$4:$CO$4,0)),0)</f>
        <v>4000000</v>
      </c>
      <c r="R7" s="35">
        <f>IFERROR(INDEX(Presupuesto!$F$7:$CO$46,MATCH($A7,Presupuesto!$A$7:$A$46,0),MATCH(R$3,Presupuesto!$F$4:$CO$4,0)),0)</f>
        <v>4000000</v>
      </c>
      <c r="S7" s="35">
        <f>IFERROR(INDEX(Presupuesto!$F$7:$CO$46,MATCH($A7,Presupuesto!$A$7:$A$46,0),MATCH(S$3,Presupuesto!$F$4:$CO$4,0)),0)</f>
        <v>4000000</v>
      </c>
    </row>
    <row r="8" spans="1:19" ht="14.4" collapsed="1" x14ac:dyDescent="0.3">
      <c r="A8" s="87" t="str">
        <f>Presupuesto!A10</f>
        <v>Subtotal Costo de producto</v>
      </c>
      <c r="B8" s="88">
        <f>SUM(B5:B7)</f>
        <v>10465679.98</v>
      </c>
      <c r="C8" s="88">
        <f t="shared" ref="C8:S8" si="0">SUM(C5:C7)</f>
        <v>21000000</v>
      </c>
      <c r="D8" s="88">
        <f t="shared" si="0"/>
        <v>171471312</v>
      </c>
      <c r="E8" s="88">
        <f t="shared" si="0"/>
        <v>170030808</v>
      </c>
      <c r="F8" s="88">
        <f t="shared" si="0"/>
        <v>276668507</v>
      </c>
      <c r="G8" s="88">
        <f t="shared" si="0"/>
        <v>401000000</v>
      </c>
      <c r="H8" s="88">
        <f t="shared" ca="1" si="0"/>
        <v>155933000</v>
      </c>
      <c r="I8" s="88">
        <f t="shared" ca="1" si="0"/>
        <v>165133000</v>
      </c>
      <c r="J8" s="88">
        <f t="shared" ca="1" si="0"/>
        <v>174333000</v>
      </c>
      <c r="K8" s="88">
        <f t="shared" ca="1" si="0"/>
        <v>183533000</v>
      </c>
      <c r="L8" s="88">
        <f t="shared" ca="1" si="0"/>
        <v>192733000</v>
      </c>
      <c r="M8" s="88">
        <f t="shared" ca="1" si="0"/>
        <v>201933000</v>
      </c>
      <c r="N8" s="88">
        <f t="shared" ca="1" si="0"/>
        <v>211133000</v>
      </c>
      <c r="O8" s="88">
        <f t="shared" ca="1" si="0"/>
        <v>220333000</v>
      </c>
      <c r="P8" s="88">
        <f t="shared" ca="1" si="0"/>
        <v>229533000</v>
      </c>
      <c r="Q8" s="88">
        <f t="shared" ca="1" si="0"/>
        <v>238733000</v>
      </c>
      <c r="R8" s="88">
        <f t="shared" ca="1" si="0"/>
        <v>247933000</v>
      </c>
      <c r="S8" s="88">
        <f t="shared" ca="1" si="0"/>
        <v>257133000</v>
      </c>
    </row>
    <row r="9" spans="1:19" ht="14.4" x14ac:dyDescent="0.3">
      <c r="A9" s="106" t="str">
        <f>Presupuesto!A11</f>
        <v>OPERACIÓN</v>
      </c>
      <c r="B9" s="107"/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</row>
    <row r="10" spans="1:19" ht="14.4" hidden="1" outlineLevel="1" x14ac:dyDescent="0.3">
      <c r="A10" t="str">
        <f>Presupuesto!A12</f>
        <v>Arriendos</v>
      </c>
      <c r="B10" s="33">
        <f>SUMIFS(TablaEgresos[[Valor]:[Valor]],TablaEgresos[[Categoría]:[Categoría]],$A10,TablaEgresos[[Mes]:[Mes]],B$3)</f>
        <v>0</v>
      </c>
      <c r="C10" s="35">
        <f>IFERROR(INDEX(Presupuesto!$F$7:$CO$46,MATCH($A10,Presupuesto!$A$7:$A$46,0),MATCH(C$3,Presupuesto!$F$4:$CO$4,0)),0)</f>
        <v>8350000</v>
      </c>
      <c r="D10" s="35">
        <f>IFERROR(INDEX(Presupuesto!$F$7:$CO$46,MATCH($A10,Presupuesto!$A$7:$A$46,0),MATCH(D$3,Presupuesto!$F$4:$CO$4,0)),0)</f>
        <v>8350000</v>
      </c>
      <c r="E10" s="35">
        <f>IFERROR(INDEX(Presupuesto!$F$7:$CO$46,MATCH($A10,Presupuesto!$A$7:$A$46,0),MATCH(E$3,Presupuesto!$F$4:$CO$4,0)),0)</f>
        <v>8350000</v>
      </c>
      <c r="F10" s="35">
        <f>IFERROR(INDEX(Presupuesto!$F$7:$CO$46,MATCH($A10,Presupuesto!$A$7:$A$46,0),MATCH(F$3,Presupuesto!$F$4:$CO$4,0)),0)</f>
        <v>8350000</v>
      </c>
      <c r="G10" s="35">
        <f>IFERROR(INDEX(Presupuesto!$F$7:$CO$46,MATCH($A10,Presupuesto!$A$7:$A$46,0),MATCH(G$3,Presupuesto!$F$4:$CO$4,0)),0)</f>
        <v>8350000</v>
      </c>
      <c r="H10" s="35">
        <f>IFERROR(INDEX(Presupuesto!$F$7:$CO$46,MATCH($A10,Presupuesto!$A$7:$A$46,0),MATCH(H$3,Presupuesto!$F$4:$CO$4,0)),0)</f>
        <v>8350000</v>
      </c>
      <c r="I10" s="35">
        <f>IFERROR(INDEX(Presupuesto!$F$7:$CO$46,MATCH($A10,Presupuesto!$A$7:$A$46,0),MATCH(I$3,Presupuesto!$F$4:$CO$4,0)),0)</f>
        <v>8350000</v>
      </c>
      <c r="J10" s="35">
        <f>IFERROR(INDEX(Presupuesto!$F$7:$CO$46,MATCH($A10,Presupuesto!$A$7:$A$46,0),MATCH(J$3,Presupuesto!$F$4:$CO$4,0)),0)</f>
        <v>8350000</v>
      </c>
      <c r="K10" s="35">
        <f>IFERROR(INDEX(Presupuesto!$F$7:$CO$46,MATCH($A10,Presupuesto!$A$7:$A$46,0),MATCH(K$3,Presupuesto!$F$4:$CO$4,0)),0)</f>
        <v>8350000</v>
      </c>
      <c r="L10" s="35">
        <f>IFERROR(INDEX(Presupuesto!$F$7:$CO$46,MATCH($A10,Presupuesto!$A$7:$A$46,0),MATCH(L$3,Presupuesto!$F$4:$CO$4,0)),0)</f>
        <v>8350000</v>
      </c>
      <c r="M10" s="35">
        <f>IFERROR(INDEX(Presupuesto!$F$7:$CO$46,MATCH($A10,Presupuesto!$A$7:$A$46,0),MATCH(M$3,Presupuesto!$F$4:$CO$4,0)),0)</f>
        <v>8350000</v>
      </c>
      <c r="N10" s="35">
        <f>IFERROR(INDEX(Presupuesto!$F$7:$CO$46,MATCH($A10,Presupuesto!$A$7:$A$46,0),MATCH(N$3,Presupuesto!$F$4:$CO$4,0)),0)</f>
        <v>8350000</v>
      </c>
      <c r="O10" s="35">
        <f>IFERROR(INDEX(Presupuesto!$F$7:$CO$46,MATCH($A10,Presupuesto!$A$7:$A$46,0),MATCH(O$3,Presupuesto!$F$4:$CO$4,0)),0)</f>
        <v>8350000</v>
      </c>
      <c r="P10" s="35">
        <f>IFERROR(INDEX(Presupuesto!$F$7:$CO$46,MATCH($A10,Presupuesto!$A$7:$A$46,0),MATCH(P$3,Presupuesto!$F$4:$CO$4,0)),0)</f>
        <v>8350000</v>
      </c>
      <c r="Q10" s="35">
        <f>IFERROR(INDEX(Presupuesto!$F$7:$CO$46,MATCH($A10,Presupuesto!$A$7:$A$46,0),MATCH(Q$3,Presupuesto!$F$4:$CO$4,0)),0)</f>
        <v>8350000</v>
      </c>
      <c r="R10" s="35">
        <f>IFERROR(INDEX(Presupuesto!$F$7:$CO$46,MATCH($A10,Presupuesto!$A$7:$A$46,0),MATCH(R$3,Presupuesto!$F$4:$CO$4,0)),0)</f>
        <v>8350000</v>
      </c>
      <c r="S10" s="35">
        <f>IFERROR(INDEX(Presupuesto!$F$7:$CO$46,MATCH($A10,Presupuesto!$A$7:$A$46,0),MATCH(S$3,Presupuesto!$F$4:$CO$4,0)),0)</f>
        <v>8350000</v>
      </c>
    </row>
    <row r="11" spans="1:19" ht="14.4" hidden="1" outlineLevel="1" x14ac:dyDescent="0.3">
      <c r="A11" t="str">
        <f>Presupuesto!A13</f>
        <v>Tecnología y software</v>
      </c>
      <c r="B11" s="33">
        <f>SUMIFS(TablaEgresos[[Valor]:[Valor]],TablaEgresos[[Categoría]:[Categoría]],$A11,TablaEgresos[[Mes]:[Mes]],B$3)</f>
        <v>4808607.42</v>
      </c>
      <c r="C11" s="35">
        <f>IFERROR(INDEX(Presupuesto!$F$7:$CO$46,MATCH($A11,Presupuesto!$A$7:$A$46,0),MATCH(C$3,Presupuesto!$F$4:$CO$4,0)),0)</f>
        <v>4000000</v>
      </c>
      <c r="D11" s="35">
        <f>IFERROR(INDEX(Presupuesto!$F$7:$CO$46,MATCH($A11,Presupuesto!$A$7:$A$46,0),MATCH(D$3,Presupuesto!$F$4:$CO$4,0)),0)</f>
        <v>4000000</v>
      </c>
      <c r="E11" s="35">
        <f>IFERROR(INDEX(Presupuesto!$F$7:$CO$46,MATCH($A11,Presupuesto!$A$7:$A$46,0),MATCH(E$3,Presupuesto!$F$4:$CO$4,0)),0)</f>
        <v>4000000</v>
      </c>
      <c r="F11" s="35">
        <f>IFERROR(INDEX(Presupuesto!$F$7:$CO$46,MATCH($A11,Presupuesto!$A$7:$A$46,0),MATCH(F$3,Presupuesto!$F$4:$CO$4,0)),0)</f>
        <v>4000000</v>
      </c>
      <c r="G11" s="35">
        <f>IFERROR(INDEX(Presupuesto!$F$7:$CO$46,MATCH($A11,Presupuesto!$A$7:$A$46,0),MATCH(G$3,Presupuesto!$F$4:$CO$4,0)),0)</f>
        <v>4000000</v>
      </c>
      <c r="H11" s="35">
        <f>IFERROR(INDEX(Presupuesto!$F$7:$CO$46,MATCH($A11,Presupuesto!$A$7:$A$46,0),MATCH(H$3,Presupuesto!$F$4:$CO$4,0)),0)</f>
        <v>4000000</v>
      </c>
      <c r="I11" s="35">
        <f>IFERROR(INDEX(Presupuesto!$F$7:$CO$46,MATCH($A11,Presupuesto!$A$7:$A$46,0),MATCH(I$3,Presupuesto!$F$4:$CO$4,0)),0)</f>
        <v>4000000</v>
      </c>
      <c r="J11" s="35">
        <f>IFERROR(INDEX(Presupuesto!$F$7:$CO$46,MATCH($A11,Presupuesto!$A$7:$A$46,0),MATCH(J$3,Presupuesto!$F$4:$CO$4,0)),0)</f>
        <v>4000000</v>
      </c>
      <c r="K11" s="35">
        <f>IFERROR(INDEX(Presupuesto!$F$7:$CO$46,MATCH($A11,Presupuesto!$A$7:$A$46,0),MATCH(K$3,Presupuesto!$F$4:$CO$4,0)),0)</f>
        <v>4000000</v>
      </c>
      <c r="L11" s="35">
        <f>IFERROR(INDEX(Presupuesto!$F$7:$CO$46,MATCH($A11,Presupuesto!$A$7:$A$46,0),MATCH(L$3,Presupuesto!$F$4:$CO$4,0)),0)</f>
        <v>4000000</v>
      </c>
      <c r="M11" s="35">
        <f>IFERROR(INDEX(Presupuesto!$F$7:$CO$46,MATCH($A11,Presupuesto!$A$7:$A$46,0),MATCH(M$3,Presupuesto!$F$4:$CO$4,0)),0)</f>
        <v>4000000</v>
      </c>
      <c r="N11" s="35">
        <f>IFERROR(INDEX(Presupuesto!$F$7:$CO$46,MATCH($A11,Presupuesto!$A$7:$A$46,0),MATCH(N$3,Presupuesto!$F$4:$CO$4,0)),0)</f>
        <v>4000000</v>
      </c>
      <c r="O11" s="35">
        <f>IFERROR(INDEX(Presupuesto!$F$7:$CO$46,MATCH($A11,Presupuesto!$A$7:$A$46,0),MATCH(O$3,Presupuesto!$F$4:$CO$4,0)),0)</f>
        <v>4000000</v>
      </c>
      <c r="P11" s="35">
        <f>IFERROR(INDEX(Presupuesto!$F$7:$CO$46,MATCH($A11,Presupuesto!$A$7:$A$46,0),MATCH(P$3,Presupuesto!$F$4:$CO$4,0)),0)</f>
        <v>4000000</v>
      </c>
      <c r="Q11" s="35">
        <f>IFERROR(INDEX(Presupuesto!$F$7:$CO$46,MATCH($A11,Presupuesto!$A$7:$A$46,0),MATCH(Q$3,Presupuesto!$F$4:$CO$4,0)),0)</f>
        <v>4000000</v>
      </c>
      <c r="R11" s="35">
        <f>IFERROR(INDEX(Presupuesto!$F$7:$CO$46,MATCH($A11,Presupuesto!$A$7:$A$46,0),MATCH(R$3,Presupuesto!$F$4:$CO$4,0)),0)</f>
        <v>4000000</v>
      </c>
      <c r="S11" s="35">
        <f>IFERROR(INDEX(Presupuesto!$F$7:$CO$46,MATCH($A11,Presupuesto!$A$7:$A$46,0),MATCH(S$3,Presupuesto!$F$4:$CO$4,0)),0)</f>
        <v>4000000</v>
      </c>
    </row>
    <row r="12" spans="1:19" s="20" customFormat="1" ht="14.4" hidden="1" outlineLevel="1" x14ac:dyDescent="0.3">
      <c r="A12" t="str">
        <f>Presupuesto!A14</f>
        <v>Mobiliario/planta/equipo</v>
      </c>
      <c r="B12" s="33">
        <f>SUMIFS(TablaEgresos[[Valor]:[Valor]],TablaEgresos[[Categoría]:[Categoría]],$A12,TablaEgresos[[Mes]:[Mes]],B$3)</f>
        <v>71100</v>
      </c>
      <c r="C12" s="35">
        <f>IFERROR(INDEX(Presupuesto!$F$7:$CO$46,MATCH($A12,Presupuesto!$A$7:$A$46,0),MATCH(C$3,Presupuesto!$F$4:$CO$4,0)),0)</f>
        <v>500000</v>
      </c>
      <c r="D12" s="35">
        <f>IFERROR(INDEX(Presupuesto!$F$7:$CO$46,MATCH($A12,Presupuesto!$A$7:$A$46,0),MATCH(D$3,Presupuesto!$F$4:$CO$4,0)),0)</f>
        <v>500000</v>
      </c>
      <c r="E12" s="35">
        <f>IFERROR(INDEX(Presupuesto!$F$7:$CO$46,MATCH($A12,Presupuesto!$A$7:$A$46,0),MATCH(E$3,Presupuesto!$F$4:$CO$4,0)),0)</f>
        <v>500000</v>
      </c>
      <c r="F12" s="35">
        <f>IFERROR(INDEX(Presupuesto!$F$7:$CO$46,MATCH($A12,Presupuesto!$A$7:$A$46,0),MATCH(F$3,Presupuesto!$F$4:$CO$4,0)),0)</f>
        <v>500000</v>
      </c>
      <c r="G12" s="35">
        <f>IFERROR(INDEX(Presupuesto!$F$7:$CO$46,MATCH($A12,Presupuesto!$A$7:$A$46,0),MATCH(G$3,Presupuesto!$F$4:$CO$4,0)),0)</f>
        <v>500000</v>
      </c>
      <c r="H12" s="35">
        <f>IFERROR(INDEX(Presupuesto!$F$7:$CO$46,MATCH($A12,Presupuesto!$A$7:$A$46,0),MATCH(H$3,Presupuesto!$F$4:$CO$4,0)),0)</f>
        <v>500000</v>
      </c>
      <c r="I12" s="35">
        <f>IFERROR(INDEX(Presupuesto!$F$7:$CO$46,MATCH($A12,Presupuesto!$A$7:$A$46,0),MATCH(I$3,Presupuesto!$F$4:$CO$4,0)),0)</f>
        <v>500000</v>
      </c>
      <c r="J12" s="35">
        <f>IFERROR(INDEX(Presupuesto!$F$7:$CO$46,MATCH($A12,Presupuesto!$A$7:$A$46,0),MATCH(J$3,Presupuesto!$F$4:$CO$4,0)),0)</f>
        <v>500000</v>
      </c>
      <c r="K12" s="35">
        <f>IFERROR(INDEX(Presupuesto!$F$7:$CO$46,MATCH($A12,Presupuesto!$A$7:$A$46,0),MATCH(K$3,Presupuesto!$F$4:$CO$4,0)),0)</f>
        <v>500000</v>
      </c>
      <c r="L12" s="35">
        <f>IFERROR(INDEX(Presupuesto!$F$7:$CO$46,MATCH($A12,Presupuesto!$A$7:$A$46,0),MATCH(L$3,Presupuesto!$F$4:$CO$4,0)),0)</f>
        <v>500000</v>
      </c>
      <c r="M12" s="35">
        <f>IFERROR(INDEX(Presupuesto!$F$7:$CO$46,MATCH($A12,Presupuesto!$A$7:$A$46,0),MATCH(M$3,Presupuesto!$F$4:$CO$4,0)),0)</f>
        <v>500000</v>
      </c>
      <c r="N12" s="35">
        <f>IFERROR(INDEX(Presupuesto!$F$7:$CO$46,MATCH($A12,Presupuesto!$A$7:$A$46,0),MATCH(N$3,Presupuesto!$F$4:$CO$4,0)),0)</f>
        <v>500000</v>
      </c>
      <c r="O12" s="35">
        <f>IFERROR(INDEX(Presupuesto!$F$7:$CO$46,MATCH($A12,Presupuesto!$A$7:$A$46,0),MATCH(O$3,Presupuesto!$F$4:$CO$4,0)),0)</f>
        <v>500000</v>
      </c>
      <c r="P12" s="35">
        <f>IFERROR(INDEX(Presupuesto!$F$7:$CO$46,MATCH($A12,Presupuesto!$A$7:$A$46,0),MATCH(P$3,Presupuesto!$F$4:$CO$4,0)),0)</f>
        <v>500000</v>
      </c>
      <c r="Q12" s="35">
        <f>IFERROR(INDEX(Presupuesto!$F$7:$CO$46,MATCH($A12,Presupuesto!$A$7:$A$46,0),MATCH(Q$3,Presupuesto!$F$4:$CO$4,0)),0)</f>
        <v>500000</v>
      </c>
      <c r="R12" s="35">
        <f>IFERROR(INDEX(Presupuesto!$F$7:$CO$46,MATCH($A12,Presupuesto!$A$7:$A$46,0),MATCH(R$3,Presupuesto!$F$4:$CO$4,0)),0)</f>
        <v>500000</v>
      </c>
      <c r="S12" s="35">
        <f>IFERROR(INDEX(Presupuesto!$F$7:$CO$46,MATCH($A12,Presupuesto!$A$7:$A$46,0),MATCH(S$3,Presupuesto!$F$4:$CO$4,0)),0)</f>
        <v>500000</v>
      </c>
    </row>
    <row r="13" spans="1:19" ht="14.4" hidden="1" outlineLevel="1" x14ac:dyDescent="0.3">
      <c r="A13" t="str">
        <f>Presupuesto!A15</f>
        <v>Servicios públicos y telecom</v>
      </c>
      <c r="B13" s="33">
        <f>SUMIFS(TablaEgresos[[Valor]:[Valor]],TablaEgresos[[Categoría]:[Categoría]],$A13,TablaEgresos[[Mes]:[Mes]],B$3)</f>
        <v>0</v>
      </c>
      <c r="C13" s="35">
        <f>IFERROR(INDEX(Presupuesto!$F$7:$CO$46,MATCH($A13,Presupuesto!$A$7:$A$46,0),MATCH(C$3,Presupuesto!$F$4:$CO$4,0)),0)</f>
        <v>900000</v>
      </c>
      <c r="D13" s="35">
        <f>IFERROR(INDEX(Presupuesto!$F$7:$CO$46,MATCH($A13,Presupuesto!$A$7:$A$46,0),MATCH(D$3,Presupuesto!$F$4:$CO$4,0)),0)</f>
        <v>900000</v>
      </c>
      <c r="E13" s="35">
        <f>IFERROR(INDEX(Presupuesto!$F$7:$CO$46,MATCH($A13,Presupuesto!$A$7:$A$46,0),MATCH(E$3,Presupuesto!$F$4:$CO$4,0)),0)</f>
        <v>900000</v>
      </c>
      <c r="F13" s="35">
        <f>IFERROR(INDEX(Presupuesto!$F$7:$CO$46,MATCH($A13,Presupuesto!$A$7:$A$46,0),MATCH(F$3,Presupuesto!$F$4:$CO$4,0)),0)</f>
        <v>900000</v>
      </c>
      <c r="G13" s="35">
        <f>IFERROR(INDEX(Presupuesto!$F$7:$CO$46,MATCH($A13,Presupuesto!$A$7:$A$46,0),MATCH(G$3,Presupuesto!$F$4:$CO$4,0)),0)</f>
        <v>900000</v>
      </c>
      <c r="H13" s="35">
        <f>IFERROR(INDEX(Presupuesto!$F$7:$CO$46,MATCH($A13,Presupuesto!$A$7:$A$46,0),MATCH(H$3,Presupuesto!$F$4:$CO$4,0)),0)</f>
        <v>900000</v>
      </c>
      <c r="I13" s="35">
        <f>IFERROR(INDEX(Presupuesto!$F$7:$CO$46,MATCH($A13,Presupuesto!$A$7:$A$46,0),MATCH(I$3,Presupuesto!$F$4:$CO$4,0)),0)</f>
        <v>900000</v>
      </c>
      <c r="J13" s="35">
        <f>IFERROR(INDEX(Presupuesto!$F$7:$CO$46,MATCH($A13,Presupuesto!$A$7:$A$46,0),MATCH(J$3,Presupuesto!$F$4:$CO$4,0)),0)</f>
        <v>900000</v>
      </c>
      <c r="K13" s="35">
        <f>IFERROR(INDEX(Presupuesto!$F$7:$CO$46,MATCH($A13,Presupuesto!$A$7:$A$46,0),MATCH(K$3,Presupuesto!$F$4:$CO$4,0)),0)</f>
        <v>900000</v>
      </c>
      <c r="L13" s="35">
        <f>IFERROR(INDEX(Presupuesto!$F$7:$CO$46,MATCH($A13,Presupuesto!$A$7:$A$46,0),MATCH(L$3,Presupuesto!$F$4:$CO$4,0)),0)</f>
        <v>900000</v>
      </c>
      <c r="M13" s="35">
        <f>IFERROR(INDEX(Presupuesto!$F$7:$CO$46,MATCH($A13,Presupuesto!$A$7:$A$46,0),MATCH(M$3,Presupuesto!$F$4:$CO$4,0)),0)</f>
        <v>900000</v>
      </c>
      <c r="N13" s="35">
        <f>IFERROR(INDEX(Presupuesto!$F$7:$CO$46,MATCH($A13,Presupuesto!$A$7:$A$46,0),MATCH(N$3,Presupuesto!$F$4:$CO$4,0)),0)</f>
        <v>900000</v>
      </c>
      <c r="O13" s="35">
        <f>IFERROR(INDEX(Presupuesto!$F$7:$CO$46,MATCH($A13,Presupuesto!$A$7:$A$46,0),MATCH(O$3,Presupuesto!$F$4:$CO$4,0)),0)</f>
        <v>900000</v>
      </c>
      <c r="P13" s="35">
        <f>IFERROR(INDEX(Presupuesto!$F$7:$CO$46,MATCH($A13,Presupuesto!$A$7:$A$46,0),MATCH(P$3,Presupuesto!$F$4:$CO$4,0)),0)</f>
        <v>900000</v>
      </c>
      <c r="Q13" s="35">
        <f>IFERROR(INDEX(Presupuesto!$F$7:$CO$46,MATCH($A13,Presupuesto!$A$7:$A$46,0),MATCH(Q$3,Presupuesto!$F$4:$CO$4,0)),0)</f>
        <v>900000</v>
      </c>
      <c r="R13" s="35">
        <f>IFERROR(INDEX(Presupuesto!$F$7:$CO$46,MATCH($A13,Presupuesto!$A$7:$A$46,0),MATCH(R$3,Presupuesto!$F$4:$CO$4,0)),0)</f>
        <v>900000</v>
      </c>
      <c r="S13" s="35">
        <f>IFERROR(INDEX(Presupuesto!$F$7:$CO$46,MATCH($A13,Presupuesto!$A$7:$A$46,0),MATCH(S$3,Presupuesto!$F$4:$CO$4,0)),0)</f>
        <v>900000</v>
      </c>
    </row>
    <row r="14" spans="1:19" ht="14.4" hidden="1" outlineLevel="1" x14ac:dyDescent="0.3">
      <c r="A14" t="str">
        <f>Presupuesto!A16</f>
        <v>Mercado y aseo</v>
      </c>
      <c r="B14" s="33">
        <f>SUMIFS(TablaEgresos[[Valor]:[Valor]],TablaEgresos[[Categoría]:[Categoría]],$A14,TablaEgresos[[Mes]:[Mes]],B$3)</f>
        <v>106278</v>
      </c>
      <c r="C14" s="35">
        <f>IFERROR(INDEX(Presupuesto!$F$7:$CO$46,MATCH($A14,Presupuesto!$A$7:$A$46,0),MATCH(C$3,Presupuesto!$F$4:$CO$4,0)),0)</f>
        <v>600000</v>
      </c>
      <c r="D14" s="35">
        <f>IFERROR(INDEX(Presupuesto!$F$7:$CO$46,MATCH($A14,Presupuesto!$A$7:$A$46,0),MATCH(D$3,Presupuesto!$F$4:$CO$4,0)),0)</f>
        <v>600000</v>
      </c>
      <c r="E14" s="35">
        <f>IFERROR(INDEX(Presupuesto!$F$7:$CO$46,MATCH($A14,Presupuesto!$A$7:$A$46,0),MATCH(E$3,Presupuesto!$F$4:$CO$4,0)),0)</f>
        <v>600000</v>
      </c>
      <c r="F14" s="35">
        <f>IFERROR(INDEX(Presupuesto!$F$7:$CO$46,MATCH($A14,Presupuesto!$A$7:$A$46,0),MATCH(F$3,Presupuesto!$F$4:$CO$4,0)),0)</f>
        <v>600000</v>
      </c>
      <c r="G14" s="35">
        <f>IFERROR(INDEX(Presupuesto!$F$7:$CO$46,MATCH($A14,Presupuesto!$A$7:$A$46,0),MATCH(G$3,Presupuesto!$F$4:$CO$4,0)),0)</f>
        <v>600000</v>
      </c>
      <c r="H14" s="35">
        <f>IFERROR(INDEX(Presupuesto!$F$7:$CO$46,MATCH($A14,Presupuesto!$A$7:$A$46,0),MATCH(H$3,Presupuesto!$F$4:$CO$4,0)),0)</f>
        <v>600000</v>
      </c>
      <c r="I14" s="35">
        <f>IFERROR(INDEX(Presupuesto!$F$7:$CO$46,MATCH($A14,Presupuesto!$A$7:$A$46,0),MATCH(I$3,Presupuesto!$F$4:$CO$4,0)),0)</f>
        <v>600000</v>
      </c>
      <c r="J14" s="35">
        <f>IFERROR(INDEX(Presupuesto!$F$7:$CO$46,MATCH($A14,Presupuesto!$A$7:$A$46,0),MATCH(J$3,Presupuesto!$F$4:$CO$4,0)),0)</f>
        <v>600000</v>
      </c>
      <c r="K14" s="35">
        <f>IFERROR(INDEX(Presupuesto!$F$7:$CO$46,MATCH($A14,Presupuesto!$A$7:$A$46,0),MATCH(K$3,Presupuesto!$F$4:$CO$4,0)),0)</f>
        <v>600000</v>
      </c>
      <c r="L14" s="35">
        <f>IFERROR(INDEX(Presupuesto!$F$7:$CO$46,MATCH($A14,Presupuesto!$A$7:$A$46,0),MATCH(L$3,Presupuesto!$F$4:$CO$4,0)),0)</f>
        <v>600000</v>
      </c>
      <c r="M14" s="35">
        <f>IFERROR(INDEX(Presupuesto!$F$7:$CO$46,MATCH($A14,Presupuesto!$A$7:$A$46,0),MATCH(M$3,Presupuesto!$F$4:$CO$4,0)),0)</f>
        <v>600000</v>
      </c>
      <c r="N14" s="35">
        <f>IFERROR(INDEX(Presupuesto!$F$7:$CO$46,MATCH($A14,Presupuesto!$A$7:$A$46,0),MATCH(N$3,Presupuesto!$F$4:$CO$4,0)),0)</f>
        <v>600000</v>
      </c>
      <c r="O14" s="35">
        <f>IFERROR(INDEX(Presupuesto!$F$7:$CO$46,MATCH($A14,Presupuesto!$A$7:$A$46,0),MATCH(O$3,Presupuesto!$F$4:$CO$4,0)),0)</f>
        <v>600000</v>
      </c>
      <c r="P14" s="35">
        <f>IFERROR(INDEX(Presupuesto!$F$7:$CO$46,MATCH($A14,Presupuesto!$A$7:$A$46,0),MATCH(P$3,Presupuesto!$F$4:$CO$4,0)),0)</f>
        <v>600000</v>
      </c>
      <c r="Q14" s="35">
        <f>IFERROR(INDEX(Presupuesto!$F$7:$CO$46,MATCH($A14,Presupuesto!$A$7:$A$46,0),MATCH(Q$3,Presupuesto!$F$4:$CO$4,0)),0)</f>
        <v>600000</v>
      </c>
      <c r="R14" s="35">
        <f>IFERROR(INDEX(Presupuesto!$F$7:$CO$46,MATCH($A14,Presupuesto!$A$7:$A$46,0),MATCH(R$3,Presupuesto!$F$4:$CO$4,0)),0)</f>
        <v>600000</v>
      </c>
      <c r="S14" s="35">
        <f>IFERROR(INDEX(Presupuesto!$F$7:$CO$46,MATCH($A14,Presupuesto!$A$7:$A$46,0),MATCH(S$3,Presupuesto!$F$4:$CO$4,0)),0)</f>
        <v>600000</v>
      </c>
    </row>
    <row r="15" spans="1:19" ht="14.4" hidden="1" outlineLevel="1" x14ac:dyDescent="0.3">
      <c r="A15" t="str">
        <f>Presupuesto!A17</f>
        <v>Cafetería</v>
      </c>
      <c r="B15" s="33">
        <f>SUMIFS(TablaEgresos[[Valor]:[Valor]],TablaEgresos[[Categoría]:[Categoría]],$A15,TablaEgresos[[Mes]:[Mes]],B$3)</f>
        <v>176200</v>
      </c>
      <c r="C15" s="35">
        <f>IFERROR(INDEX(Presupuesto!$F$7:$CO$46,MATCH($A15,Presupuesto!$A$7:$A$46,0),MATCH(C$3,Presupuesto!$F$4:$CO$4,0)),0)</f>
        <v>650000</v>
      </c>
      <c r="D15" s="35">
        <f>IFERROR(INDEX(Presupuesto!$F$7:$CO$46,MATCH($A15,Presupuesto!$A$7:$A$46,0),MATCH(D$3,Presupuesto!$F$4:$CO$4,0)),0)</f>
        <v>650000</v>
      </c>
      <c r="E15" s="35">
        <f>IFERROR(INDEX(Presupuesto!$F$7:$CO$46,MATCH($A15,Presupuesto!$A$7:$A$46,0),MATCH(E$3,Presupuesto!$F$4:$CO$4,0)),0)</f>
        <v>650000</v>
      </c>
      <c r="F15" s="35">
        <f>IFERROR(INDEX(Presupuesto!$F$7:$CO$46,MATCH($A15,Presupuesto!$A$7:$A$46,0),MATCH(F$3,Presupuesto!$F$4:$CO$4,0)),0)</f>
        <v>650000</v>
      </c>
      <c r="G15" s="35">
        <f>IFERROR(INDEX(Presupuesto!$F$7:$CO$46,MATCH($A15,Presupuesto!$A$7:$A$46,0),MATCH(G$3,Presupuesto!$F$4:$CO$4,0)),0)</f>
        <v>650000</v>
      </c>
      <c r="H15" s="35">
        <f>IFERROR(INDEX(Presupuesto!$F$7:$CO$46,MATCH($A15,Presupuesto!$A$7:$A$46,0),MATCH(H$3,Presupuesto!$F$4:$CO$4,0)),0)</f>
        <v>650000</v>
      </c>
      <c r="I15" s="35">
        <f>IFERROR(INDEX(Presupuesto!$F$7:$CO$46,MATCH($A15,Presupuesto!$A$7:$A$46,0),MATCH(I$3,Presupuesto!$F$4:$CO$4,0)),0)</f>
        <v>650000</v>
      </c>
      <c r="J15" s="35">
        <f>IFERROR(INDEX(Presupuesto!$F$7:$CO$46,MATCH($A15,Presupuesto!$A$7:$A$46,0),MATCH(J$3,Presupuesto!$F$4:$CO$4,0)),0)</f>
        <v>650000</v>
      </c>
      <c r="K15" s="35">
        <f>IFERROR(INDEX(Presupuesto!$F$7:$CO$46,MATCH($A15,Presupuesto!$A$7:$A$46,0),MATCH(K$3,Presupuesto!$F$4:$CO$4,0)),0)</f>
        <v>650000</v>
      </c>
      <c r="L15" s="35">
        <f>IFERROR(INDEX(Presupuesto!$F$7:$CO$46,MATCH($A15,Presupuesto!$A$7:$A$46,0),MATCH(L$3,Presupuesto!$F$4:$CO$4,0)),0)</f>
        <v>650000</v>
      </c>
      <c r="M15" s="35">
        <f>IFERROR(INDEX(Presupuesto!$F$7:$CO$46,MATCH($A15,Presupuesto!$A$7:$A$46,0),MATCH(M$3,Presupuesto!$F$4:$CO$4,0)),0)</f>
        <v>650000</v>
      </c>
      <c r="N15" s="35">
        <f>IFERROR(INDEX(Presupuesto!$F$7:$CO$46,MATCH($A15,Presupuesto!$A$7:$A$46,0),MATCH(N$3,Presupuesto!$F$4:$CO$4,0)),0)</f>
        <v>650000</v>
      </c>
      <c r="O15" s="35">
        <f>IFERROR(INDEX(Presupuesto!$F$7:$CO$46,MATCH($A15,Presupuesto!$A$7:$A$46,0),MATCH(O$3,Presupuesto!$F$4:$CO$4,0)),0)</f>
        <v>650000</v>
      </c>
      <c r="P15" s="35">
        <f>IFERROR(INDEX(Presupuesto!$F$7:$CO$46,MATCH($A15,Presupuesto!$A$7:$A$46,0),MATCH(P$3,Presupuesto!$F$4:$CO$4,0)),0)</f>
        <v>650000</v>
      </c>
      <c r="Q15" s="35">
        <f>IFERROR(INDEX(Presupuesto!$F$7:$CO$46,MATCH($A15,Presupuesto!$A$7:$A$46,0),MATCH(Q$3,Presupuesto!$F$4:$CO$4,0)),0)</f>
        <v>650000</v>
      </c>
      <c r="R15" s="35">
        <f>IFERROR(INDEX(Presupuesto!$F$7:$CO$46,MATCH($A15,Presupuesto!$A$7:$A$46,0),MATCH(R$3,Presupuesto!$F$4:$CO$4,0)),0)</f>
        <v>650000</v>
      </c>
      <c r="S15" s="35">
        <f>IFERROR(INDEX(Presupuesto!$F$7:$CO$46,MATCH($A15,Presupuesto!$A$7:$A$46,0),MATCH(S$3,Presupuesto!$F$4:$CO$4,0)),0)</f>
        <v>650000</v>
      </c>
    </row>
    <row r="16" spans="1:19" ht="14.4" hidden="1" outlineLevel="1" x14ac:dyDescent="0.3">
      <c r="A16" t="str">
        <f>Presupuesto!A18</f>
        <v>Transporte/peajes/combustible/parqueo</v>
      </c>
      <c r="B16" s="33">
        <f>SUMIFS(TablaEgresos[[Valor]:[Valor]],TablaEgresos[[Categoría]:[Categoría]],$A16,TablaEgresos[[Mes]:[Mes]],B$3)</f>
        <v>1203597.96</v>
      </c>
      <c r="C16" s="35">
        <f>IFERROR(INDEX(Presupuesto!$F$7:$CO$46,MATCH($A16,Presupuesto!$A$7:$A$46,0),MATCH(C$3,Presupuesto!$F$4:$CO$4,0)),0)</f>
        <v>1500000</v>
      </c>
      <c r="D16" s="35">
        <f>IFERROR(INDEX(Presupuesto!$F$7:$CO$46,MATCH($A16,Presupuesto!$A$7:$A$46,0),MATCH(D$3,Presupuesto!$F$4:$CO$4,0)),0)</f>
        <v>1500000</v>
      </c>
      <c r="E16" s="35">
        <f>IFERROR(INDEX(Presupuesto!$F$7:$CO$46,MATCH($A16,Presupuesto!$A$7:$A$46,0),MATCH(E$3,Presupuesto!$F$4:$CO$4,0)),0)</f>
        <v>1500000</v>
      </c>
      <c r="F16" s="35">
        <f>IFERROR(INDEX(Presupuesto!$F$7:$CO$46,MATCH($A16,Presupuesto!$A$7:$A$46,0),MATCH(F$3,Presupuesto!$F$4:$CO$4,0)),0)</f>
        <v>1500000</v>
      </c>
      <c r="G16" s="35">
        <f>IFERROR(INDEX(Presupuesto!$F$7:$CO$46,MATCH($A16,Presupuesto!$A$7:$A$46,0),MATCH(G$3,Presupuesto!$F$4:$CO$4,0)),0)</f>
        <v>1500000</v>
      </c>
      <c r="H16" s="35">
        <f>IFERROR(INDEX(Presupuesto!$F$7:$CO$46,MATCH($A16,Presupuesto!$A$7:$A$46,0),MATCH(H$3,Presupuesto!$F$4:$CO$4,0)),0)</f>
        <v>1500000</v>
      </c>
      <c r="I16" s="35">
        <f>IFERROR(INDEX(Presupuesto!$F$7:$CO$46,MATCH($A16,Presupuesto!$A$7:$A$46,0),MATCH(I$3,Presupuesto!$F$4:$CO$4,0)),0)</f>
        <v>1500000</v>
      </c>
      <c r="J16" s="35">
        <f>IFERROR(INDEX(Presupuesto!$F$7:$CO$46,MATCH($A16,Presupuesto!$A$7:$A$46,0),MATCH(J$3,Presupuesto!$F$4:$CO$4,0)),0)</f>
        <v>1500000</v>
      </c>
      <c r="K16" s="35">
        <f>IFERROR(INDEX(Presupuesto!$F$7:$CO$46,MATCH($A16,Presupuesto!$A$7:$A$46,0),MATCH(K$3,Presupuesto!$F$4:$CO$4,0)),0)</f>
        <v>1500000</v>
      </c>
      <c r="L16" s="35">
        <f>IFERROR(INDEX(Presupuesto!$F$7:$CO$46,MATCH($A16,Presupuesto!$A$7:$A$46,0),MATCH(L$3,Presupuesto!$F$4:$CO$4,0)),0)</f>
        <v>1500000</v>
      </c>
      <c r="M16" s="35">
        <f>IFERROR(INDEX(Presupuesto!$F$7:$CO$46,MATCH($A16,Presupuesto!$A$7:$A$46,0),MATCH(M$3,Presupuesto!$F$4:$CO$4,0)),0)</f>
        <v>1500000</v>
      </c>
      <c r="N16" s="35">
        <f>IFERROR(INDEX(Presupuesto!$F$7:$CO$46,MATCH($A16,Presupuesto!$A$7:$A$46,0),MATCH(N$3,Presupuesto!$F$4:$CO$4,0)),0)</f>
        <v>1500000</v>
      </c>
      <c r="O16" s="35">
        <f>IFERROR(INDEX(Presupuesto!$F$7:$CO$46,MATCH($A16,Presupuesto!$A$7:$A$46,0),MATCH(O$3,Presupuesto!$F$4:$CO$4,0)),0)</f>
        <v>1500000</v>
      </c>
      <c r="P16" s="35">
        <f>IFERROR(INDEX(Presupuesto!$F$7:$CO$46,MATCH($A16,Presupuesto!$A$7:$A$46,0),MATCH(P$3,Presupuesto!$F$4:$CO$4,0)),0)</f>
        <v>1500000</v>
      </c>
      <c r="Q16" s="35">
        <f>IFERROR(INDEX(Presupuesto!$F$7:$CO$46,MATCH($A16,Presupuesto!$A$7:$A$46,0),MATCH(Q$3,Presupuesto!$F$4:$CO$4,0)),0)</f>
        <v>1500000</v>
      </c>
      <c r="R16" s="35">
        <f>IFERROR(INDEX(Presupuesto!$F$7:$CO$46,MATCH($A16,Presupuesto!$A$7:$A$46,0),MATCH(R$3,Presupuesto!$F$4:$CO$4,0)),0)</f>
        <v>1500000</v>
      </c>
      <c r="S16" s="35">
        <f>IFERROR(INDEX(Presupuesto!$F$7:$CO$46,MATCH($A16,Presupuesto!$A$7:$A$46,0),MATCH(S$3,Presupuesto!$F$4:$CO$4,0)),0)</f>
        <v>1500000</v>
      </c>
    </row>
    <row r="17" spans="1:19" ht="14.4" hidden="1" outlineLevel="1" x14ac:dyDescent="0.3">
      <c r="A17" t="str">
        <f>Presupuesto!A19</f>
        <v>Papelería</v>
      </c>
      <c r="B17" s="33">
        <f>SUMIFS(TablaEgresos[[Valor]:[Valor]],TablaEgresos[[Categoría]:[Categoría]],$A17,TablaEgresos[[Mes]:[Mes]],B$3)</f>
        <v>0</v>
      </c>
      <c r="C17" s="35">
        <f>IFERROR(INDEX(Presupuesto!$F$7:$CO$46,MATCH($A17,Presupuesto!$A$7:$A$46,0),MATCH(C$3,Presupuesto!$F$4:$CO$4,0)),0)</f>
        <v>300000</v>
      </c>
      <c r="D17" s="35">
        <f>IFERROR(INDEX(Presupuesto!$F$7:$CO$46,MATCH($A17,Presupuesto!$A$7:$A$46,0),MATCH(D$3,Presupuesto!$F$4:$CO$4,0)),0)</f>
        <v>300000</v>
      </c>
      <c r="E17" s="35">
        <f>IFERROR(INDEX(Presupuesto!$F$7:$CO$46,MATCH($A17,Presupuesto!$A$7:$A$46,0),MATCH(E$3,Presupuesto!$F$4:$CO$4,0)),0)</f>
        <v>300000</v>
      </c>
      <c r="F17" s="35">
        <f>IFERROR(INDEX(Presupuesto!$F$7:$CO$46,MATCH($A17,Presupuesto!$A$7:$A$46,0),MATCH(F$3,Presupuesto!$F$4:$CO$4,0)),0)</f>
        <v>300000</v>
      </c>
      <c r="G17" s="35">
        <f>IFERROR(INDEX(Presupuesto!$F$7:$CO$46,MATCH($A17,Presupuesto!$A$7:$A$46,0),MATCH(G$3,Presupuesto!$F$4:$CO$4,0)),0)</f>
        <v>300000</v>
      </c>
      <c r="H17" s="35">
        <f>IFERROR(INDEX(Presupuesto!$F$7:$CO$46,MATCH($A17,Presupuesto!$A$7:$A$46,0),MATCH(H$3,Presupuesto!$F$4:$CO$4,0)),0)</f>
        <v>300000</v>
      </c>
      <c r="I17" s="35">
        <f>IFERROR(INDEX(Presupuesto!$F$7:$CO$46,MATCH($A17,Presupuesto!$A$7:$A$46,0),MATCH(I$3,Presupuesto!$F$4:$CO$4,0)),0)</f>
        <v>300000</v>
      </c>
      <c r="J17" s="35">
        <f>IFERROR(INDEX(Presupuesto!$F$7:$CO$46,MATCH($A17,Presupuesto!$A$7:$A$46,0),MATCH(J$3,Presupuesto!$F$4:$CO$4,0)),0)</f>
        <v>300000</v>
      </c>
      <c r="K17" s="35">
        <f>IFERROR(INDEX(Presupuesto!$F$7:$CO$46,MATCH($A17,Presupuesto!$A$7:$A$46,0),MATCH(K$3,Presupuesto!$F$4:$CO$4,0)),0)</f>
        <v>300000</v>
      </c>
      <c r="L17" s="35">
        <f>IFERROR(INDEX(Presupuesto!$F$7:$CO$46,MATCH($A17,Presupuesto!$A$7:$A$46,0),MATCH(L$3,Presupuesto!$F$4:$CO$4,0)),0)</f>
        <v>300000</v>
      </c>
      <c r="M17" s="35">
        <f>IFERROR(INDEX(Presupuesto!$F$7:$CO$46,MATCH($A17,Presupuesto!$A$7:$A$46,0),MATCH(M$3,Presupuesto!$F$4:$CO$4,0)),0)</f>
        <v>300000</v>
      </c>
      <c r="N17" s="35">
        <f>IFERROR(INDEX(Presupuesto!$F$7:$CO$46,MATCH($A17,Presupuesto!$A$7:$A$46,0),MATCH(N$3,Presupuesto!$F$4:$CO$4,0)),0)</f>
        <v>300000</v>
      </c>
      <c r="O17" s="35">
        <f>IFERROR(INDEX(Presupuesto!$F$7:$CO$46,MATCH($A17,Presupuesto!$A$7:$A$46,0),MATCH(O$3,Presupuesto!$F$4:$CO$4,0)),0)</f>
        <v>300000</v>
      </c>
      <c r="P17" s="35">
        <f>IFERROR(INDEX(Presupuesto!$F$7:$CO$46,MATCH($A17,Presupuesto!$A$7:$A$46,0),MATCH(P$3,Presupuesto!$F$4:$CO$4,0)),0)</f>
        <v>300000</v>
      </c>
      <c r="Q17" s="35">
        <f>IFERROR(INDEX(Presupuesto!$F$7:$CO$46,MATCH($A17,Presupuesto!$A$7:$A$46,0),MATCH(Q$3,Presupuesto!$F$4:$CO$4,0)),0)</f>
        <v>300000</v>
      </c>
      <c r="R17" s="35">
        <f>IFERROR(INDEX(Presupuesto!$F$7:$CO$46,MATCH($A17,Presupuesto!$A$7:$A$46,0),MATCH(R$3,Presupuesto!$F$4:$CO$4,0)),0)</f>
        <v>300000</v>
      </c>
      <c r="S17" s="35">
        <f>IFERROR(INDEX(Presupuesto!$F$7:$CO$46,MATCH($A17,Presupuesto!$A$7:$A$46,0),MATCH(S$3,Presupuesto!$F$4:$CO$4,0)),0)</f>
        <v>300000</v>
      </c>
    </row>
    <row r="18" spans="1:19" ht="14.4" hidden="1" outlineLevel="1" x14ac:dyDescent="0.3">
      <c r="A18" t="str">
        <f>Presupuesto!A20</f>
        <v>Marketing y publicidad</v>
      </c>
      <c r="B18" s="33">
        <f>SUMIFS(TablaEgresos[[Valor]:[Valor]],TablaEgresos[[Categoría]:[Categoría]],$A18,TablaEgresos[[Mes]:[Mes]],B$3)</f>
        <v>0</v>
      </c>
      <c r="C18" s="35">
        <f>IFERROR(INDEX(Presupuesto!$F$7:$CO$46,MATCH($A18,Presupuesto!$A$7:$A$46,0),MATCH(C$3,Presupuesto!$F$4:$CO$4,0)),0)</f>
        <v>3000000</v>
      </c>
      <c r="D18" s="35">
        <f>IFERROR(INDEX(Presupuesto!$F$7:$CO$46,MATCH($A18,Presupuesto!$A$7:$A$46,0),MATCH(D$3,Presupuesto!$F$4:$CO$4,0)),0)</f>
        <v>3000000</v>
      </c>
      <c r="E18" s="35">
        <f>IFERROR(INDEX(Presupuesto!$F$7:$CO$46,MATCH($A18,Presupuesto!$A$7:$A$46,0),MATCH(E$3,Presupuesto!$F$4:$CO$4,0)),0)</f>
        <v>3000000</v>
      </c>
      <c r="F18" s="35">
        <f>IFERROR(INDEX(Presupuesto!$F$7:$CO$46,MATCH($A18,Presupuesto!$A$7:$A$46,0),MATCH(F$3,Presupuesto!$F$4:$CO$4,0)),0)</f>
        <v>3000000</v>
      </c>
      <c r="G18" s="35">
        <f>IFERROR(INDEX(Presupuesto!$F$7:$CO$46,MATCH($A18,Presupuesto!$A$7:$A$46,0),MATCH(G$3,Presupuesto!$F$4:$CO$4,0)),0)</f>
        <v>3000000</v>
      </c>
      <c r="H18" s="35">
        <f>IFERROR(INDEX(Presupuesto!$F$7:$CO$46,MATCH($A18,Presupuesto!$A$7:$A$46,0),MATCH(H$3,Presupuesto!$F$4:$CO$4,0)),0)</f>
        <v>3000000</v>
      </c>
      <c r="I18" s="35">
        <f>IFERROR(INDEX(Presupuesto!$F$7:$CO$46,MATCH($A18,Presupuesto!$A$7:$A$46,0),MATCH(I$3,Presupuesto!$F$4:$CO$4,0)),0)</f>
        <v>3000000</v>
      </c>
      <c r="J18" s="35">
        <f>IFERROR(INDEX(Presupuesto!$F$7:$CO$46,MATCH($A18,Presupuesto!$A$7:$A$46,0),MATCH(J$3,Presupuesto!$F$4:$CO$4,0)),0)</f>
        <v>3000000</v>
      </c>
      <c r="K18" s="35">
        <f>IFERROR(INDEX(Presupuesto!$F$7:$CO$46,MATCH($A18,Presupuesto!$A$7:$A$46,0),MATCH(K$3,Presupuesto!$F$4:$CO$4,0)),0)</f>
        <v>3000000</v>
      </c>
      <c r="L18" s="35">
        <f>IFERROR(INDEX(Presupuesto!$F$7:$CO$46,MATCH($A18,Presupuesto!$A$7:$A$46,0),MATCH(L$3,Presupuesto!$F$4:$CO$4,0)),0)</f>
        <v>3000000</v>
      </c>
      <c r="M18" s="35">
        <f>IFERROR(INDEX(Presupuesto!$F$7:$CO$46,MATCH($A18,Presupuesto!$A$7:$A$46,0),MATCH(M$3,Presupuesto!$F$4:$CO$4,0)),0)</f>
        <v>3000000</v>
      </c>
      <c r="N18" s="35">
        <f>IFERROR(INDEX(Presupuesto!$F$7:$CO$46,MATCH($A18,Presupuesto!$A$7:$A$46,0),MATCH(N$3,Presupuesto!$F$4:$CO$4,0)),0)</f>
        <v>3000000</v>
      </c>
      <c r="O18" s="35">
        <f>IFERROR(INDEX(Presupuesto!$F$7:$CO$46,MATCH($A18,Presupuesto!$A$7:$A$46,0),MATCH(O$3,Presupuesto!$F$4:$CO$4,0)),0)</f>
        <v>3000000</v>
      </c>
      <c r="P18" s="35">
        <f>IFERROR(INDEX(Presupuesto!$F$7:$CO$46,MATCH($A18,Presupuesto!$A$7:$A$46,0),MATCH(P$3,Presupuesto!$F$4:$CO$4,0)),0)</f>
        <v>3000000</v>
      </c>
      <c r="Q18" s="35">
        <f>IFERROR(INDEX(Presupuesto!$F$7:$CO$46,MATCH($A18,Presupuesto!$A$7:$A$46,0),MATCH(Q$3,Presupuesto!$F$4:$CO$4,0)),0)</f>
        <v>3000000</v>
      </c>
      <c r="R18" s="35">
        <f>IFERROR(INDEX(Presupuesto!$F$7:$CO$46,MATCH($A18,Presupuesto!$A$7:$A$46,0),MATCH(R$3,Presupuesto!$F$4:$CO$4,0)),0)</f>
        <v>3000000</v>
      </c>
      <c r="S18" s="35">
        <f>IFERROR(INDEX(Presupuesto!$F$7:$CO$46,MATCH($A18,Presupuesto!$A$7:$A$46,0),MATCH(S$3,Presupuesto!$F$4:$CO$4,0)),0)</f>
        <v>3000000</v>
      </c>
    </row>
    <row r="19" spans="1:19" ht="14.4" hidden="1" outlineLevel="1" x14ac:dyDescent="0.3">
      <c r="A19" t="str">
        <f>Presupuesto!A21</f>
        <v>Gastos de representación</v>
      </c>
      <c r="B19" s="33">
        <f>SUMIFS(TablaEgresos[[Valor]:[Valor]],TablaEgresos[[Categoría]:[Categoría]],$A19,TablaEgresos[[Mes]:[Mes]],B$3)</f>
        <v>0</v>
      </c>
      <c r="C19" s="35">
        <f>IFERROR(INDEX(Presupuesto!$F$7:$CO$46,MATCH($A19,Presupuesto!$A$7:$A$46,0),MATCH(C$3,Presupuesto!$F$4:$CO$4,0)),0)</f>
        <v>1000000</v>
      </c>
      <c r="D19" s="35">
        <f>IFERROR(INDEX(Presupuesto!$F$7:$CO$46,MATCH($A19,Presupuesto!$A$7:$A$46,0),MATCH(D$3,Presupuesto!$F$4:$CO$4,0)),0)</f>
        <v>1000000</v>
      </c>
      <c r="E19" s="35">
        <f>IFERROR(INDEX(Presupuesto!$F$7:$CO$46,MATCH($A19,Presupuesto!$A$7:$A$46,0),MATCH(E$3,Presupuesto!$F$4:$CO$4,0)),0)</f>
        <v>1000000</v>
      </c>
      <c r="F19" s="35">
        <f>IFERROR(INDEX(Presupuesto!$F$7:$CO$46,MATCH($A19,Presupuesto!$A$7:$A$46,0),MATCH(F$3,Presupuesto!$F$4:$CO$4,0)),0)</f>
        <v>1000000</v>
      </c>
      <c r="G19" s="35">
        <f>IFERROR(INDEX(Presupuesto!$F$7:$CO$46,MATCH($A19,Presupuesto!$A$7:$A$46,0),MATCH(G$3,Presupuesto!$F$4:$CO$4,0)),0)</f>
        <v>1000000</v>
      </c>
      <c r="H19" s="35">
        <f>IFERROR(INDEX(Presupuesto!$F$7:$CO$46,MATCH($A19,Presupuesto!$A$7:$A$46,0),MATCH(H$3,Presupuesto!$F$4:$CO$4,0)),0)</f>
        <v>1000000</v>
      </c>
      <c r="I19" s="35">
        <f>IFERROR(INDEX(Presupuesto!$F$7:$CO$46,MATCH($A19,Presupuesto!$A$7:$A$46,0),MATCH(I$3,Presupuesto!$F$4:$CO$4,0)),0)</f>
        <v>1000000</v>
      </c>
      <c r="J19" s="35">
        <f>IFERROR(INDEX(Presupuesto!$F$7:$CO$46,MATCH($A19,Presupuesto!$A$7:$A$46,0),MATCH(J$3,Presupuesto!$F$4:$CO$4,0)),0)</f>
        <v>1000000</v>
      </c>
      <c r="K19" s="35">
        <f>IFERROR(INDEX(Presupuesto!$F$7:$CO$46,MATCH($A19,Presupuesto!$A$7:$A$46,0),MATCH(K$3,Presupuesto!$F$4:$CO$4,0)),0)</f>
        <v>1000000</v>
      </c>
      <c r="L19" s="35">
        <f>IFERROR(INDEX(Presupuesto!$F$7:$CO$46,MATCH($A19,Presupuesto!$A$7:$A$46,0),MATCH(L$3,Presupuesto!$F$4:$CO$4,0)),0)</f>
        <v>1000000</v>
      </c>
      <c r="M19" s="35">
        <f>IFERROR(INDEX(Presupuesto!$F$7:$CO$46,MATCH($A19,Presupuesto!$A$7:$A$46,0),MATCH(M$3,Presupuesto!$F$4:$CO$4,0)),0)</f>
        <v>1000000</v>
      </c>
      <c r="N19" s="35">
        <f>IFERROR(INDEX(Presupuesto!$F$7:$CO$46,MATCH($A19,Presupuesto!$A$7:$A$46,0),MATCH(N$3,Presupuesto!$F$4:$CO$4,0)),0)</f>
        <v>1000000</v>
      </c>
      <c r="O19" s="35">
        <f>IFERROR(INDEX(Presupuesto!$F$7:$CO$46,MATCH($A19,Presupuesto!$A$7:$A$46,0),MATCH(O$3,Presupuesto!$F$4:$CO$4,0)),0)</f>
        <v>1000000</v>
      </c>
      <c r="P19" s="35">
        <f>IFERROR(INDEX(Presupuesto!$F$7:$CO$46,MATCH($A19,Presupuesto!$A$7:$A$46,0),MATCH(P$3,Presupuesto!$F$4:$CO$4,0)),0)</f>
        <v>1000000</v>
      </c>
      <c r="Q19" s="35">
        <f>IFERROR(INDEX(Presupuesto!$F$7:$CO$46,MATCH($A19,Presupuesto!$A$7:$A$46,0),MATCH(Q$3,Presupuesto!$F$4:$CO$4,0)),0)</f>
        <v>1000000</v>
      </c>
      <c r="R19" s="35">
        <f>IFERROR(INDEX(Presupuesto!$F$7:$CO$46,MATCH($A19,Presupuesto!$A$7:$A$46,0),MATCH(R$3,Presupuesto!$F$4:$CO$4,0)),0)</f>
        <v>1000000</v>
      </c>
      <c r="S19" s="35">
        <f>IFERROR(INDEX(Presupuesto!$F$7:$CO$46,MATCH($A19,Presupuesto!$A$7:$A$46,0),MATCH(S$3,Presupuesto!$F$4:$CO$4,0)),0)</f>
        <v>1000000</v>
      </c>
    </row>
    <row r="20" spans="1:19" ht="14.4" hidden="1" outlineLevel="1" x14ac:dyDescent="0.3">
      <c r="A20" t="str">
        <f>Presupuesto!A22</f>
        <v>Renting</v>
      </c>
      <c r="B20" s="33">
        <f>SUMIFS(TablaEgresos[[Valor]:[Valor]],TablaEgresos[[Categoría]:[Categoría]],$A20,TablaEgresos[[Mes]:[Mes]],B$3)</f>
        <v>0</v>
      </c>
      <c r="C20" s="35">
        <f>IFERROR(INDEX(Presupuesto!$F$7:$CO$46,MATCH($A20,Presupuesto!$A$7:$A$46,0),MATCH(C$3,Presupuesto!$F$4:$CO$4,0)),0)</f>
        <v>12000000</v>
      </c>
      <c r="D20" s="35">
        <f>IFERROR(INDEX(Presupuesto!$F$7:$CO$46,MATCH($A20,Presupuesto!$A$7:$A$46,0),MATCH(D$3,Presupuesto!$F$4:$CO$4,0)),0)</f>
        <v>12000000</v>
      </c>
      <c r="E20" s="35">
        <f>IFERROR(INDEX(Presupuesto!$F$7:$CO$46,MATCH($A20,Presupuesto!$A$7:$A$46,0),MATCH(E$3,Presupuesto!$F$4:$CO$4,0)),0)</f>
        <v>12000000</v>
      </c>
      <c r="F20" s="35">
        <f>IFERROR(INDEX(Presupuesto!$F$7:$CO$46,MATCH($A20,Presupuesto!$A$7:$A$46,0),MATCH(F$3,Presupuesto!$F$4:$CO$4,0)),0)</f>
        <v>12000000</v>
      </c>
      <c r="G20" s="35">
        <f>IFERROR(INDEX(Presupuesto!$F$7:$CO$46,MATCH($A20,Presupuesto!$A$7:$A$46,0),MATCH(G$3,Presupuesto!$F$4:$CO$4,0)),0)</f>
        <v>12000000</v>
      </c>
      <c r="H20" s="35">
        <f>IFERROR(INDEX(Presupuesto!$F$7:$CO$46,MATCH($A20,Presupuesto!$A$7:$A$46,0),MATCH(H$3,Presupuesto!$F$4:$CO$4,0)),0)</f>
        <v>12000000</v>
      </c>
      <c r="I20" s="35">
        <f>IFERROR(INDEX(Presupuesto!$F$7:$CO$46,MATCH($A20,Presupuesto!$A$7:$A$46,0),MATCH(I$3,Presupuesto!$F$4:$CO$4,0)),0)</f>
        <v>12000000</v>
      </c>
      <c r="J20" s="35">
        <f>IFERROR(INDEX(Presupuesto!$F$7:$CO$46,MATCH($A20,Presupuesto!$A$7:$A$46,0),MATCH(J$3,Presupuesto!$F$4:$CO$4,0)),0)</f>
        <v>12000000</v>
      </c>
      <c r="K20" s="35">
        <f>IFERROR(INDEX(Presupuesto!$F$7:$CO$46,MATCH($A20,Presupuesto!$A$7:$A$46,0),MATCH(K$3,Presupuesto!$F$4:$CO$4,0)),0)</f>
        <v>12000000</v>
      </c>
      <c r="L20" s="35">
        <f>IFERROR(INDEX(Presupuesto!$F$7:$CO$46,MATCH($A20,Presupuesto!$A$7:$A$46,0),MATCH(L$3,Presupuesto!$F$4:$CO$4,0)),0)</f>
        <v>12000000</v>
      </c>
      <c r="M20" s="35">
        <f>IFERROR(INDEX(Presupuesto!$F$7:$CO$46,MATCH($A20,Presupuesto!$A$7:$A$46,0),MATCH(M$3,Presupuesto!$F$4:$CO$4,0)),0)</f>
        <v>12000000</v>
      </c>
      <c r="N20" s="35">
        <f>IFERROR(INDEX(Presupuesto!$F$7:$CO$46,MATCH($A20,Presupuesto!$A$7:$A$46,0),MATCH(N$3,Presupuesto!$F$4:$CO$4,0)),0)</f>
        <v>12000000</v>
      </c>
      <c r="O20" s="35">
        <f>IFERROR(INDEX(Presupuesto!$F$7:$CO$46,MATCH($A20,Presupuesto!$A$7:$A$46,0),MATCH(O$3,Presupuesto!$F$4:$CO$4,0)),0)</f>
        <v>12000000</v>
      </c>
      <c r="P20" s="35">
        <f>IFERROR(INDEX(Presupuesto!$F$7:$CO$46,MATCH($A20,Presupuesto!$A$7:$A$46,0),MATCH(P$3,Presupuesto!$F$4:$CO$4,0)),0)</f>
        <v>12000000</v>
      </c>
      <c r="Q20" s="35">
        <f>IFERROR(INDEX(Presupuesto!$F$7:$CO$46,MATCH($A20,Presupuesto!$A$7:$A$46,0),MATCH(Q$3,Presupuesto!$F$4:$CO$4,0)),0)</f>
        <v>12000000</v>
      </c>
      <c r="R20" s="35">
        <f>IFERROR(INDEX(Presupuesto!$F$7:$CO$46,MATCH($A20,Presupuesto!$A$7:$A$46,0),MATCH(R$3,Presupuesto!$F$4:$CO$4,0)),0)</f>
        <v>12000000</v>
      </c>
      <c r="S20" s="35">
        <f>IFERROR(INDEX(Presupuesto!$F$7:$CO$46,MATCH($A20,Presupuesto!$A$7:$A$46,0),MATCH(S$3,Presupuesto!$F$4:$CO$4,0)),0)</f>
        <v>12000000</v>
      </c>
    </row>
    <row r="21" spans="1:19" ht="14.4" collapsed="1" x14ac:dyDescent="0.3">
      <c r="A21" s="109" t="str">
        <f>Presupuesto!A23</f>
        <v>Subtotal Operación</v>
      </c>
      <c r="B21" s="110">
        <f>SUM(B10:B20)</f>
        <v>6365783.3799999999</v>
      </c>
      <c r="C21" s="110">
        <f t="shared" ref="C21:S21" si="1">SUM(C10:C20)</f>
        <v>32800000</v>
      </c>
      <c r="D21" s="110">
        <f t="shared" si="1"/>
        <v>32800000</v>
      </c>
      <c r="E21" s="110">
        <f t="shared" si="1"/>
        <v>32800000</v>
      </c>
      <c r="F21" s="110">
        <f t="shared" si="1"/>
        <v>32800000</v>
      </c>
      <c r="G21" s="110">
        <f t="shared" si="1"/>
        <v>32800000</v>
      </c>
      <c r="H21" s="110">
        <f t="shared" si="1"/>
        <v>32800000</v>
      </c>
      <c r="I21" s="110">
        <f t="shared" si="1"/>
        <v>32800000</v>
      </c>
      <c r="J21" s="110">
        <f t="shared" si="1"/>
        <v>32800000</v>
      </c>
      <c r="K21" s="110">
        <f t="shared" si="1"/>
        <v>32800000</v>
      </c>
      <c r="L21" s="110">
        <f t="shared" si="1"/>
        <v>32800000</v>
      </c>
      <c r="M21" s="110">
        <f t="shared" si="1"/>
        <v>32800000</v>
      </c>
      <c r="N21" s="110">
        <f t="shared" si="1"/>
        <v>32800000</v>
      </c>
      <c r="O21" s="110">
        <f t="shared" si="1"/>
        <v>32800000</v>
      </c>
      <c r="P21" s="110">
        <f t="shared" si="1"/>
        <v>32800000</v>
      </c>
      <c r="Q21" s="110">
        <f t="shared" si="1"/>
        <v>32800000</v>
      </c>
      <c r="R21" s="110">
        <f t="shared" si="1"/>
        <v>32800000</v>
      </c>
      <c r="S21" s="110">
        <f t="shared" si="1"/>
        <v>32800000</v>
      </c>
    </row>
    <row r="22" spans="1:19" ht="14.4" x14ac:dyDescent="0.3">
      <c r="A22" s="113" t="str">
        <f>Presupuesto!A24</f>
        <v>NÓMINA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</row>
    <row r="23" spans="1:19" ht="14.4" hidden="1" outlineLevel="1" x14ac:dyDescent="0.3">
      <c r="A23" t="str">
        <f>Presupuesto!A25</f>
        <v>Sueldos empleados</v>
      </c>
      <c r="B23" s="33">
        <f>SUMIFS(TablaEgresos[[Valor]:[Valor]],TablaEgresos[[Categoría]:[Categoría]],$A23,TablaEgresos[[Mes]:[Mes]],B$3)</f>
        <v>9656272.7599999998</v>
      </c>
      <c r="C23" s="35">
        <f>IFERROR(INDEX(Presupuesto!$F$7:$CO$46,MATCH($A23,Presupuesto!$A$7:$A$46,0),MATCH(C$3,Presupuesto!$F$4:$CO$4,0)),0)</f>
        <v>11000000</v>
      </c>
      <c r="D23" s="35">
        <f>IFERROR(INDEX(Presupuesto!$F$7:$CO$46,MATCH($A23,Presupuesto!$A$7:$A$46,0),MATCH(D$3,Presupuesto!$F$4:$CO$4,0)),0)</f>
        <v>11000000</v>
      </c>
      <c r="E23" s="35">
        <f>IFERROR(INDEX(Presupuesto!$F$7:$CO$46,MATCH($A23,Presupuesto!$A$7:$A$46,0),MATCH(E$3,Presupuesto!$F$4:$CO$4,0)),0)</f>
        <v>11000000</v>
      </c>
      <c r="F23" s="35">
        <f>IFERROR(INDEX(Presupuesto!$F$7:$CO$46,MATCH($A23,Presupuesto!$A$7:$A$46,0),MATCH(F$3,Presupuesto!$F$4:$CO$4,0)),0)</f>
        <v>11000000</v>
      </c>
      <c r="G23" s="35">
        <f>IFERROR(INDEX(Presupuesto!$F$7:$CO$46,MATCH($A23,Presupuesto!$A$7:$A$46,0),MATCH(G$3,Presupuesto!$F$4:$CO$4,0)),0)</f>
        <v>11000000</v>
      </c>
      <c r="H23" s="35">
        <f>IFERROR(INDEX(Presupuesto!$F$7:$CO$46,MATCH($A23,Presupuesto!$A$7:$A$46,0),MATCH(H$3,Presupuesto!$F$4:$CO$4,0)),0)</f>
        <v>11000000</v>
      </c>
      <c r="I23" s="35">
        <f>IFERROR(INDEX(Presupuesto!$F$7:$CO$46,MATCH($A23,Presupuesto!$A$7:$A$46,0),MATCH(I$3,Presupuesto!$F$4:$CO$4,0)),0)</f>
        <v>11000000</v>
      </c>
      <c r="J23" s="35">
        <f>IFERROR(INDEX(Presupuesto!$F$7:$CO$46,MATCH($A23,Presupuesto!$A$7:$A$46,0),MATCH(J$3,Presupuesto!$F$4:$CO$4,0)),0)</f>
        <v>11000000</v>
      </c>
      <c r="K23" s="35">
        <f>IFERROR(INDEX(Presupuesto!$F$7:$CO$46,MATCH($A23,Presupuesto!$A$7:$A$46,0),MATCH(K$3,Presupuesto!$F$4:$CO$4,0)),0)</f>
        <v>11000000</v>
      </c>
      <c r="L23" s="35">
        <f>IFERROR(INDEX(Presupuesto!$F$7:$CO$46,MATCH($A23,Presupuesto!$A$7:$A$46,0),MATCH(L$3,Presupuesto!$F$4:$CO$4,0)),0)</f>
        <v>11000000</v>
      </c>
      <c r="M23" s="35">
        <f>IFERROR(INDEX(Presupuesto!$F$7:$CO$46,MATCH($A23,Presupuesto!$A$7:$A$46,0),MATCH(M$3,Presupuesto!$F$4:$CO$4,0)),0)</f>
        <v>11000000</v>
      </c>
      <c r="N23" s="35">
        <f>IFERROR(INDEX(Presupuesto!$F$7:$CO$46,MATCH($A23,Presupuesto!$A$7:$A$46,0),MATCH(N$3,Presupuesto!$F$4:$CO$4,0)),0)</f>
        <v>11000000</v>
      </c>
      <c r="O23" s="35">
        <f>IFERROR(INDEX(Presupuesto!$F$7:$CO$46,MATCH($A23,Presupuesto!$A$7:$A$46,0),MATCH(O$3,Presupuesto!$F$4:$CO$4,0)),0)</f>
        <v>11000000</v>
      </c>
      <c r="P23" s="35">
        <f>IFERROR(INDEX(Presupuesto!$F$7:$CO$46,MATCH($A23,Presupuesto!$A$7:$A$46,0),MATCH(P$3,Presupuesto!$F$4:$CO$4,0)),0)</f>
        <v>11000000</v>
      </c>
      <c r="Q23" s="35">
        <f>IFERROR(INDEX(Presupuesto!$F$7:$CO$46,MATCH($A23,Presupuesto!$A$7:$A$46,0),MATCH(Q$3,Presupuesto!$F$4:$CO$4,0)),0)</f>
        <v>11000000</v>
      </c>
      <c r="R23" s="35">
        <f>IFERROR(INDEX(Presupuesto!$F$7:$CO$46,MATCH($A23,Presupuesto!$A$7:$A$46,0),MATCH(R$3,Presupuesto!$F$4:$CO$4,0)),0)</f>
        <v>11000000</v>
      </c>
      <c r="S23" s="35">
        <f>IFERROR(INDEX(Presupuesto!$F$7:$CO$46,MATCH($A23,Presupuesto!$A$7:$A$46,0),MATCH(S$3,Presupuesto!$F$4:$CO$4,0)),0)</f>
        <v>11000000</v>
      </c>
    </row>
    <row r="24" spans="1:19" ht="14.4" hidden="1" outlineLevel="1" x14ac:dyDescent="0.3">
      <c r="A24" t="str">
        <f>Presupuesto!A26</f>
        <v>Sueldos directivos</v>
      </c>
      <c r="B24" s="33">
        <f>SUMIFS(TablaEgresos[[Valor]:[Valor]],TablaEgresos[[Categoría]:[Categoría]],$A24,TablaEgresos[[Mes]:[Mes]],B$3)</f>
        <v>20291951.18</v>
      </c>
      <c r="C24" s="35">
        <f>IFERROR(INDEX(Presupuesto!$F$7:$CO$46,MATCH($A24,Presupuesto!$A$7:$A$46,0),MATCH(C$3,Presupuesto!$F$4:$CO$4,0)),0)</f>
        <v>31723000</v>
      </c>
      <c r="D24" s="35">
        <f>IFERROR(INDEX(Presupuesto!$F$7:$CO$46,MATCH($A24,Presupuesto!$A$7:$A$46,0),MATCH(D$3,Presupuesto!$F$4:$CO$4,0)),0)</f>
        <v>31723000</v>
      </c>
      <c r="E24" s="35">
        <f>IFERROR(INDEX(Presupuesto!$F$7:$CO$46,MATCH($A24,Presupuesto!$A$7:$A$46,0),MATCH(E$3,Presupuesto!$F$4:$CO$4,0)),0)</f>
        <v>31723000</v>
      </c>
      <c r="F24" s="35">
        <f>IFERROR(INDEX(Presupuesto!$F$7:$CO$46,MATCH($A24,Presupuesto!$A$7:$A$46,0),MATCH(F$3,Presupuesto!$F$4:$CO$4,0)),0)</f>
        <v>31723000</v>
      </c>
      <c r="G24" s="35">
        <f>IFERROR(INDEX(Presupuesto!$F$7:$CO$46,MATCH($A24,Presupuesto!$A$7:$A$46,0),MATCH(G$3,Presupuesto!$F$4:$CO$4,0)),0)</f>
        <v>31723000</v>
      </c>
      <c r="H24" s="35">
        <f>IFERROR(INDEX(Presupuesto!$F$7:$CO$46,MATCH($A24,Presupuesto!$A$7:$A$46,0),MATCH(H$3,Presupuesto!$F$4:$CO$4,0)),0)</f>
        <v>31723000</v>
      </c>
      <c r="I24" s="35">
        <f>IFERROR(INDEX(Presupuesto!$F$7:$CO$46,MATCH($A24,Presupuesto!$A$7:$A$46,0),MATCH(I$3,Presupuesto!$F$4:$CO$4,0)),0)</f>
        <v>31723000</v>
      </c>
      <c r="J24" s="35">
        <f>IFERROR(INDEX(Presupuesto!$F$7:$CO$46,MATCH($A24,Presupuesto!$A$7:$A$46,0),MATCH(J$3,Presupuesto!$F$4:$CO$4,0)),0)</f>
        <v>31723000</v>
      </c>
      <c r="K24" s="35">
        <f>IFERROR(INDEX(Presupuesto!$F$7:$CO$46,MATCH($A24,Presupuesto!$A$7:$A$46,0),MATCH(K$3,Presupuesto!$F$4:$CO$4,0)),0)</f>
        <v>31723000</v>
      </c>
      <c r="L24" s="35">
        <f>IFERROR(INDEX(Presupuesto!$F$7:$CO$46,MATCH($A24,Presupuesto!$A$7:$A$46,0),MATCH(L$3,Presupuesto!$F$4:$CO$4,0)),0)</f>
        <v>31723000</v>
      </c>
      <c r="M24" s="35">
        <f>IFERROR(INDEX(Presupuesto!$F$7:$CO$46,MATCH($A24,Presupuesto!$A$7:$A$46,0),MATCH(M$3,Presupuesto!$F$4:$CO$4,0)),0)</f>
        <v>31723000</v>
      </c>
      <c r="N24" s="35">
        <f>IFERROR(INDEX(Presupuesto!$F$7:$CO$46,MATCH($A24,Presupuesto!$A$7:$A$46,0),MATCH(N$3,Presupuesto!$F$4:$CO$4,0)),0)</f>
        <v>31723000</v>
      </c>
      <c r="O24" s="35">
        <f>IFERROR(INDEX(Presupuesto!$F$7:$CO$46,MATCH($A24,Presupuesto!$A$7:$A$46,0),MATCH(O$3,Presupuesto!$F$4:$CO$4,0)),0)</f>
        <v>31723000</v>
      </c>
      <c r="P24" s="35">
        <f>IFERROR(INDEX(Presupuesto!$F$7:$CO$46,MATCH($A24,Presupuesto!$A$7:$A$46,0),MATCH(P$3,Presupuesto!$F$4:$CO$4,0)),0)</f>
        <v>31723000</v>
      </c>
      <c r="Q24" s="35">
        <f>IFERROR(INDEX(Presupuesto!$F$7:$CO$46,MATCH($A24,Presupuesto!$A$7:$A$46,0),MATCH(Q$3,Presupuesto!$F$4:$CO$4,0)),0)</f>
        <v>31723000</v>
      </c>
      <c r="R24" s="35">
        <f>IFERROR(INDEX(Presupuesto!$F$7:$CO$46,MATCH($A24,Presupuesto!$A$7:$A$46,0),MATCH(R$3,Presupuesto!$F$4:$CO$4,0)),0)</f>
        <v>31723000</v>
      </c>
      <c r="S24" s="35">
        <f>IFERROR(INDEX(Presupuesto!$F$7:$CO$46,MATCH($A24,Presupuesto!$A$7:$A$46,0),MATCH(S$3,Presupuesto!$F$4:$CO$4,0)),0)</f>
        <v>31723000</v>
      </c>
    </row>
    <row r="25" spans="1:19" ht="14.4" hidden="1" outlineLevel="1" x14ac:dyDescent="0.3">
      <c r="A25" t="str">
        <f>Presupuesto!A27</f>
        <v>Bonificaciones</v>
      </c>
      <c r="B25" s="33">
        <f>SUMIFS(TablaEgresos[[Valor]:[Valor]],TablaEgresos[[Categoría]:[Categoría]],$A25,TablaEgresos[[Mes]:[Mes]],B$3)</f>
        <v>80314004.410000011</v>
      </c>
      <c r="C25" s="35">
        <f>IFERROR(INDEX(Presupuesto!$F$7:$CO$46,MATCH($A25,Presupuesto!$A$7:$A$46,0),MATCH(C$3,Presupuesto!$F$4:$CO$4,0)),0)</f>
        <v>0</v>
      </c>
      <c r="D25" s="35">
        <f>IFERROR(INDEX(Presupuesto!$F$7:$CO$46,MATCH($A25,Presupuesto!$A$7:$A$46,0),MATCH(D$3,Presupuesto!$F$4:$CO$4,0)),0)</f>
        <v>0</v>
      </c>
      <c r="E25" s="35">
        <f>IFERROR(INDEX(Presupuesto!$F$7:$CO$46,MATCH($A25,Presupuesto!$A$7:$A$46,0),MATCH(E$3,Presupuesto!$F$4:$CO$4,0)),0)</f>
        <v>0</v>
      </c>
      <c r="F25" s="35">
        <f>IFERROR(INDEX(Presupuesto!$F$7:$CO$46,MATCH($A25,Presupuesto!$A$7:$A$46,0),MATCH(F$3,Presupuesto!$F$4:$CO$4,0)),0)</f>
        <v>0</v>
      </c>
      <c r="G25" s="35">
        <f>IFERROR(INDEX(Presupuesto!$F$7:$CO$46,MATCH($A25,Presupuesto!$A$7:$A$46,0),MATCH(G$3,Presupuesto!$F$4:$CO$4,0)),0)</f>
        <v>0</v>
      </c>
      <c r="H25" s="35">
        <f>IFERROR(INDEX(Presupuesto!$F$7:$CO$46,MATCH($A25,Presupuesto!$A$7:$A$46,0),MATCH(H$3,Presupuesto!$F$4:$CO$4,0)),0)</f>
        <v>0</v>
      </c>
      <c r="I25" s="35">
        <f>IFERROR(INDEX(Presupuesto!$F$7:$CO$46,MATCH($A25,Presupuesto!$A$7:$A$46,0),MATCH(I$3,Presupuesto!$F$4:$CO$4,0)),0)</f>
        <v>0</v>
      </c>
      <c r="J25" s="35">
        <f>IFERROR(INDEX(Presupuesto!$F$7:$CO$46,MATCH($A25,Presupuesto!$A$7:$A$46,0),MATCH(J$3,Presupuesto!$F$4:$CO$4,0)),0)</f>
        <v>0</v>
      </c>
      <c r="K25" s="35">
        <f>IFERROR(INDEX(Presupuesto!$F$7:$CO$46,MATCH($A25,Presupuesto!$A$7:$A$46,0),MATCH(K$3,Presupuesto!$F$4:$CO$4,0)),0)</f>
        <v>0</v>
      </c>
      <c r="L25" s="35">
        <f>IFERROR(INDEX(Presupuesto!$F$7:$CO$46,MATCH($A25,Presupuesto!$A$7:$A$46,0),MATCH(L$3,Presupuesto!$F$4:$CO$4,0)),0)</f>
        <v>0</v>
      </c>
      <c r="M25" s="35">
        <f>IFERROR(INDEX(Presupuesto!$F$7:$CO$46,MATCH($A25,Presupuesto!$A$7:$A$46,0),MATCH(M$3,Presupuesto!$F$4:$CO$4,0)),0)</f>
        <v>0</v>
      </c>
      <c r="N25" s="35">
        <f>IFERROR(INDEX(Presupuesto!$F$7:$CO$46,MATCH($A25,Presupuesto!$A$7:$A$46,0),MATCH(N$3,Presupuesto!$F$4:$CO$4,0)),0)</f>
        <v>0</v>
      </c>
      <c r="O25" s="35">
        <f>IFERROR(INDEX(Presupuesto!$F$7:$CO$46,MATCH($A25,Presupuesto!$A$7:$A$46,0),MATCH(O$3,Presupuesto!$F$4:$CO$4,0)),0)</f>
        <v>0</v>
      </c>
      <c r="P25" s="35">
        <f>IFERROR(INDEX(Presupuesto!$F$7:$CO$46,MATCH($A25,Presupuesto!$A$7:$A$46,0),MATCH(P$3,Presupuesto!$F$4:$CO$4,0)),0)</f>
        <v>0</v>
      </c>
      <c r="Q25" s="35">
        <f>IFERROR(INDEX(Presupuesto!$F$7:$CO$46,MATCH($A25,Presupuesto!$A$7:$A$46,0),MATCH(Q$3,Presupuesto!$F$4:$CO$4,0)),0)</f>
        <v>0</v>
      </c>
      <c r="R25" s="35">
        <f>IFERROR(INDEX(Presupuesto!$F$7:$CO$46,MATCH($A25,Presupuesto!$A$7:$A$46,0),MATCH(R$3,Presupuesto!$F$4:$CO$4,0)),0)</f>
        <v>0</v>
      </c>
      <c r="S25" s="35">
        <f>IFERROR(INDEX(Presupuesto!$F$7:$CO$46,MATCH($A25,Presupuesto!$A$7:$A$46,0),MATCH(S$3,Presupuesto!$F$4:$CO$4,0)),0)</f>
        <v>0</v>
      </c>
    </row>
    <row r="26" spans="1:19" ht="14.4" hidden="1" outlineLevel="1" x14ac:dyDescent="0.3">
      <c r="A26" t="str">
        <f>Presupuesto!A28</f>
        <v>Beneficios Heads</v>
      </c>
      <c r="B26" s="33">
        <f>SUMIFS(TablaEgresos[[Valor]:[Valor]],TablaEgresos[[Categoría]:[Categoría]],$A26,TablaEgresos[[Mes]:[Mes]],B$3)</f>
        <v>0</v>
      </c>
      <c r="C26" s="35">
        <f>IFERROR(INDEX(Presupuesto!$F$7:$CO$46,MATCH($A26,Presupuesto!$A$7:$A$46,0),MATCH(C$3,Presupuesto!$F$4:$CO$4,0)),0)</f>
        <v>350000</v>
      </c>
      <c r="D26" s="35">
        <f>IFERROR(INDEX(Presupuesto!$F$7:$CO$46,MATCH($A26,Presupuesto!$A$7:$A$46,0),MATCH(D$3,Presupuesto!$F$4:$CO$4,0)),0)</f>
        <v>350000</v>
      </c>
      <c r="E26" s="35">
        <f>IFERROR(INDEX(Presupuesto!$F$7:$CO$46,MATCH($A26,Presupuesto!$A$7:$A$46,0),MATCH(E$3,Presupuesto!$F$4:$CO$4,0)),0)</f>
        <v>350000</v>
      </c>
      <c r="F26" s="35">
        <f>IFERROR(INDEX(Presupuesto!$F$7:$CO$46,MATCH($A26,Presupuesto!$A$7:$A$46,0),MATCH(F$3,Presupuesto!$F$4:$CO$4,0)),0)</f>
        <v>350000</v>
      </c>
      <c r="G26" s="35">
        <f>IFERROR(INDEX(Presupuesto!$F$7:$CO$46,MATCH($A26,Presupuesto!$A$7:$A$46,0),MATCH(G$3,Presupuesto!$F$4:$CO$4,0)),0)</f>
        <v>350000</v>
      </c>
      <c r="H26" s="35">
        <f>IFERROR(INDEX(Presupuesto!$F$7:$CO$46,MATCH($A26,Presupuesto!$A$7:$A$46,0),MATCH(H$3,Presupuesto!$F$4:$CO$4,0)),0)</f>
        <v>350000</v>
      </c>
      <c r="I26" s="35">
        <f>IFERROR(INDEX(Presupuesto!$F$7:$CO$46,MATCH($A26,Presupuesto!$A$7:$A$46,0),MATCH(I$3,Presupuesto!$F$4:$CO$4,0)),0)</f>
        <v>350000</v>
      </c>
      <c r="J26" s="35">
        <f>IFERROR(INDEX(Presupuesto!$F$7:$CO$46,MATCH($A26,Presupuesto!$A$7:$A$46,0),MATCH(J$3,Presupuesto!$F$4:$CO$4,0)),0)</f>
        <v>350000</v>
      </c>
      <c r="K26" s="35">
        <f>IFERROR(INDEX(Presupuesto!$F$7:$CO$46,MATCH($A26,Presupuesto!$A$7:$A$46,0),MATCH(K$3,Presupuesto!$F$4:$CO$4,0)),0)</f>
        <v>350000</v>
      </c>
      <c r="L26" s="35">
        <f>IFERROR(INDEX(Presupuesto!$F$7:$CO$46,MATCH($A26,Presupuesto!$A$7:$A$46,0),MATCH(L$3,Presupuesto!$F$4:$CO$4,0)),0)</f>
        <v>350000</v>
      </c>
      <c r="M26" s="35">
        <f>IFERROR(INDEX(Presupuesto!$F$7:$CO$46,MATCH($A26,Presupuesto!$A$7:$A$46,0),MATCH(M$3,Presupuesto!$F$4:$CO$4,0)),0)</f>
        <v>350000</v>
      </c>
      <c r="N26" s="35">
        <f>IFERROR(INDEX(Presupuesto!$F$7:$CO$46,MATCH($A26,Presupuesto!$A$7:$A$46,0),MATCH(N$3,Presupuesto!$F$4:$CO$4,0)),0)</f>
        <v>350000</v>
      </c>
      <c r="O26" s="35">
        <f>IFERROR(INDEX(Presupuesto!$F$7:$CO$46,MATCH($A26,Presupuesto!$A$7:$A$46,0),MATCH(O$3,Presupuesto!$F$4:$CO$4,0)),0)</f>
        <v>350000</v>
      </c>
      <c r="P26" s="35">
        <f>IFERROR(INDEX(Presupuesto!$F$7:$CO$46,MATCH($A26,Presupuesto!$A$7:$A$46,0),MATCH(P$3,Presupuesto!$F$4:$CO$4,0)),0)</f>
        <v>350000</v>
      </c>
      <c r="Q26" s="35">
        <f>IFERROR(INDEX(Presupuesto!$F$7:$CO$46,MATCH($A26,Presupuesto!$A$7:$A$46,0),MATCH(Q$3,Presupuesto!$F$4:$CO$4,0)),0)</f>
        <v>350000</v>
      </c>
      <c r="R26" s="35">
        <f>IFERROR(INDEX(Presupuesto!$F$7:$CO$46,MATCH($A26,Presupuesto!$A$7:$A$46,0),MATCH(R$3,Presupuesto!$F$4:$CO$4,0)),0)</f>
        <v>350000</v>
      </c>
      <c r="S26" s="35">
        <f>IFERROR(INDEX(Presupuesto!$F$7:$CO$46,MATCH($A26,Presupuesto!$A$7:$A$46,0),MATCH(S$3,Presupuesto!$F$4:$CO$4,0)),0)</f>
        <v>350000</v>
      </c>
    </row>
    <row r="27" spans="1:19" ht="14.4" hidden="1" outlineLevel="1" x14ac:dyDescent="0.3">
      <c r="A27" t="str">
        <f>Presupuesto!A29</f>
        <v>Planillas nuevas</v>
      </c>
      <c r="B27" s="33">
        <f>SUMIFS(TablaEgresos[[Valor]:[Valor]],TablaEgresos[[Categoría]:[Categoría]],$A27,TablaEgresos[[Mes]:[Mes]],B$3)</f>
        <v>0</v>
      </c>
      <c r="C27" s="35">
        <f>IFERROR(INDEX(Presupuesto!$F$7:$CO$46,MATCH($A27,Presupuesto!$A$7:$A$46,0),MATCH(C$3,Presupuesto!$F$4:$CO$4,0)),0)</f>
        <v>6000000</v>
      </c>
      <c r="D27" s="35">
        <f>IFERROR(INDEX(Presupuesto!$F$7:$CO$46,MATCH($A27,Presupuesto!$A$7:$A$46,0),MATCH(D$3,Presupuesto!$F$4:$CO$4,0)),0)</f>
        <v>6000000</v>
      </c>
      <c r="E27" s="35">
        <f>IFERROR(INDEX(Presupuesto!$F$7:$CO$46,MATCH($A27,Presupuesto!$A$7:$A$46,0),MATCH(E$3,Presupuesto!$F$4:$CO$4,0)),0)</f>
        <v>6000000</v>
      </c>
      <c r="F27" s="35">
        <f>IFERROR(INDEX(Presupuesto!$F$7:$CO$46,MATCH($A27,Presupuesto!$A$7:$A$46,0),MATCH(F$3,Presupuesto!$F$4:$CO$4,0)),0)</f>
        <v>6000000</v>
      </c>
      <c r="G27" s="35">
        <f>IFERROR(INDEX(Presupuesto!$F$7:$CO$46,MATCH($A27,Presupuesto!$A$7:$A$46,0),MATCH(G$3,Presupuesto!$F$4:$CO$4,0)),0)</f>
        <v>6000000</v>
      </c>
      <c r="H27" s="35">
        <f>IFERROR(INDEX(Presupuesto!$F$7:$CO$46,MATCH($A27,Presupuesto!$A$7:$A$46,0),MATCH(H$3,Presupuesto!$F$4:$CO$4,0)),0)</f>
        <v>6000000</v>
      </c>
      <c r="I27" s="35">
        <f>IFERROR(INDEX(Presupuesto!$F$7:$CO$46,MATCH($A27,Presupuesto!$A$7:$A$46,0),MATCH(I$3,Presupuesto!$F$4:$CO$4,0)),0)</f>
        <v>6000000</v>
      </c>
      <c r="J27" s="35">
        <f>IFERROR(INDEX(Presupuesto!$F$7:$CO$46,MATCH($A27,Presupuesto!$A$7:$A$46,0),MATCH(J$3,Presupuesto!$F$4:$CO$4,0)),0)</f>
        <v>6000000</v>
      </c>
      <c r="K27" s="35">
        <f>IFERROR(INDEX(Presupuesto!$F$7:$CO$46,MATCH($A27,Presupuesto!$A$7:$A$46,0),MATCH(K$3,Presupuesto!$F$4:$CO$4,0)),0)</f>
        <v>6000000</v>
      </c>
      <c r="L27" s="35">
        <f>IFERROR(INDEX(Presupuesto!$F$7:$CO$46,MATCH($A27,Presupuesto!$A$7:$A$46,0),MATCH(L$3,Presupuesto!$F$4:$CO$4,0)),0)</f>
        <v>6000000</v>
      </c>
      <c r="M27" s="35">
        <f>IFERROR(INDEX(Presupuesto!$F$7:$CO$46,MATCH($A27,Presupuesto!$A$7:$A$46,0),MATCH(M$3,Presupuesto!$F$4:$CO$4,0)),0)</f>
        <v>6000000</v>
      </c>
      <c r="N27" s="35">
        <f>IFERROR(INDEX(Presupuesto!$F$7:$CO$46,MATCH($A27,Presupuesto!$A$7:$A$46,0),MATCH(N$3,Presupuesto!$F$4:$CO$4,0)),0)</f>
        <v>6000000</v>
      </c>
      <c r="O27" s="35">
        <f>IFERROR(INDEX(Presupuesto!$F$7:$CO$46,MATCH($A27,Presupuesto!$A$7:$A$46,0),MATCH(O$3,Presupuesto!$F$4:$CO$4,0)),0)</f>
        <v>6000000</v>
      </c>
      <c r="P27" s="35">
        <f>IFERROR(INDEX(Presupuesto!$F$7:$CO$46,MATCH($A27,Presupuesto!$A$7:$A$46,0),MATCH(P$3,Presupuesto!$F$4:$CO$4,0)),0)</f>
        <v>6000000</v>
      </c>
      <c r="Q27" s="35">
        <f>IFERROR(INDEX(Presupuesto!$F$7:$CO$46,MATCH($A27,Presupuesto!$A$7:$A$46,0),MATCH(Q$3,Presupuesto!$F$4:$CO$4,0)),0)</f>
        <v>6000000</v>
      </c>
      <c r="R27" s="35">
        <f>IFERROR(INDEX(Presupuesto!$F$7:$CO$46,MATCH($A27,Presupuesto!$A$7:$A$46,0),MATCH(R$3,Presupuesto!$F$4:$CO$4,0)),0)</f>
        <v>6000000</v>
      </c>
      <c r="S27" s="35">
        <f>IFERROR(INDEX(Presupuesto!$F$7:$CO$46,MATCH($A27,Presupuesto!$A$7:$A$46,0),MATCH(S$3,Presupuesto!$F$4:$CO$4,0)),0)</f>
        <v>6000000</v>
      </c>
    </row>
    <row r="28" spans="1:19" ht="14.4" hidden="1" outlineLevel="1" x14ac:dyDescent="0.3">
      <c r="A28" t="str">
        <f>Presupuesto!A30</f>
        <v>Planillas anteriores</v>
      </c>
      <c r="B28" s="33">
        <f>SUMIFS(TablaEgresos[[Valor]:[Valor]],TablaEgresos[[Categoría]:[Categoría]],$A28,TablaEgresos[[Mes]:[Mes]],B$3)</f>
        <v>38979200</v>
      </c>
      <c r="C28" s="35">
        <f>IFERROR(INDEX(Presupuesto!$F$7:$CO$46,MATCH($A28,Presupuesto!$A$7:$A$46,0),MATCH(C$3,Presupuesto!$F$4:$CO$4,0)),0)</f>
        <v>0</v>
      </c>
      <c r="D28" s="35">
        <f>IFERROR(INDEX(Presupuesto!$F$7:$CO$46,MATCH($A28,Presupuesto!$A$7:$A$46,0),MATCH(D$3,Presupuesto!$F$4:$CO$4,0)),0)</f>
        <v>0</v>
      </c>
      <c r="E28" s="35">
        <f>IFERROR(INDEX(Presupuesto!$F$7:$CO$46,MATCH($A28,Presupuesto!$A$7:$A$46,0),MATCH(E$3,Presupuesto!$F$4:$CO$4,0)),0)</f>
        <v>0</v>
      </c>
      <c r="F28" s="35">
        <f>IFERROR(INDEX(Presupuesto!$F$7:$CO$46,MATCH($A28,Presupuesto!$A$7:$A$46,0),MATCH(F$3,Presupuesto!$F$4:$CO$4,0)),0)</f>
        <v>0</v>
      </c>
      <c r="G28" s="35">
        <f>IFERROR(INDEX(Presupuesto!$F$7:$CO$46,MATCH($A28,Presupuesto!$A$7:$A$46,0),MATCH(G$3,Presupuesto!$F$4:$CO$4,0)),0)</f>
        <v>0</v>
      </c>
      <c r="H28" s="35">
        <f>IFERROR(INDEX(Presupuesto!$F$7:$CO$46,MATCH($A28,Presupuesto!$A$7:$A$46,0),MATCH(H$3,Presupuesto!$F$4:$CO$4,0)),0)</f>
        <v>0</v>
      </c>
      <c r="I28" s="35">
        <f>IFERROR(INDEX(Presupuesto!$F$7:$CO$46,MATCH($A28,Presupuesto!$A$7:$A$46,0),MATCH(I$3,Presupuesto!$F$4:$CO$4,0)),0)</f>
        <v>0</v>
      </c>
      <c r="J28" s="35">
        <f>IFERROR(INDEX(Presupuesto!$F$7:$CO$46,MATCH($A28,Presupuesto!$A$7:$A$46,0),MATCH(J$3,Presupuesto!$F$4:$CO$4,0)),0)</f>
        <v>0</v>
      </c>
      <c r="K28" s="35">
        <f>IFERROR(INDEX(Presupuesto!$F$7:$CO$46,MATCH($A28,Presupuesto!$A$7:$A$46,0),MATCH(K$3,Presupuesto!$F$4:$CO$4,0)),0)</f>
        <v>0</v>
      </c>
      <c r="L28" s="35">
        <f>IFERROR(INDEX(Presupuesto!$F$7:$CO$46,MATCH($A28,Presupuesto!$A$7:$A$46,0),MATCH(L$3,Presupuesto!$F$4:$CO$4,0)),0)</f>
        <v>0</v>
      </c>
      <c r="M28" s="35">
        <f>IFERROR(INDEX(Presupuesto!$F$7:$CO$46,MATCH($A28,Presupuesto!$A$7:$A$46,0),MATCH(M$3,Presupuesto!$F$4:$CO$4,0)),0)</f>
        <v>0</v>
      </c>
      <c r="N28" s="35">
        <f>IFERROR(INDEX(Presupuesto!$F$7:$CO$46,MATCH($A28,Presupuesto!$A$7:$A$46,0),MATCH(N$3,Presupuesto!$F$4:$CO$4,0)),0)</f>
        <v>0</v>
      </c>
      <c r="O28" s="35">
        <f>IFERROR(INDEX(Presupuesto!$F$7:$CO$46,MATCH($A28,Presupuesto!$A$7:$A$46,0),MATCH(O$3,Presupuesto!$F$4:$CO$4,0)),0)</f>
        <v>0</v>
      </c>
      <c r="P28" s="35">
        <f>IFERROR(INDEX(Presupuesto!$F$7:$CO$46,MATCH($A28,Presupuesto!$A$7:$A$46,0),MATCH(P$3,Presupuesto!$F$4:$CO$4,0)),0)</f>
        <v>0</v>
      </c>
      <c r="Q28" s="35">
        <f>IFERROR(INDEX(Presupuesto!$F$7:$CO$46,MATCH($A28,Presupuesto!$A$7:$A$46,0),MATCH(Q$3,Presupuesto!$F$4:$CO$4,0)),0)</f>
        <v>0</v>
      </c>
      <c r="R28" s="35">
        <f>IFERROR(INDEX(Presupuesto!$F$7:$CO$46,MATCH($A28,Presupuesto!$A$7:$A$46,0),MATCH(R$3,Presupuesto!$F$4:$CO$4,0)),0)</f>
        <v>0</v>
      </c>
      <c r="S28" s="35">
        <f>IFERROR(INDEX(Presupuesto!$F$7:$CO$46,MATCH($A28,Presupuesto!$A$7:$A$46,0),MATCH(S$3,Presupuesto!$F$4:$CO$4,0)),0)</f>
        <v>0</v>
      </c>
    </row>
    <row r="29" spans="1:19" ht="14.4" collapsed="1" x14ac:dyDescent="0.3">
      <c r="A29" s="117" t="str">
        <f>Presupuesto!A31</f>
        <v>Subtotal Nómina</v>
      </c>
      <c r="B29" s="118">
        <f>SUM(B23:B28)</f>
        <v>149241428.35000002</v>
      </c>
      <c r="C29" s="118">
        <f t="shared" ref="C29:S29" si="2">SUM(C23:C28)</f>
        <v>49073000</v>
      </c>
      <c r="D29" s="118">
        <f t="shared" si="2"/>
        <v>49073000</v>
      </c>
      <c r="E29" s="118">
        <f t="shared" si="2"/>
        <v>49073000</v>
      </c>
      <c r="F29" s="118">
        <f t="shared" si="2"/>
        <v>49073000</v>
      </c>
      <c r="G29" s="118">
        <f t="shared" si="2"/>
        <v>49073000</v>
      </c>
      <c r="H29" s="118">
        <f t="shared" si="2"/>
        <v>49073000</v>
      </c>
      <c r="I29" s="118">
        <f t="shared" si="2"/>
        <v>49073000</v>
      </c>
      <c r="J29" s="118">
        <f t="shared" si="2"/>
        <v>49073000</v>
      </c>
      <c r="K29" s="118">
        <f t="shared" si="2"/>
        <v>49073000</v>
      </c>
      <c r="L29" s="118">
        <f t="shared" si="2"/>
        <v>49073000</v>
      </c>
      <c r="M29" s="118">
        <f t="shared" si="2"/>
        <v>49073000</v>
      </c>
      <c r="N29" s="118">
        <f t="shared" si="2"/>
        <v>49073000</v>
      </c>
      <c r="O29" s="118">
        <f t="shared" si="2"/>
        <v>49073000</v>
      </c>
      <c r="P29" s="118">
        <f t="shared" si="2"/>
        <v>49073000</v>
      </c>
      <c r="Q29" s="118">
        <f t="shared" si="2"/>
        <v>49073000</v>
      </c>
      <c r="R29" s="118">
        <f t="shared" si="2"/>
        <v>49073000</v>
      </c>
      <c r="S29" s="118">
        <f t="shared" si="2"/>
        <v>49073000</v>
      </c>
    </row>
    <row r="30" spans="1:19" ht="14.4" x14ac:dyDescent="0.3">
      <c r="A30" s="121" t="str">
        <f>Presupuesto!A32</f>
        <v>DEUDAS Y OBLIGACIONES</v>
      </c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</row>
    <row r="31" spans="1:19" ht="14.4" hidden="1" outlineLevel="1" x14ac:dyDescent="0.3">
      <c r="A31" t="str">
        <f>Presupuesto!A33</f>
        <v>Préstamos</v>
      </c>
      <c r="B31" s="33">
        <f>SUMIFS(TablaEgresos[[Valor]:[Valor]],TablaEgresos[[Categoría]:[Categoría]],$A31,TablaEgresos[[Mes]:[Mes]],B$3)</f>
        <v>17653260.960000001</v>
      </c>
      <c r="C31" s="35">
        <f>IFERROR(INDEX(Presupuesto!$F$7:$CO$46,MATCH($A31,Presupuesto!$A$7:$A$46,0),MATCH(C$3,Presupuesto!$F$4:$CO$4,0)),0)</f>
        <v>21000000</v>
      </c>
      <c r="D31" s="35">
        <f>IFERROR(INDEX(Presupuesto!$F$7:$CO$46,MATCH($A31,Presupuesto!$A$7:$A$46,0),MATCH(D$3,Presupuesto!$F$4:$CO$4,0)),0)</f>
        <v>21000000</v>
      </c>
      <c r="E31" s="35">
        <f>IFERROR(INDEX(Presupuesto!$F$7:$CO$46,MATCH($A31,Presupuesto!$A$7:$A$46,0),MATCH(E$3,Presupuesto!$F$4:$CO$4,0)),0)</f>
        <v>21000000</v>
      </c>
      <c r="F31" s="35">
        <f>IFERROR(INDEX(Presupuesto!$F$7:$CO$46,MATCH($A31,Presupuesto!$A$7:$A$46,0),MATCH(F$3,Presupuesto!$F$4:$CO$4,0)),0)</f>
        <v>21000000</v>
      </c>
      <c r="G31" s="35">
        <f>IFERROR(INDEX(Presupuesto!$F$7:$CO$46,MATCH($A31,Presupuesto!$A$7:$A$46,0),MATCH(G$3,Presupuesto!$F$4:$CO$4,0)),0)</f>
        <v>21000000</v>
      </c>
      <c r="H31" s="35">
        <f>IFERROR(INDEX(Presupuesto!$F$7:$CO$46,MATCH($A31,Presupuesto!$A$7:$A$46,0),MATCH(H$3,Presupuesto!$F$4:$CO$4,0)),0)</f>
        <v>21000000</v>
      </c>
      <c r="I31" s="35">
        <f>IFERROR(INDEX(Presupuesto!$F$7:$CO$46,MATCH($A31,Presupuesto!$A$7:$A$46,0),MATCH(I$3,Presupuesto!$F$4:$CO$4,0)),0)</f>
        <v>21000000</v>
      </c>
      <c r="J31" s="35">
        <f>IFERROR(INDEX(Presupuesto!$F$7:$CO$46,MATCH($A31,Presupuesto!$A$7:$A$46,0),MATCH(J$3,Presupuesto!$F$4:$CO$4,0)),0)</f>
        <v>21000000</v>
      </c>
      <c r="K31" s="35">
        <f>IFERROR(INDEX(Presupuesto!$F$7:$CO$46,MATCH($A31,Presupuesto!$A$7:$A$46,0),MATCH(K$3,Presupuesto!$F$4:$CO$4,0)),0)</f>
        <v>21000000</v>
      </c>
      <c r="L31" s="35">
        <f>IFERROR(INDEX(Presupuesto!$F$7:$CO$46,MATCH($A31,Presupuesto!$A$7:$A$46,0),MATCH(L$3,Presupuesto!$F$4:$CO$4,0)),0)</f>
        <v>21000000</v>
      </c>
      <c r="M31" s="35">
        <f>IFERROR(INDEX(Presupuesto!$F$7:$CO$46,MATCH($A31,Presupuesto!$A$7:$A$46,0),MATCH(M$3,Presupuesto!$F$4:$CO$4,0)),0)</f>
        <v>21000000</v>
      </c>
      <c r="N31" s="35">
        <f>IFERROR(INDEX(Presupuesto!$F$7:$CO$46,MATCH($A31,Presupuesto!$A$7:$A$46,0),MATCH(N$3,Presupuesto!$F$4:$CO$4,0)),0)</f>
        <v>21000000</v>
      </c>
      <c r="O31" s="35">
        <f>IFERROR(INDEX(Presupuesto!$F$7:$CO$46,MATCH($A31,Presupuesto!$A$7:$A$46,0),MATCH(O$3,Presupuesto!$F$4:$CO$4,0)),0)</f>
        <v>21000000</v>
      </c>
      <c r="P31" s="35">
        <f>IFERROR(INDEX(Presupuesto!$F$7:$CO$46,MATCH($A31,Presupuesto!$A$7:$A$46,0),MATCH(P$3,Presupuesto!$F$4:$CO$4,0)),0)</f>
        <v>21000000</v>
      </c>
      <c r="Q31" s="35">
        <f>IFERROR(INDEX(Presupuesto!$F$7:$CO$46,MATCH($A31,Presupuesto!$A$7:$A$46,0),MATCH(Q$3,Presupuesto!$F$4:$CO$4,0)),0)</f>
        <v>21000000</v>
      </c>
      <c r="R31" s="35">
        <f>IFERROR(INDEX(Presupuesto!$F$7:$CO$46,MATCH($A31,Presupuesto!$A$7:$A$46,0),MATCH(R$3,Presupuesto!$F$4:$CO$4,0)),0)</f>
        <v>21000000</v>
      </c>
      <c r="S31" s="35">
        <f>IFERROR(INDEX(Presupuesto!$F$7:$CO$46,MATCH($A31,Presupuesto!$A$7:$A$46,0),MATCH(S$3,Presupuesto!$F$4:$CO$4,0)),0)</f>
        <v>21000000</v>
      </c>
    </row>
    <row r="32" spans="1:19" ht="14.4" hidden="1" outlineLevel="1" x14ac:dyDescent="0.3">
      <c r="A32" t="str">
        <f>Presupuesto!A34</f>
        <v>Deudas tarjetas de crédito</v>
      </c>
      <c r="B32" s="33">
        <f>SUMIFS(TablaEgresos[[Valor]:[Valor]],TablaEgresos[[Categoría]:[Categoría]],$A32,TablaEgresos[[Mes]:[Mes]],B$3)</f>
        <v>9200000</v>
      </c>
      <c r="C32" s="35">
        <f>IFERROR(INDEX(Presupuesto!$F$7:$CO$46,MATCH($A32,Presupuesto!$A$7:$A$46,0),MATCH(C$3,Presupuesto!$F$4:$CO$4,0)),0)</f>
        <v>0</v>
      </c>
      <c r="D32" s="35">
        <f>IFERROR(INDEX(Presupuesto!$F$7:$CO$46,MATCH($A32,Presupuesto!$A$7:$A$46,0),MATCH(D$3,Presupuesto!$F$4:$CO$4,0)),0)</f>
        <v>0</v>
      </c>
      <c r="E32" s="35">
        <f>IFERROR(INDEX(Presupuesto!$F$7:$CO$46,MATCH($A32,Presupuesto!$A$7:$A$46,0),MATCH(E$3,Presupuesto!$F$4:$CO$4,0)),0)</f>
        <v>0</v>
      </c>
      <c r="F32" s="35">
        <f>IFERROR(INDEX(Presupuesto!$F$7:$CO$46,MATCH($A32,Presupuesto!$A$7:$A$46,0),MATCH(F$3,Presupuesto!$F$4:$CO$4,0)),0)</f>
        <v>0</v>
      </c>
      <c r="G32" s="35">
        <f>IFERROR(INDEX(Presupuesto!$F$7:$CO$46,MATCH($A32,Presupuesto!$A$7:$A$46,0),MATCH(G$3,Presupuesto!$F$4:$CO$4,0)),0)</f>
        <v>0</v>
      </c>
      <c r="H32" s="35">
        <f>IFERROR(INDEX(Presupuesto!$F$7:$CO$46,MATCH($A32,Presupuesto!$A$7:$A$46,0),MATCH(H$3,Presupuesto!$F$4:$CO$4,0)),0)</f>
        <v>0</v>
      </c>
      <c r="I32" s="35">
        <f>IFERROR(INDEX(Presupuesto!$F$7:$CO$46,MATCH($A32,Presupuesto!$A$7:$A$46,0),MATCH(I$3,Presupuesto!$F$4:$CO$4,0)),0)</f>
        <v>0</v>
      </c>
      <c r="J32" s="35">
        <f>IFERROR(INDEX(Presupuesto!$F$7:$CO$46,MATCH($A32,Presupuesto!$A$7:$A$46,0),MATCH(J$3,Presupuesto!$F$4:$CO$4,0)),0)</f>
        <v>0</v>
      </c>
      <c r="K32" s="35">
        <f>IFERROR(INDEX(Presupuesto!$F$7:$CO$46,MATCH($A32,Presupuesto!$A$7:$A$46,0),MATCH(K$3,Presupuesto!$F$4:$CO$4,0)),0)</f>
        <v>0</v>
      </c>
      <c r="L32" s="35">
        <f>IFERROR(INDEX(Presupuesto!$F$7:$CO$46,MATCH($A32,Presupuesto!$A$7:$A$46,0),MATCH(L$3,Presupuesto!$F$4:$CO$4,0)),0)</f>
        <v>0</v>
      </c>
      <c r="M32" s="35">
        <f>IFERROR(INDEX(Presupuesto!$F$7:$CO$46,MATCH($A32,Presupuesto!$A$7:$A$46,0),MATCH(M$3,Presupuesto!$F$4:$CO$4,0)),0)</f>
        <v>0</v>
      </c>
      <c r="N32" s="35">
        <f>IFERROR(INDEX(Presupuesto!$F$7:$CO$46,MATCH($A32,Presupuesto!$A$7:$A$46,0),MATCH(N$3,Presupuesto!$F$4:$CO$4,0)),0)</f>
        <v>0</v>
      </c>
      <c r="O32" s="35">
        <f>IFERROR(INDEX(Presupuesto!$F$7:$CO$46,MATCH($A32,Presupuesto!$A$7:$A$46,0),MATCH(O$3,Presupuesto!$F$4:$CO$4,0)),0)</f>
        <v>0</v>
      </c>
      <c r="P32" s="35">
        <f>IFERROR(INDEX(Presupuesto!$F$7:$CO$46,MATCH($A32,Presupuesto!$A$7:$A$46,0),MATCH(P$3,Presupuesto!$F$4:$CO$4,0)),0)</f>
        <v>0</v>
      </c>
      <c r="Q32" s="35">
        <f>IFERROR(INDEX(Presupuesto!$F$7:$CO$46,MATCH($A32,Presupuesto!$A$7:$A$46,0),MATCH(Q$3,Presupuesto!$F$4:$CO$4,0)),0)</f>
        <v>0</v>
      </c>
      <c r="R32" s="35">
        <f>IFERROR(INDEX(Presupuesto!$F$7:$CO$46,MATCH($A32,Presupuesto!$A$7:$A$46,0),MATCH(R$3,Presupuesto!$F$4:$CO$4,0)),0)</f>
        <v>0</v>
      </c>
      <c r="S32" s="35">
        <f>IFERROR(INDEX(Presupuesto!$F$7:$CO$46,MATCH($A32,Presupuesto!$A$7:$A$46,0),MATCH(S$3,Presupuesto!$F$4:$CO$4,0)),0)</f>
        <v>0</v>
      </c>
    </row>
    <row r="33" spans="1:19" ht="14.4" hidden="1" outlineLevel="1" x14ac:dyDescent="0.3">
      <c r="A33" t="str">
        <f>Presupuesto!A35</f>
        <v>Garantía cupo</v>
      </c>
      <c r="B33" s="33">
        <f>SUMIFS(TablaEgresos[[Valor]:[Valor]],TablaEgresos[[Categoría]:[Categoría]],$A33,TablaEgresos[[Mes]:[Mes]],B$3)</f>
        <v>0</v>
      </c>
      <c r="C33" s="35">
        <f>IFERROR(INDEX(Presupuesto!$F$7:$CO$46,MATCH($A33,Presupuesto!$A$7:$A$46,0),MATCH(C$3,Presupuesto!$F$4:$CO$4,0)),0)</f>
        <v>14000000</v>
      </c>
      <c r="D33" s="35">
        <f>IFERROR(INDEX(Presupuesto!$F$7:$CO$46,MATCH($A33,Presupuesto!$A$7:$A$46,0),MATCH(D$3,Presupuesto!$F$4:$CO$4,0)),0)</f>
        <v>14000000</v>
      </c>
      <c r="E33" s="35">
        <f>IFERROR(INDEX(Presupuesto!$F$7:$CO$46,MATCH($A33,Presupuesto!$A$7:$A$46,0),MATCH(E$3,Presupuesto!$F$4:$CO$4,0)),0)</f>
        <v>14000000</v>
      </c>
      <c r="F33" s="35">
        <f>IFERROR(INDEX(Presupuesto!$F$7:$CO$46,MATCH($A33,Presupuesto!$A$7:$A$46,0),MATCH(F$3,Presupuesto!$F$4:$CO$4,0)),0)</f>
        <v>14000000</v>
      </c>
      <c r="G33" s="35">
        <f>IFERROR(INDEX(Presupuesto!$F$7:$CO$46,MATCH($A33,Presupuesto!$A$7:$A$46,0),MATCH(G$3,Presupuesto!$F$4:$CO$4,0)),0)</f>
        <v>14000000</v>
      </c>
      <c r="H33" s="35">
        <f>IFERROR(INDEX(Presupuesto!$F$7:$CO$46,MATCH($A33,Presupuesto!$A$7:$A$46,0),MATCH(H$3,Presupuesto!$F$4:$CO$4,0)),0)</f>
        <v>14000000</v>
      </c>
      <c r="I33" s="35">
        <f>IFERROR(INDEX(Presupuesto!$F$7:$CO$46,MATCH($A33,Presupuesto!$A$7:$A$46,0),MATCH(I$3,Presupuesto!$F$4:$CO$4,0)),0)</f>
        <v>14000000</v>
      </c>
      <c r="J33" s="35">
        <f>IFERROR(INDEX(Presupuesto!$F$7:$CO$46,MATCH($A33,Presupuesto!$A$7:$A$46,0),MATCH(J$3,Presupuesto!$F$4:$CO$4,0)),0)</f>
        <v>14000000</v>
      </c>
      <c r="K33" s="35">
        <f>IFERROR(INDEX(Presupuesto!$F$7:$CO$46,MATCH($A33,Presupuesto!$A$7:$A$46,0),MATCH(K$3,Presupuesto!$F$4:$CO$4,0)),0)</f>
        <v>14000000</v>
      </c>
      <c r="L33" s="35">
        <f>IFERROR(INDEX(Presupuesto!$F$7:$CO$46,MATCH($A33,Presupuesto!$A$7:$A$46,0),MATCH(L$3,Presupuesto!$F$4:$CO$4,0)),0)</f>
        <v>14000000</v>
      </c>
      <c r="M33" s="35">
        <f>IFERROR(INDEX(Presupuesto!$F$7:$CO$46,MATCH($A33,Presupuesto!$A$7:$A$46,0),MATCH(M$3,Presupuesto!$F$4:$CO$4,0)),0)</f>
        <v>14000000</v>
      </c>
      <c r="N33" s="35">
        <f>IFERROR(INDEX(Presupuesto!$F$7:$CO$46,MATCH($A33,Presupuesto!$A$7:$A$46,0),MATCH(N$3,Presupuesto!$F$4:$CO$4,0)),0)</f>
        <v>14000000</v>
      </c>
      <c r="O33" s="35">
        <f>IFERROR(INDEX(Presupuesto!$F$7:$CO$46,MATCH($A33,Presupuesto!$A$7:$A$46,0),MATCH(O$3,Presupuesto!$F$4:$CO$4,0)),0)</f>
        <v>14000000</v>
      </c>
      <c r="P33" s="35">
        <f>IFERROR(INDEX(Presupuesto!$F$7:$CO$46,MATCH($A33,Presupuesto!$A$7:$A$46,0),MATCH(P$3,Presupuesto!$F$4:$CO$4,0)),0)</f>
        <v>14000000</v>
      </c>
      <c r="Q33" s="35">
        <f>IFERROR(INDEX(Presupuesto!$F$7:$CO$46,MATCH($A33,Presupuesto!$A$7:$A$46,0),MATCH(Q$3,Presupuesto!$F$4:$CO$4,0)),0)</f>
        <v>14000000</v>
      </c>
      <c r="R33" s="35">
        <f>IFERROR(INDEX(Presupuesto!$F$7:$CO$46,MATCH($A33,Presupuesto!$A$7:$A$46,0),MATCH(R$3,Presupuesto!$F$4:$CO$4,0)),0)</f>
        <v>14000000</v>
      </c>
      <c r="S33" s="35">
        <f>IFERROR(INDEX(Presupuesto!$F$7:$CO$46,MATCH($A33,Presupuesto!$A$7:$A$46,0),MATCH(S$3,Presupuesto!$F$4:$CO$4,0)),0)</f>
        <v>14000000</v>
      </c>
    </row>
    <row r="34" spans="1:19" ht="14.4" hidden="1" outlineLevel="1" x14ac:dyDescent="0.3">
      <c r="A34" t="str">
        <f>Presupuesto!A36</f>
        <v>Deudas impuestos</v>
      </c>
      <c r="B34" s="33">
        <f>SUMIFS(TablaEgresos[[Valor]:[Valor]],TablaEgresos[[Categoría]:[Categoría]],$A34,TablaEgresos[[Mes]:[Mes]],B$3)</f>
        <v>0</v>
      </c>
      <c r="C34" s="35">
        <f>IFERROR(INDEX(Presupuesto!$F$7:$CO$46,MATCH($A34,Presupuesto!$A$7:$A$46,0),MATCH(C$3,Presupuesto!$F$4:$CO$4,0)),0)</f>
        <v>2500000</v>
      </c>
      <c r="D34" s="35">
        <f>IFERROR(INDEX(Presupuesto!$F$7:$CO$46,MATCH($A34,Presupuesto!$A$7:$A$46,0),MATCH(D$3,Presupuesto!$F$4:$CO$4,0)),0)</f>
        <v>2500000</v>
      </c>
      <c r="E34" s="35">
        <f>IFERROR(INDEX(Presupuesto!$F$7:$CO$46,MATCH($A34,Presupuesto!$A$7:$A$46,0),MATCH(E$3,Presupuesto!$F$4:$CO$4,0)),0)</f>
        <v>2500000</v>
      </c>
      <c r="F34" s="35">
        <f>IFERROR(INDEX(Presupuesto!$F$7:$CO$46,MATCH($A34,Presupuesto!$A$7:$A$46,0),MATCH(F$3,Presupuesto!$F$4:$CO$4,0)),0)</f>
        <v>2500000</v>
      </c>
      <c r="G34" s="35">
        <f>IFERROR(INDEX(Presupuesto!$F$7:$CO$46,MATCH($A34,Presupuesto!$A$7:$A$46,0),MATCH(G$3,Presupuesto!$F$4:$CO$4,0)),0)</f>
        <v>2500000</v>
      </c>
      <c r="H34" s="35">
        <f>IFERROR(INDEX(Presupuesto!$F$7:$CO$46,MATCH($A34,Presupuesto!$A$7:$A$46,0),MATCH(H$3,Presupuesto!$F$4:$CO$4,0)),0)</f>
        <v>2500000</v>
      </c>
      <c r="I34" s="35">
        <f>IFERROR(INDEX(Presupuesto!$F$7:$CO$46,MATCH($A34,Presupuesto!$A$7:$A$46,0),MATCH(I$3,Presupuesto!$F$4:$CO$4,0)),0)</f>
        <v>2500000</v>
      </c>
      <c r="J34" s="35">
        <f>IFERROR(INDEX(Presupuesto!$F$7:$CO$46,MATCH($A34,Presupuesto!$A$7:$A$46,0),MATCH(J$3,Presupuesto!$F$4:$CO$4,0)),0)</f>
        <v>2500000</v>
      </c>
      <c r="K34" s="35">
        <f>IFERROR(INDEX(Presupuesto!$F$7:$CO$46,MATCH($A34,Presupuesto!$A$7:$A$46,0),MATCH(K$3,Presupuesto!$F$4:$CO$4,0)),0)</f>
        <v>2500000</v>
      </c>
      <c r="L34" s="35">
        <f>IFERROR(INDEX(Presupuesto!$F$7:$CO$46,MATCH($A34,Presupuesto!$A$7:$A$46,0),MATCH(L$3,Presupuesto!$F$4:$CO$4,0)),0)</f>
        <v>2500000</v>
      </c>
      <c r="M34" s="35">
        <f>IFERROR(INDEX(Presupuesto!$F$7:$CO$46,MATCH($A34,Presupuesto!$A$7:$A$46,0),MATCH(M$3,Presupuesto!$F$4:$CO$4,0)),0)</f>
        <v>2500000</v>
      </c>
      <c r="N34" s="35">
        <f>IFERROR(INDEX(Presupuesto!$F$7:$CO$46,MATCH($A34,Presupuesto!$A$7:$A$46,0),MATCH(N$3,Presupuesto!$F$4:$CO$4,0)),0)</f>
        <v>2500000</v>
      </c>
      <c r="O34" s="35">
        <f>IFERROR(INDEX(Presupuesto!$F$7:$CO$46,MATCH($A34,Presupuesto!$A$7:$A$46,0),MATCH(O$3,Presupuesto!$F$4:$CO$4,0)),0)</f>
        <v>2500000</v>
      </c>
      <c r="P34" s="35">
        <f>IFERROR(INDEX(Presupuesto!$F$7:$CO$46,MATCH($A34,Presupuesto!$A$7:$A$46,0),MATCH(P$3,Presupuesto!$F$4:$CO$4,0)),0)</f>
        <v>2500000</v>
      </c>
      <c r="Q34" s="35">
        <f>IFERROR(INDEX(Presupuesto!$F$7:$CO$46,MATCH($A34,Presupuesto!$A$7:$A$46,0),MATCH(Q$3,Presupuesto!$F$4:$CO$4,0)),0)</f>
        <v>2500000</v>
      </c>
      <c r="R34" s="35">
        <f>IFERROR(INDEX(Presupuesto!$F$7:$CO$46,MATCH($A34,Presupuesto!$A$7:$A$46,0),MATCH(R$3,Presupuesto!$F$4:$CO$4,0)),0)</f>
        <v>2500000</v>
      </c>
      <c r="S34" s="35">
        <f>IFERROR(INDEX(Presupuesto!$F$7:$CO$46,MATCH($A34,Presupuesto!$A$7:$A$46,0),MATCH(S$3,Presupuesto!$F$4:$CO$4,0)),0)</f>
        <v>2500000</v>
      </c>
    </row>
    <row r="35" spans="1:19" ht="14.4" hidden="1" outlineLevel="1" x14ac:dyDescent="0.3">
      <c r="A35" t="str">
        <f>Presupuesto!A37</f>
        <v>Deudas proveedores anteriores</v>
      </c>
      <c r="B35" s="33">
        <f>SUMIFS(TablaEgresos[[Valor]:[Valor]],TablaEgresos[[Categoría]:[Categoría]],$A35,TablaEgresos[[Mes]:[Mes]],B$3)</f>
        <v>9999999.7699999996</v>
      </c>
      <c r="C35" s="35">
        <f>IFERROR(INDEX(Presupuesto!$F$7:$CO$46,MATCH($A35,Presupuesto!$A$7:$A$46,0),MATCH(C$3,Presupuesto!$F$4:$CO$4,0)),0)</f>
        <v>30000000</v>
      </c>
      <c r="D35" s="35">
        <f>IFERROR(INDEX(Presupuesto!$F$7:$CO$46,MATCH($A35,Presupuesto!$A$7:$A$46,0),MATCH(D$3,Presupuesto!$F$4:$CO$4,0)),0)</f>
        <v>30000000</v>
      </c>
      <c r="E35" s="35">
        <f>IFERROR(INDEX(Presupuesto!$F$7:$CO$46,MATCH($A35,Presupuesto!$A$7:$A$46,0),MATCH(E$3,Presupuesto!$F$4:$CO$4,0)),0)</f>
        <v>30000000</v>
      </c>
      <c r="F35" s="35">
        <f>IFERROR(INDEX(Presupuesto!$F$7:$CO$46,MATCH($A35,Presupuesto!$A$7:$A$46,0),MATCH(F$3,Presupuesto!$F$4:$CO$4,0)),0)</f>
        <v>30000000</v>
      </c>
      <c r="G35" s="35">
        <f>IFERROR(INDEX(Presupuesto!$F$7:$CO$46,MATCH($A35,Presupuesto!$A$7:$A$46,0),MATCH(G$3,Presupuesto!$F$4:$CO$4,0)),0)</f>
        <v>30000000</v>
      </c>
      <c r="H35" s="35">
        <f>IFERROR(INDEX(Presupuesto!$F$7:$CO$46,MATCH($A35,Presupuesto!$A$7:$A$46,0),MATCH(H$3,Presupuesto!$F$4:$CO$4,0)),0)</f>
        <v>30000000</v>
      </c>
      <c r="I35" s="35">
        <f>IFERROR(INDEX(Presupuesto!$F$7:$CO$46,MATCH($A35,Presupuesto!$A$7:$A$46,0),MATCH(I$3,Presupuesto!$F$4:$CO$4,0)),0)</f>
        <v>30000000</v>
      </c>
      <c r="J35" s="35">
        <f>IFERROR(INDEX(Presupuesto!$F$7:$CO$46,MATCH($A35,Presupuesto!$A$7:$A$46,0),MATCH(J$3,Presupuesto!$F$4:$CO$4,0)),0)</f>
        <v>30000000</v>
      </c>
      <c r="K35" s="35">
        <f>IFERROR(INDEX(Presupuesto!$F$7:$CO$46,MATCH($A35,Presupuesto!$A$7:$A$46,0),MATCH(K$3,Presupuesto!$F$4:$CO$4,0)),0)</f>
        <v>30000000</v>
      </c>
      <c r="L35" s="35">
        <f>IFERROR(INDEX(Presupuesto!$F$7:$CO$46,MATCH($A35,Presupuesto!$A$7:$A$46,0),MATCH(L$3,Presupuesto!$F$4:$CO$4,0)),0)</f>
        <v>30000000</v>
      </c>
      <c r="M35" s="35">
        <f>IFERROR(INDEX(Presupuesto!$F$7:$CO$46,MATCH($A35,Presupuesto!$A$7:$A$46,0),MATCH(M$3,Presupuesto!$F$4:$CO$4,0)),0)</f>
        <v>30000000</v>
      </c>
      <c r="N35" s="35">
        <f>IFERROR(INDEX(Presupuesto!$F$7:$CO$46,MATCH($A35,Presupuesto!$A$7:$A$46,0),MATCH(N$3,Presupuesto!$F$4:$CO$4,0)),0)</f>
        <v>30000000</v>
      </c>
      <c r="O35" s="35">
        <f>IFERROR(INDEX(Presupuesto!$F$7:$CO$46,MATCH($A35,Presupuesto!$A$7:$A$46,0),MATCH(O$3,Presupuesto!$F$4:$CO$4,0)),0)</f>
        <v>30000000</v>
      </c>
      <c r="P35" s="35">
        <f>IFERROR(INDEX(Presupuesto!$F$7:$CO$46,MATCH($A35,Presupuesto!$A$7:$A$46,0),MATCH(P$3,Presupuesto!$F$4:$CO$4,0)),0)</f>
        <v>30000000</v>
      </c>
      <c r="Q35" s="35">
        <f>IFERROR(INDEX(Presupuesto!$F$7:$CO$46,MATCH($A35,Presupuesto!$A$7:$A$46,0),MATCH(Q$3,Presupuesto!$F$4:$CO$4,0)),0)</f>
        <v>30000000</v>
      </c>
      <c r="R35" s="35">
        <f>IFERROR(INDEX(Presupuesto!$F$7:$CO$46,MATCH($A35,Presupuesto!$A$7:$A$46,0),MATCH(R$3,Presupuesto!$F$4:$CO$4,0)),0)</f>
        <v>30000000</v>
      </c>
      <c r="S35" s="35">
        <f>IFERROR(INDEX(Presupuesto!$F$7:$CO$46,MATCH($A35,Presupuesto!$A$7:$A$46,0),MATCH(S$3,Presupuesto!$F$4:$CO$4,0)),0)</f>
        <v>30000000</v>
      </c>
    </row>
    <row r="36" spans="1:19" ht="14.4" collapsed="1" x14ac:dyDescent="0.3">
      <c r="A36" s="125" t="str">
        <f>Presupuesto!A38</f>
        <v>Subtotal Deudas</v>
      </c>
      <c r="B36" s="126">
        <f>SUM(B31:B35)</f>
        <v>36853260.730000004</v>
      </c>
      <c r="C36" s="126">
        <f t="shared" ref="C36:S36" si="3">SUM(C31:C35)</f>
        <v>67500000</v>
      </c>
      <c r="D36" s="126">
        <f t="shared" si="3"/>
        <v>67500000</v>
      </c>
      <c r="E36" s="126">
        <f t="shared" si="3"/>
        <v>67500000</v>
      </c>
      <c r="F36" s="126">
        <f t="shared" si="3"/>
        <v>67500000</v>
      </c>
      <c r="G36" s="126">
        <f t="shared" si="3"/>
        <v>67500000</v>
      </c>
      <c r="H36" s="126">
        <f t="shared" si="3"/>
        <v>67500000</v>
      </c>
      <c r="I36" s="126">
        <f t="shared" si="3"/>
        <v>67500000</v>
      </c>
      <c r="J36" s="126">
        <f t="shared" si="3"/>
        <v>67500000</v>
      </c>
      <c r="K36" s="126">
        <f t="shared" si="3"/>
        <v>67500000</v>
      </c>
      <c r="L36" s="126">
        <f t="shared" si="3"/>
        <v>67500000</v>
      </c>
      <c r="M36" s="126">
        <f t="shared" si="3"/>
        <v>67500000</v>
      </c>
      <c r="N36" s="126">
        <f t="shared" si="3"/>
        <v>67500000</v>
      </c>
      <c r="O36" s="126">
        <f t="shared" si="3"/>
        <v>67500000</v>
      </c>
      <c r="P36" s="126">
        <f t="shared" si="3"/>
        <v>67500000</v>
      </c>
      <c r="Q36" s="126">
        <f t="shared" si="3"/>
        <v>67500000</v>
      </c>
      <c r="R36" s="126">
        <f t="shared" si="3"/>
        <v>67500000</v>
      </c>
      <c r="S36" s="126">
        <f t="shared" si="3"/>
        <v>67500000</v>
      </c>
    </row>
    <row r="37" spans="1:19" ht="14.4" x14ac:dyDescent="0.3">
      <c r="A37" s="129" t="str">
        <f>Presupuesto!A39</f>
        <v>OTROS Y VARIOS</v>
      </c>
      <c r="B37" s="130"/>
      <c r="C37" s="130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0"/>
      <c r="Q37" s="130"/>
      <c r="R37" s="130"/>
      <c r="S37" s="130"/>
    </row>
    <row r="38" spans="1:19" ht="14.4" hidden="1" outlineLevel="1" x14ac:dyDescent="0.3">
      <c r="A38" t="str">
        <f>Presupuesto!A40</f>
        <v>Otros gastos</v>
      </c>
      <c r="B38" s="33">
        <f>SUMIFS(TablaEgresos[[Valor]:[Valor]],TablaEgresos[[Categoría]:[Categoría]],$A38,TablaEgresos[[Mes]:[Mes]],B$3)</f>
        <v>10084789.34</v>
      </c>
      <c r="C38" s="35">
        <f>IFERROR(INDEX(Presupuesto!$F$7:$CO$46,MATCH($A38,Presupuesto!$A$7:$A$46,0),MATCH(C$3,Presupuesto!$F$4:$CO$4,0)),0)</f>
        <v>5000000</v>
      </c>
      <c r="D38" s="35">
        <f>IFERROR(INDEX(Presupuesto!$F$7:$CO$46,MATCH($A38,Presupuesto!$A$7:$A$46,0),MATCH(D$3,Presupuesto!$F$4:$CO$4,0)),0)</f>
        <v>5000000</v>
      </c>
      <c r="E38" s="35">
        <f>IFERROR(INDEX(Presupuesto!$F$7:$CO$46,MATCH($A38,Presupuesto!$A$7:$A$46,0),MATCH(E$3,Presupuesto!$F$4:$CO$4,0)),0)</f>
        <v>5000000</v>
      </c>
      <c r="F38" s="35">
        <f>IFERROR(INDEX(Presupuesto!$F$7:$CO$46,MATCH($A38,Presupuesto!$A$7:$A$46,0),MATCH(F$3,Presupuesto!$F$4:$CO$4,0)),0)</f>
        <v>5000000</v>
      </c>
      <c r="G38" s="35">
        <f>IFERROR(INDEX(Presupuesto!$F$7:$CO$46,MATCH($A38,Presupuesto!$A$7:$A$46,0),MATCH(G$3,Presupuesto!$F$4:$CO$4,0)),0)</f>
        <v>5000000</v>
      </c>
      <c r="H38" s="35">
        <f>IFERROR(INDEX(Presupuesto!$F$7:$CO$46,MATCH($A38,Presupuesto!$A$7:$A$46,0),MATCH(H$3,Presupuesto!$F$4:$CO$4,0)),0)</f>
        <v>5000000</v>
      </c>
      <c r="I38" s="35">
        <f>IFERROR(INDEX(Presupuesto!$F$7:$CO$46,MATCH($A38,Presupuesto!$A$7:$A$46,0),MATCH(I$3,Presupuesto!$F$4:$CO$4,0)),0)</f>
        <v>5000000</v>
      </c>
      <c r="J38" s="35">
        <f>IFERROR(INDEX(Presupuesto!$F$7:$CO$46,MATCH($A38,Presupuesto!$A$7:$A$46,0),MATCH(J$3,Presupuesto!$F$4:$CO$4,0)),0)</f>
        <v>5000000</v>
      </c>
      <c r="K38" s="35">
        <f>IFERROR(INDEX(Presupuesto!$F$7:$CO$46,MATCH($A38,Presupuesto!$A$7:$A$46,0),MATCH(K$3,Presupuesto!$F$4:$CO$4,0)),0)</f>
        <v>5000000</v>
      </c>
      <c r="L38" s="35">
        <f>IFERROR(INDEX(Presupuesto!$F$7:$CO$46,MATCH($A38,Presupuesto!$A$7:$A$46,0),MATCH(L$3,Presupuesto!$F$4:$CO$4,0)),0)</f>
        <v>5000000</v>
      </c>
      <c r="M38" s="35">
        <f>IFERROR(INDEX(Presupuesto!$F$7:$CO$46,MATCH($A38,Presupuesto!$A$7:$A$46,0),MATCH(M$3,Presupuesto!$F$4:$CO$4,0)),0)</f>
        <v>5000000</v>
      </c>
      <c r="N38" s="35">
        <f>IFERROR(INDEX(Presupuesto!$F$7:$CO$46,MATCH($A38,Presupuesto!$A$7:$A$46,0),MATCH(N$3,Presupuesto!$F$4:$CO$4,0)),0)</f>
        <v>5000000</v>
      </c>
      <c r="O38" s="35">
        <f>IFERROR(INDEX(Presupuesto!$F$7:$CO$46,MATCH($A38,Presupuesto!$A$7:$A$46,0),MATCH(O$3,Presupuesto!$F$4:$CO$4,0)),0)</f>
        <v>5000000</v>
      </c>
      <c r="P38" s="35">
        <f>IFERROR(INDEX(Presupuesto!$F$7:$CO$46,MATCH($A38,Presupuesto!$A$7:$A$46,0),MATCH(P$3,Presupuesto!$F$4:$CO$4,0)),0)</f>
        <v>5000000</v>
      </c>
      <c r="Q38" s="35">
        <f>IFERROR(INDEX(Presupuesto!$F$7:$CO$46,MATCH($A38,Presupuesto!$A$7:$A$46,0),MATCH(Q$3,Presupuesto!$F$4:$CO$4,0)),0)</f>
        <v>5000000</v>
      </c>
      <c r="R38" s="35">
        <f>IFERROR(INDEX(Presupuesto!$F$7:$CO$46,MATCH($A38,Presupuesto!$A$7:$A$46,0),MATCH(R$3,Presupuesto!$F$4:$CO$4,0)),0)</f>
        <v>5000000</v>
      </c>
      <c r="S38" s="35">
        <f>IFERROR(INDEX(Presupuesto!$F$7:$CO$46,MATCH($A38,Presupuesto!$A$7:$A$46,0),MATCH(S$3,Presupuesto!$F$4:$CO$4,0)),0)</f>
        <v>5000000</v>
      </c>
    </row>
    <row r="39" spans="1:19" ht="14.4" hidden="1" outlineLevel="1" x14ac:dyDescent="0.3">
      <c r="A39" t="str">
        <f>Presupuesto!A41</f>
        <v>Gastos notariales</v>
      </c>
      <c r="B39" s="33">
        <f>SUMIFS(TablaEgresos[[Valor]:[Valor]],TablaEgresos[[Categoría]:[Categoría]],$A39,TablaEgresos[[Mes]:[Mes]],B$3)</f>
        <v>3686613</v>
      </c>
      <c r="C39" s="35">
        <f>IFERROR(INDEX(Presupuesto!$F$7:$CO$46,MATCH($A39,Presupuesto!$A$7:$A$46,0),MATCH(C$3,Presupuesto!$F$4:$CO$4,0)),0)</f>
        <v>0</v>
      </c>
      <c r="D39" s="35">
        <f>IFERROR(INDEX(Presupuesto!$F$7:$CO$46,MATCH($A39,Presupuesto!$A$7:$A$46,0),MATCH(D$3,Presupuesto!$F$4:$CO$4,0)),0)</f>
        <v>0</v>
      </c>
      <c r="E39" s="35">
        <f>IFERROR(INDEX(Presupuesto!$F$7:$CO$46,MATCH($A39,Presupuesto!$A$7:$A$46,0),MATCH(E$3,Presupuesto!$F$4:$CO$4,0)),0)</f>
        <v>0</v>
      </c>
      <c r="F39" s="35">
        <f>IFERROR(INDEX(Presupuesto!$F$7:$CO$46,MATCH($A39,Presupuesto!$A$7:$A$46,0),MATCH(F$3,Presupuesto!$F$4:$CO$4,0)),0)</f>
        <v>0</v>
      </c>
      <c r="G39" s="35">
        <f>IFERROR(INDEX(Presupuesto!$F$7:$CO$46,MATCH($A39,Presupuesto!$A$7:$A$46,0),MATCH(G$3,Presupuesto!$F$4:$CO$4,0)),0)</f>
        <v>0</v>
      </c>
      <c r="H39" s="35">
        <f>IFERROR(INDEX(Presupuesto!$F$7:$CO$46,MATCH($A39,Presupuesto!$A$7:$A$46,0),MATCH(H$3,Presupuesto!$F$4:$CO$4,0)),0)</f>
        <v>0</v>
      </c>
      <c r="I39" s="35">
        <f>IFERROR(INDEX(Presupuesto!$F$7:$CO$46,MATCH($A39,Presupuesto!$A$7:$A$46,0),MATCH(I$3,Presupuesto!$F$4:$CO$4,0)),0)</f>
        <v>0</v>
      </c>
      <c r="J39" s="35">
        <f>IFERROR(INDEX(Presupuesto!$F$7:$CO$46,MATCH($A39,Presupuesto!$A$7:$A$46,0),MATCH(J$3,Presupuesto!$F$4:$CO$4,0)),0)</f>
        <v>0</v>
      </c>
      <c r="K39" s="35">
        <f>IFERROR(INDEX(Presupuesto!$F$7:$CO$46,MATCH($A39,Presupuesto!$A$7:$A$46,0),MATCH(K$3,Presupuesto!$F$4:$CO$4,0)),0)</f>
        <v>0</v>
      </c>
      <c r="L39" s="35">
        <f>IFERROR(INDEX(Presupuesto!$F$7:$CO$46,MATCH($A39,Presupuesto!$A$7:$A$46,0),MATCH(L$3,Presupuesto!$F$4:$CO$4,0)),0)</f>
        <v>0</v>
      </c>
      <c r="M39" s="35">
        <f>IFERROR(INDEX(Presupuesto!$F$7:$CO$46,MATCH($A39,Presupuesto!$A$7:$A$46,0),MATCH(M$3,Presupuesto!$F$4:$CO$4,0)),0)</f>
        <v>0</v>
      </c>
      <c r="N39" s="35">
        <f>IFERROR(INDEX(Presupuesto!$F$7:$CO$46,MATCH($A39,Presupuesto!$A$7:$A$46,0),MATCH(N$3,Presupuesto!$F$4:$CO$4,0)),0)</f>
        <v>0</v>
      </c>
      <c r="O39" s="35">
        <f>IFERROR(INDEX(Presupuesto!$F$7:$CO$46,MATCH($A39,Presupuesto!$A$7:$A$46,0),MATCH(O$3,Presupuesto!$F$4:$CO$4,0)),0)</f>
        <v>0</v>
      </c>
      <c r="P39" s="35">
        <f>IFERROR(INDEX(Presupuesto!$F$7:$CO$46,MATCH($A39,Presupuesto!$A$7:$A$46,0),MATCH(P$3,Presupuesto!$F$4:$CO$4,0)),0)</f>
        <v>0</v>
      </c>
      <c r="Q39" s="35">
        <f>IFERROR(INDEX(Presupuesto!$F$7:$CO$46,MATCH($A39,Presupuesto!$A$7:$A$46,0),MATCH(Q$3,Presupuesto!$F$4:$CO$4,0)),0)</f>
        <v>0</v>
      </c>
      <c r="R39" s="35">
        <f>IFERROR(INDEX(Presupuesto!$F$7:$CO$46,MATCH($A39,Presupuesto!$A$7:$A$46,0),MATCH(R$3,Presupuesto!$F$4:$CO$4,0)),0)</f>
        <v>0</v>
      </c>
      <c r="S39" s="35">
        <f>IFERROR(INDEX(Presupuesto!$F$7:$CO$46,MATCH($A39,Presupuesto!$A$7:$A$46,0),MATCH(S$3,Presupuesto!$F$4:$CO$4,0)),0)</f>
        <v>0</v>
      </c>
    </row>
    <row r="40" spans="1:19" ht="14.4" hidden="1" outlineLevel="1" x14ac:dyDescent="0.3">
      <c r="A40" t="str">
        <f>Presupuesto!A42</f>
        <v>Gastos bancarios</v>
      </c>
      <c r="B40" s="33">
        <f>SUMIFS(TablaEgresos[[Valor]:[Valor]],TablaEgresos[[Categoría]:[Categoría]],$A40,TablaEgresos[[Mes]:[Mes]],B$3)</f>
        <v>29701</v>
      </c>
      <c r="C40" s="35">
        <f>IFERROR(INDEX(Presupuesto!$F$7:$CO$46,MATCH($A40,Presupuesto!$A$7:$A$46,0),MATCH(C$3,Presupuesto!$F$4:$CO$4,0)),0)</f>
        <v>300000</v>
      </c>
      <c r="D40" s="35">
        <f>IFERROR(INDEX(Presupuesto!$F$7:$CO$46,MATCH($A40,Presupuesto!$A$7:$A$46,0),MATCH(D$3,Presupuesto!$F$4:$CO$4,0)),0)</f>
        <v>300000</v>
      </c>
      <c r="E40" s="35">
        <f>IFERROR(INDEX(Presupuesto!$F$7:$CO$46,MATCH($A40,Presupuesto!$A$7:$A$46,0),MATCH(E$3,Presupuesto!$F$4:$CO$4,0)),0)</f>
        <v>300000</v>
      </c>
      <c r="F40" s="35">
        <f>IFERROR(INDEX(Presupuesto!$F$7:$CO$46,MATCH($A40,Presupuesto!$A$7:$A$46,0),MATCH(F$3,Presupuesto!$F$4:$CO$4,0)),0)</f>
        <v>300000</v>
      </c>
      <c r="G40" s="35">
        <f>IFERROR(INDEX(Presupuesto!$F$7:$CO$46,MATCH($A40,Presupuesto!$A$7:$A$46,0),MATCH(G$3,Presupuesto!$F$4:$CO$4,0)),0)</f>
        <v>300000</v>
      </c>
      <c r="H40" s="35">
        <f>IFERROR(INDEX(Presupuesto!$F$7:$CO$46,MATCH($A40,Presupuesto!$A$7:$A$46,0),MATCH(H$3,Presupuesto!$F$4:$CO$4,0)),0)</f>
        <v>300000</v>
      </c>
      <c r="I40" s="35">
        <f>IFERROR(INDEX(Presupuesto!$F$7:$CO$46,MATCH($A40,Presupuesto!$A$7:$A$46,0),MATCH(I$3,Presupuesto!$F$4:$CO$4,0)),0)</f>
        <v>300000</v>
      </c>
      <c r="J40" s="35">
        <f>IFERROR(INDEX(Presupuesto!$F$7:$CO$46,MATCH($A40,Presupuesto!$A$7:$A$46,0),MATCH(J$3,Presupuesto!$F$4:$CO$4,0)),0)</f>
        <v>300000</v>
      </c>
      <c r="K40" s="35">
        <f>IFERROR(INDEX(Presupuesto!$F$7:$CO$46,MATCH($A40,Presupuesto!$A$7:$A$46,0),MATCH(K$3,Presupuesto!$F$4:$CO$4,0)),0)</f>
        <v>300000</v>
      </c>
      <c r="L40" s="35">
        <f>IFERROR(INDEX(Presupuesto!$F$7:$CO$46,MATCH($A40,Presupuesto!$A$7:$A$46,0),MATCH(L$3,Presupuesto!$F$4:$CO$4,0)),0)</f>
        <v>300000</v>
      </c>
      <c r="M40" s="35">
        <f>IFERROR(INDEX(Presupuesto!$F$7:$CO$46,MATCH($A40,Presupuesto!$A$7:$A$46,0),MATCH(M$3,Presupuesto!$F$4:$CO$4,0)),0)</f>
        <v>300000</v>
      </c>
      <c r="N40" s="35">
        <f>IFERROR(INDEX(Presupuesto!$F$7:$CO$46,MATCH($A40,Presupuesto!$A$7:$A$46,0),MATCH(N$3,Presupuesto!$F$4:$CO$4,0)),0)</f>
        <v>300000</v>
      </c>
      <c r="O40" s="35">
        <f>IFERROR(INDEX(Presupuesto!$F$7:$CO$46,MATCH($A40,Presupuesto!$A$7:$A$46,0),MATCH(O$3,Presupuesto!$F$4:$CO$4,0)),0)</f>
        <v>300000</v>
      </c>
      <c r="P40" s="35">
        <f>IFERROR(INDEX(Presupuesto!$F$7:$CO$46,MATCH($A40,Presupuesto!$A$7:$A$46,0),MATCH(P$3,Presupuesto!$F$4:$CO$4,0)),0)</f>
        <v>300000</v>
      </c>
      <c r="Q40" s="35">
        <f>IFERROR(INDEX(Presupuesto!$F$7:$CO$46,MATCH($A40,Presupuesto!$A$7:$A$46,0),MATCH(Q$3,Presupuesto!$F$4:$CO$4,0)),0)</f>
        <v>300000</v>
      </c>
      <c r="R40" s="35">
        <f>IFERROR(INDEX(Presupuesto!$F$7:$CO$46,MATCH($A40,Presupuesto!$A$7:$A$46,0),MATCH(R$3,Presupuesto!$F$4:$CO$4,0)),0)</f>
        <v>300000</v>
      </c>
      <c r="S40" s="35">
        <f>IFERROR(INDEX(Presupuesto!$F$7:$CO$46,MATCH($A40,Presupuesto!$A$7:$A$46,0),MATCH(S$3,Presupuesto!$F$4:$CO$4,0)),0)</f>
        <v>300000</v>
      </c>
    </row>
    <row r="41" spans="1:19" ht="14.4" hidden="1" outlineLevel="1" x14ac:dyDescent="0.3">
      <c r="A41" t="str">
        <f>Presupuesto!A43</f>
        <v>Gastos financieros</v>
      </c>
      <c r="B41" s="170">
        <f>SUMIFS(TablaEgresos[[Valor]:[Valor]],TablaEgresos[[Categoría]:[Categoría]],$A41,TablaEgresos[[Mes]:[Mes]],B$3)</f>
        <v>0</v>
      </c>
      <c r="C41" s="176">
        <f>IFERROR(INDEX(Presupuesto!$F$7:$CO$46,MATCH($A41,Presupuesto!$A$7:$A$46,0),MATCH(C$3,Presupuesto!$F$4:$CO$4,0)),0)</f>
        <v>300000</v>
      </c>
      <c r="D41" s="176">
        <f>IFERROR(INDEX(Presupuesto!$F$7:$CO$46,MATCH($A41,Presupuesto!$A$7:$A$46,0),MATCH(D$3,Presupuesto!$F$4:$CO$4,0)),0)</f>
        <v>300000</v>
      </c>
      <c r="E41" s="176">
        <f>IFERROR(INDEX(Presupuesto!$F$7:$CO$46,MATCH($A41,Presupuesto!$A$7:$A$46,0),MATCH(E$3,Presupuesto!$F$4:$CO$4,0)),0)</f>
        <v>300000</v>
      </c>
      <c r="F41" s="176">
        <f>IFERROR(INDEX(Presupuesto!$F$7:$CO$46,MATCH($A41,Presupuesto!$A$7:$A$46,0),MATCH(F$3,Presupuesto!$F$4:$CO$4,0)),0)</f>
        <v>300000</v>
      </c>
      <c r="G41" s="176">
        <f>IFERROR(INDEX(Presupuesto!$F$7:$CO$46,MATCH($A41,Presupuesto!$A$7:$A$46,0),MATCH(G$3,Presupuesto!$F$4:$CO$4,0)),0)</f>
        <v>300000</v>
      </c>
      <c r="H41" s="176">
        <f>IFERROR(INDEX(Presupuesto!$F$7:$CO$46,MATCH($A41,Presupuesto!$A$7:$A$46,0),MATCH(H$3,Presupuesto!$F$4:$CO$4,0)),0)</f>
        <v>300000</v>
      </c>
      <c r="I41" s="176">
        <f>IFERROR(INDEX(Presupuesto!$F$7:$CO$46,MATCH($A41,Presupuesto!$A$7:$A$46,0),MATCH(I$3,Presupuesto!$F$4:$CO$4,0)),0)</f>
        <v>300000</v>
      </c>
      <c r="J41" s="176">
        <f>IFERROR(INDEX(Presupuesto!$F$7:$CO$46,MATCH($A41,Presupuesto!$A$7:$A$46,0),MATCH(J$3,Presupuesto!$F$4:$CO$4,0)),0)</f>
        <v>300000</v>
      </c>
      <c r="K41" s="176">
        <f>IFERROR(INDEX(Presupuesto!$F$7:$CO$46,MATCH($A41,Presupuesto!$A$7:$A$46,0),MATCH(K$3,Presupuesto!$F$4:$CO$4,0)),0)</f>
        <v>300000</v>
      </c>
      <c r="L41" s="176">
        <f>IFERROR(INDEX(Presupuesto!$F$7:$CO$46,MATCH($A41,Presupuesto!$A$7:$A$46,0),MATCH(L$3,Presupuesto!$F$4:$CO$4,0)),0)</f>
        <v>300000</v>
      </c>
      <c r="M41" s="176">
        <f>IFERROR(INDEX(Presupuesto!$F$7:$CO$46,MATCH($A41,Presupuesto!$A$7:$A$46,0),MATCH(M$3,Presupuesto!$F$4:$CO$4,0)),0)</f>
        <v>300000</v>
      </c>
      <c r="N41" s="176">
        <f>IFERROR(INDEX(Presupuesto!$F$7:$CO$46,MATCH($A41,Presupuesto!$A$7:$A$46,0),MATCH(N$3,Presupuesto!$F$4:$CO$4,0)),0)</f>
        <v>300000</v>
      </c>
      <c r="O41" s="176">
        <f>IFERROR(INDEX(Presupuesto!$F$7:$CO$46,MATCH($A41,Presupuesto!$A$7:$A$46,0),MATCH(O$3,Presupuesto!$F$4:$CO$4,0)),0)</f>
        <v>300000</v>
      </c>
      <c r="P41" s="176">
        <f>IFERROR(INDEX(Presupuesto!$F$7:$CO$46,MATCH($A41,Presupuesto!$A$7:$A$46,0),MATCH(P$3,Presupuesto!$F$4:$CO$4,0)),0)</f>
        <v>300000</v>
      </c>
      <c r="Q41" s="176">
        <f>IFERROR(INDEX(Presupuesto!$F$7:$CO$46,MATCH($A41,Presupuesto!$A$7:$A$46,0),MATCH(Q$3,Presupuesto!$F$4:$CO$4,0)),0)</f>
        <v>300000</v>
      </c>
      <c r="R41" s="176">
        <f>IFERROR(INDEX(Presupuesto!$F$7:$CO$46,MATCH($A41,Presupuesto!$A$7:$A$46,0),MATCH(R$3,Presupuesto!$F$4:$CO$4,0)),0)</f>
        <v>300000</v>
      </c>
      <c r="S41" s="176">
        <f>IFERROR(INDEX(Presupuesto!$F$7:$CO$46,MATCH($A41,Presupuesto!$A$7:$A$46,0),MATCH(S$3,Presupuesto!$F$4:$CO$4,0)),0)</f>
        <v>300000</v>
      </c>
    </row>
    <row r="42" spans="1:19" ht="14.4" hidden="1" outlineLevel="1" x14ac:dyDescent="0.3">
      <c r="A42" t="str">
        <f>Presupuesto!A44</f>
        <v>Impuestos</v>
      </c>
      <c r="B42" s="170">
        <f>SUMIFS(TablaEgresos[[Valor]:[Valor]],TablaEgresos[[Categoría]:[Categoría]],$A42,TablaEgresos[[Mes]:[Mes]],B$3)</f>
        <v>859232.2699999999</v>
      </c>
      <c r="C42" s="176">
        <f>IFERROR(INDEX(Presupuesto!$F$7:$CO$46,MATCH($A42,Presupuesto!$A$7:$A$46,0),MATCH(C$3,Presupuesto!$F$4:$CO$4,0)),0)</f>
        <v>2500000</v>
      </c>
      <c r="D42" s="176">
        <f>IFERROR(INDEX(Presupuesto!$F$7:$CO$46,MATCH($A42,Presupuesto!$A$7:$A$46,0),MATCH(D$3,Presupuesto!$F$4:$CO$4,0)),0)</f>
        <v>2500000</v>
      </c>
      <c r="E42" s="176">
        <f>IFERROR(INDEX(Presupuesto!$F$7:$CO$46,MATCH($A42,Presupuesto!$A$7:$A$46,0),MATCH(E$3,Presupuesto!$F$4:$CO$4,0)),0)</f>
        <v>2500000</v>
      </c>
      <c r="F42" s="176">
        <f>IFERROR(INDEX(Presupuesto!$F$7:$CO$46,MATCH($A42,Presupuesto!$A$7:$A$46,0),MATCH(F$3,Presupuesto!$F$4:$CO$4,0)),0)</f>
        <v>2500000</v>
      </c>
      <c r="G42" s="176">
        <f>IFERROR(INDEX(Presupuesto!$F$7:$CO$46,MATCH($A42,Presupuesto!$A$7:$A$46,0),MATCH(G$3,Presupuesto!$F$4:$CO$4,0)),0)</f>
        <v>2500000</v>
      </c>
      <c r="H42" s="176">
        <f>IFERROR(INDEX(Presupuesto!$F$7:$CO$46,MATCH($A42,Presupuesto!$A$7:$A$46,0),MATCH(H$3,Presupuesto!$F$4:$CO$4,0)),0)</f>
        <v>2500000</v>
      </c>
      <c r="I42" s="176">
        <f>IFERROR(INDEX(Presupuesto!$F$7:$CO$46,MATCH($A42,Presupuesto!$A$7:$A$46,0),MATCH(I$3,Presupuesto!$F$4:$CO$4,0)),0)</f>
        <v>2500000</v>
      </c>
      <c r="J42" s="176">
        <f>IFERROR(INDEX(Presupuesto!$F$7:$CO$46,MATCH($A42,Presupuesto!$A$7:$A$46,0),MATCH(J$3,Presupuesto!$F$4:$CO$4,0)),0)</f>
        <v>2500000</v>
      </c>
      <c r="K42" s="176">
        <f>IFERROR(INDEX(Presupuesto!$F$7:$CO$46,MATCH($A42,Presupuesto!$A$7:$A$46,0),MATCH(K$3,Presupuesto!$F$4:$CO$4,0)),0)</f>
        <v>2500000</v>
      </c>
      <c r="L42" s="176">
        <f>IFERROR(INDEX(Presupuesto!$F$7:$CO$46,MATCH($A42,Presupuesto!$A$7:$A$46,0),MATCH(L$3,Presupuesto!$F$4:$CO$4,0)),0)</f>
        <v>2500000</v>
      </c>
      <c r="M42" s="176">
        <f>IFERROR(INDEX(Presupuesto!$F$7:$CO$46,MATCH($A42,Presupuesto!$A$7:$A$46,0),MATCH(M$3,Presupuesto!$F$4:$CO$4,0)),0)</f>
        <v>2500000</v>
      </c>
      <c r="N42" s="176">
        <f>IFERROR(INDEX(Presupuesto!$F$7:$CO$46,MATCH($A42,Presupuesto!$A$7:$A$46,0),MATCH(N$3,Presupuesto!$F$4:$CO$4,0)),0)</f>
        <v>2500000</v>
      </c>
      <c r="O42" s="176">
        <f>IFERROR(INDEX(Presupuesto!$F$7:$CO$46,MATCH($A42,Presupuesto!$A$7:$A$46,0),MATCH(O$3,Presupuesto!$F$4:$CO$4,0)),0)</f>
        <v>2500000</v>
      </c>
      <c r="P42" s="176">
        <f>IFERROR(INDEX(Presupuesto!$F$7:$CO$46,MATCH($A42,Presupuesto!$A$7:$A$46,0),MATCH(P$3,Presupuesto!$F$4:$CO$4,0)),0)</f>
        <v>2500000</v>
      </c>
      <c r="Q42" s="176">
        <f>IFERROR(INDEX(Presupuesto!$F$7:$CO$46,MATCH($A42,Presupuesto!$A$7:$A$46,0),MATCH(Q$3,Presupuesto!$F$4:$CO$4,0)),0)</f>
        <v>2500000</v>
      </c>
      <c r="R42" s="176">
        <f>IFERROR(INDEX(Presupuesto!$F$7:$CO$46,MATCH($A42,Presupuesto!$A$7:$A$46,0),MATCH(R$3,Presupuesto!$F$4:$CO$4,0)),0)</f>
        <v>2500000</v>
      </c>
      <c r="S42" s="176">
        <f>IFERROR(INDEX(Presupuesto!$F$7:$CO$46,MATCH($A42,Presupuesto!$A$7:$A$46,0),MATCH(S$3,Presupuesto!$F$4:$CO$4,0)),0)</f>
        <v>2500000</v>
      </c>
    </row>
    <row r="43" spans="1:19" ht="14.4" hidden="1" outlineLevel="1" x14ac:dyDescent="0.3">
      <c r="A43" t="str">
        <f>Presupuesto!A45</f>
        <v>Por clasificar</v>
      </c>
      <c r="B43" s="170">
        <f>SUMIFS(TablaEgresos[[Valor]:[Valor]],TablaEgresos[[Categoría]:[Categoría]],$A43,TablaEgresos[[Mes]:[Mes]],B$3)</f>
        <v>106000</v>
      </c>
      <c r="C43" s="176">
        <f>IFERROR(INDEX(Presupuesto!$F$7:$CO$46,MATCH($A43,Presupuesto!$A$7:$A$46,0),MATCH(C$3,Presupuesto!$F$4:$CO$4,0)),0)</f>
        <v>0</v>
      </c>
      <c r="D43" s="176">
        <f>IFERROR(INDEX(Presupuesto!$F$7:$CO$46,MATCH($A43,Presupuesto!$A$7:$A$46,0),MATCH(D$3,Presupuesto!$F$4:$CO$4,0)),0)</f>
        <v>0</v>
      </c>
      <c r="E43" s="176">
        <f>IFERROR(INDEX(Presupuesto!$F$7:$CO$46,MATCH($A43,Presupuesto!$A$7:$A$46,0),MATCH(E$3,Presupuesto!$F$4:$CO$4,0)),0)</f>
        <v>0</v>
      </c>
      <c r="F43" s="176">
        <f>IFERROR(INDEX(Presupuesto!$F$7:$CO$46,MATCH($A43,Presupuesto!$A$7:$A$46,0),MATCH(F$3,Presupuesto!$F$4:$CO$4,0)),0)</f>
        <v>0</v>
      </c>
      <c r="G43" s="176">
        <f>IFERROR(INDEX(Presupuesto!$F$7:$CO$46,MATCH($A43,Presupuesto!$A$7:$A$46,0),MATCH(G$3,Presupuesto!$F$4:$CO$4,0)),0)</f>
        <v>0</v>
      </c>
      <c r="H43" s="176">
        <f>IFERROR(INDEX(Presupuesto!$F$7:$CO$46,MATCH($A43,Presupuesto!$A$7:$A$46,0),MATCH(H$3,Presupuesto!$F$4:$CO$4,0)),0)</f>
        <v>0</v>
      </c>
      <c r="I43" s="176">
        <f>IFERROR(INDEX(Presupuesto!$F$7:$CO$46,MATCH($A43,Presupuesto!$A$7:$A$46,0),MATCH(I$3,Presupuesto!$F$4:$CO$4,0)),0)</f>
        <v>0</v>
      </c>
      <c r="J43" s="176">
        <f>IFERROR(INDEX(Presupuesto!$F$7:$CO$46,MATCH($A43,Presupuesto!$A$7:$A$46,0),MATCH(J$3,Presupuesto!$F$4:$CO$4,0)),0)</f>
        <v>0</v>
      </c>
      <c r="K43" s="176">
        <f>IFERROR(INDEX(Presupuesto!$F$7:$CO$46,MATCH($A43,Presupuesto!$A$7:$A$46,0),MATCH(K$3,Presupuesto!$F$4:$CO$4,0)),0)</f>
        <v>0</v>
      </c>
      <c r="L43" s="176">
        <f>IFERROR(INDEX(Presupuesto!$F$7:$CO$46,MATCH($A43,Presupuesto!$A$7:$A$46,0),MATCH(L$3,Presupuesto!$F$4:$CO$4,0)),0)</f>
        <v>0</v>
      </c>
      <c r="M43" s="176">
        <f>IFERROR(INDEX(Presupuesto!$F$7:$CO$46,MATCH($A43,Presupuesto!$A$7:$A$46,0),MATCH(M$3,Presupuesto!$F$4:$CO$4,0)),0)</f>
        <v>0</v>
      </c>
      <c r="N43" s="176">
        <f>IFERROR(INDEX(Presupuesto!$F$7:$CO$46,MATCH($A43,Presupuesto!$A$7:$A$46,0),MATCH(N$3,Presupuesto!$F$4:$CO$4,0)),0)</f>
        <v>0</v>
      </c>
      <c r="O43" s="176">
        <f>IFERROR(INDEX(Presupuesto!$F$7:$CO$46,MATCH($A43,Presupuesto!$A$7:$A$46,0),MATCH(O$3,Presupuesto!$F$4:$CO$4,0)),0)</f>
        <v>0</v>
      </c>
      <c r="P43" s="176">
        <f>IFERROR(INDEX(Presupuesto!$F$7:$CO$46,MATCH($A43,Presupuesto!$A$7:$A$46,0),MATCH(P$3,Presupuesto!$F$4:$CO$4,0)),0)</f>
        <v>0</v>
      </c>
      <c r="Q43" s="176">
        <f>IFERROR(INDEX(Presupuesto!$F$7:$CO$46,MATCH($A43,Presupuesto!$A$7:$A$46,0),MATCH(Q$3,Presupuesto!$F$4:$CO$4,0)),0)</f>
        <v>0</v>
      </c>
      <c r="R43" s="176">
        <f>IFERROR(INDEX(Presupuesto!$F$7:$CO$46,MATCH($A43,Presupuesto!$A$7:$A$46,0),MATCH(R$3,Presupuesto!$F$4:$CO$4,0)),0)</f>
        <v>0</v>
      </c>
      <c r="S43" s="176">
        <f>IFERROR(INDEX(Presupuesto!$F$7:$CO$46,MATCH($A43,Presupuesto!$A$7:$A$46,0),MATCH(S$3,Presupuesto!$F$4:$CO$4,0)),0)</f>
        <v>0</v>
      </c>
    </row>
    <row r="44" spans="1:19" ht="14.4" collapsed="1" x14ac:dyDescent="0.3">
      <c r="A44" s="133" t="str">
        <f>Presupuesto!A46</f>
        <v>Subtotal Otros</v>
      </c>
      <c r="B44" s="172">
        <f>SUM(B38:B43)</f>
        <v>14766335.609999999</v>
      </c>
      <c r="C44" s="172">
        <f t="shared" ref="C44:S44" si="4">SUM(C38:C43)</f>
        <v>8100000</v>
      </c>
      <c r="D44" s="172">
        <f t="shared" si="4"/>
        <v>8100000</v>
      </c>
      <c r="E44" s="172">
        <f t="shared" si="4"/>
        <v>8100000</v>
      </c>
      <c r="F44" s="172">
        <f t="shared" si="4"/>
        <v>8100000</v>
      </c>
      <c r="G44" s="172">
        <f t="shared" si="4"/>
        <v>8100000</v>
      </c>
      <c r="H44" s="172">
        <f t="shared" si="4"/>
        <v>8100000</v>
      </c>
      <c r="I44" s="172">
        <f t="shared" si="4"/>
        <v>8100000</v>
      </c>
      <c r="J44" s="172">
        <f t="shared" si="4"/>
        <v>8100000</v>
      </c>
      <c r="K44" s="172">
        <f t="shared" si="4"/>
        <v>8100000</v>
      </c>
      <c r="L44" s="172">
        <f t="shared" si="4"/>
        <v>8100000</v>
      </c>
      <c r="M44" s="172">
        <f t="shared" si="4"/>
        <v>8100000</v>
      </c>
      <c r="N44" s="172">
        <f t="shared" si="4"/>
        <v>8100000</v>
      </c>
      <c r="O44" s="172">
        <f t="shared" si="4"/>
        <v>8100000</v>
      </c>
      <c r="P44" s="172">
        <f t="shared" si="4"/>
        <v>8100000</v>
      </c>
      <c r="Q44" s="172">
        <f t="shared" si="4"/>
        <v>8100000</v>
      </c>
      <c r="R44" s="172">
        <f t="shared" si="4"/>
        <v>8100000</v>
      </c>
      <c r="S44" s="172">
        <f t="shared" si="4"/>
        <v>8100000</v>
      </c>
    </row>
    <row r="45" spans="1:19" ht="14.4" x14ac:dyDescent="0.3">
      <c r="A45" s="157" t="str">
        <f>Presupuesto!A47</f>
        <v>TOTAL</v>
      </c>
      <c r="B45" s="173">
        <f>B8+B21+B29+B36+B44</f>
        <v>217692488.05000007</v>
      </c>
      <c r="C45" s="173">
        <f t="shared" ref="C45:S45" si="5">C8+C21+C29+C36+C44</f>
        <v>178473000</v>
      </c>
      <c r="D45" s="173">
        <f t="shared" si="5"/>
        <v>328944312</v>
      </c>
      <c r="E45" s="173">
        <f t="shared" si="5"/>
        <v>327503808</v>
      </c>
      <c r="F45" s="173">
        <f t="shared" si="5"/>
        <v>434141507</v>
      </c>
      <c r="G45" s="173">
        <f t="shared" si="5"/>
        <v>558473000</v>
      </c>
      <c r="H45" s="173">
        <f t="shared" ca="1" si="5"/>
        <v>313406000</v>
      </c>
      <c r="I45" s="173">
        <f t="shared" ca="1" si="5"/>
        <v>322606000</v>
      </c>
      <c r="J45" s="173">
        <f t="shared" ca="1" si="5"/>
        <v>331806000</v>
      </c>
      <c r="K45" s="173">
        <f t="shared" ca="1" si="5"/>
        <v>341006000</v>
      </c>
      <c r="L45" s="173">
        <f t="shared" ca="1" si="5"/>
        <v>350206000</v>
      </c>
      <c r="M45" s="173">
        <f t="shared" ca="1" si="5"/>
        <v>359406000</v>
      </c>
      <c r="N45" s="173">
        <f t="shared" ca="1" si="5"/>
        <v>368606000</v>
      </c>
      <c r="O45" s="173">
        <f t="shared" ca="1" si="5"/>
        <v>377806000</v>
      </c>
      <c r="P45" s="173">
        <f t="shared" ca="1" si="5"/>
        <v>387006000</v>
      </c>
      <c r="Q45" s="173">
        <f t="shared" ca="1" si="5"/>
        <v>396206000</v>
      </c>
      <c r="R45" s="173">
        <f t="shared" ca="1" si="5"/>
        <v>405406000</v>
      </c>
      <c r="S45" s="173">
        <f t="shared" ca="1" si="5"/>
        <v>414606000</v>
      </c>
    </row>
    <row r="46" spans="1:19" x14ac:dyDescent="0.25">
      <c r="A46" s="174" t="s">
        <v>368</v>
      </c>
      <c r="B46" s="175">
        <f>B21+B7+B38</f>
        <v>16450572.719999999</v>
      </c>
      <c r="C46" s="175">
        <f t="shared" ref="C46:S46" si="6">C21+C7+C38</f>
        <v>41800000</v>
      </c>
      <c r="D46" s="175">
        <f t="shared" si="6"/>
        <v>41800000</v>
      </c>
      <c r="E46" s="175">
        <f t="shared" si="6"/>
        <v>41800000</v>
      </c>
      <c r="F46" s="175">
        <f t="shared" si="6"/>
        <v>41800000</v>
      </c>
      <c r="G46" s="175">
        <f t="shared" si="6"/>
        <v>41800000</v>
      </c>
      <c r="H46" s="175">
        <f t="shared" si="6"/>
        <v>41800000</v>
      </c>
      <c r="I46" s="175">
        <f t="shared" si="6"/>
        <v>41800000</v>
      </c>
      <c r="J46" s="175">
        <f t="shared" si="6"/>
        <v>41800000</v>
      </c>
      <c r="K46" s="175">
        <f t="shared" si="6"/>
        <v>41800000</v>
      </c>
      <c r="L46" s="175">
        <f t="shared" si="6"/>
        <v>41800000</v>
      </c>
      <c r="M46" s="175">
        <f t="shared" si="6"/>
        <v>41800000</v>
      </c>
      <c r="N46" s="175">
        <f t="shared" si="6"/>
        <v>41800000</v>
      </c>
      <c r="O46" s="175">
        <f t="shared" si="6"/>
        <v>41800000</v>
      </c>
      <c r="P46" s="175">
        <f t="shared" si="6"/>
        <v>41800000</v>
      </c>
      <c r="Q46" s="175">
        <f t="shared" si="6"/>
        <v>41800000</v>
      </c>
      <c r="R46" s="175">
        <f t="shared" si="6"/>
        <v>41800000</v>
      </c>
      <c r="S46" s="175">
        <f t="shared" si="6"/>
        <v>41800000</v>
      </c>
    </row>
    <row r="47" spans="1:19" x14ac:dyDescent="0.25">
      <c r="B47" s="170"/>
      <c r="C47" s="170"/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</row>
    <row r="48" spans="1:19" x14ac:dyDescent="0.25">
      <c r="A48" s="19" t="s">
        <v>367</v>
      </c>
      <c r="B48" s="170">
        <f>SUMIFS(TablaIngresos[[Valor]:[Valor]],TablaIngresos[[Mes]:[Mes]],"&lt;"&amp;B$3)-SUMIFS(TablaEgresos[[Valor]:[Valor]],TablaEgresos[[Mes]:[Mes]],"&lt;"&amp;B$3)</f>
        <v>814796138.92999995</v>
      </c>
      <c r="C48" s="170">
        <f>B51</f>
        <v>675967053.18999994</v>
      </c>
      <c r="D48" s="170">
        <f t="shared" ref="D48:S48" si="7">C51</f>
        <v>667494053.18999994</v>
      </c>
      <c r="E48" s="170">
        <f t="shared" si="7"/>
        <v>548549741.18999994</v>
      </c>
      <c r="F48" s="170">
        <f t="shared" si="7"/>
        <v>476045933.18999994</v>
      </c>
      <c r="G48" s="170">
        <f t="shared" si="7"/>
        <v>331904426.18999994</v>
      </c>
      <c r="H48" s="170">
        <f t="shared" si="7"/>
        <v>108431426.18999994</v>
      </c>
      <c r="I48" s="170">
        <f t="shared" ca="1" si="7"/>
        <v>150025426.18999994</v>
      </c>
      <c r="J48" s="170">
        <f t="shared" ca="1" si="7"/>
        <v>217419426.18999994</v>
      </c>
      <c r="K48" s="170">
        <f t="shared" ca="1" si="7"/>
        <v>295613426.18999994</v>
      </c>
      <c r="L48" s="170">
        <f t="shared" ca="1" si="7"/>
        <v>384607426.18999994</v>
      </c>
      <c r="M48" s="170">
        <f t="shared" ca="1" si="7"/>
        <v>494401426.18999994</v>
      </c>
      <c r="N48" s="170">
        <f t="shared" ca="1" si="7"/>
        <v>986104226.19000006</v>
      </c>
      <c r="O48" s="170">
        <f t="shared" ca="1" si="7"/>
        <v>1527248626.1900001</v>
      </c>
      <c r="P48" s="170">
        <f t="shared" ca="1" si="7"/>
        <v>2117834626.1900001</v>
      </c>
      <c r="Q48" s="170">
        <f t="shared" ca="1" si="7"/>
        <v>2757862226.1900001</v>
      </c>
      <c r="R48" s="170">
        <f t="shared" ca="1" si="7"/>
        <v>3447331426.1900001</v>
      </c>
      <c r="S48" s="170">
        <f t="shared" ca="1" si="7"/>
        <v>4186242226.1900005</v>
      </c>
    </row>
    <row r="49" spans="1:19" x14ac:dyDescent="0.25">
      <c r="A49" s="19" t="s">
        <v>1231</v>
      </c>
      <c r="B49" s="170">
        <f>SUMIFS(TablaIngresos[[Valor]:[Valor]],TablaIngresos[[Mes]:[Mes]],B$3)</f>
        <v>78863402.310000002</v>
      </c>
      <c r="C49" s="170">
        <v>170000000</v>
      </c>
      <c r="D49" s="170">
        <v>210000000</v>
      </c>
      <c r="E49" s="170">
        <v>255000000</v>
      </c>
      <c r="F49" s="170">
        <v>290000000</v>
      </c>
      <c r="G49" s="170">
        <v>335000000</v>
      </c>
      <c r="H49" s="170">
        <v>355000000</v>
      </c>
      <c r="I49" s="170">
        <v>390000000</v>
      </c>
      <c r="J49" s="170">
        <v>410000000</v>
      </c>
      <c r="K49" s="170">
        <v>430000000</v>
      </c>
      <c r="L49" s="170">
        <v>460000000</v>
      </c>
      <c r="M49" s="170">
        <f>'Proyeccion ingresos'!Q12*$B$53</f>
        <v>851108800</v>
      </c>
      <c r="N49" s="170">
        <f>'Proyeccion ingresos'!R12*$B$53</f>
        <v>909750400</v>
      </c>
      <c r="O49" s="170">
        <f>'Proyeccion ingresos'!S12*$B$53</f>
        <v>968392000</v>
      </c>
      <c r="P49" s="170">
        <f>'Proyeccion ingresos'!T12*$B$53</f>
        <v>1027033600</v>
      </c>
      <c r="Q49" s="170">
        <f>'Proyeccion ingresos'!U12*$B$53</f>
        <v>1085675200</v>
      </c>
      <c r="R49" s="170">
        <f>'Proyeccion ingresos'!V12*$B$53</f>
        <v>1144316800</v>
      </c>
      <c r="S49" s="170">
        <f>'Proyeccion ingresos'!W12*$B$53</f>
        <v>1202958400</v>
      </c>
    </row>
    <row r="50" spans="1:19" x14ac:dyDescent="0.25">
      <c r="A50" s="19" t="s">
        <v>1232</v>
      </c>
      <c r="B50" s="170">
        <f>B45</f>
        <v>217692488.05000007</v>
      </c>
      <c r="C50" s="170">
        <f t="shared" ref="C50:S50" si="8">C45</f>
        <v>178473000</v>
      </c>
      <c r="D50" s="170">
        <f t="shared" si="8"/>
        <v>328944312</v>
      </c>
      <c r="E50" s="170">
        <f t="shared" si="8"/>
        <v>327503808</v>
      </c>
      <c r="F50" s="170">
        <f t="shared" si="8"/>
        <v>434141507</v>
      </c>
      <c r="G50" s="170">
        <f t="shared" si="8"/>
        <v>558473000</v>
      </c>
      <c r="H50" s="170">
        <f t="shared" ca="1" si="8"/>
        <v>313406000</v>
      </c>
      <c r="I50" s="170">
        <f t="shared" ca="1" si="8"/>
        <v>322606000</v>
      </c>
      <c r="J50" s="170">
        <f t="shared" ca="1" si="8"/>
        <v>331806000</v>
      </c>
      <c r="K50" s="170">
        <f t="shared" ca="1" si="8"/>
        <v>341006000</v>
      </c>
      <c r="L50" s="170">
        <f t="shared" ca="1" si="8"/>
        <v>350206000</v>
      </c>
      <c r="M50" s="170">
        <f t="shared" ca="1" si="8"/>
        <v>359406000</v>
      </c>
      <c r="N50" s="170">
        <f t="shared" ca="1" si="8"/>
        <v>368606000</v>
      </c>
      <c r="O50" s="170">
        <f t="shared" ca="1" si="8"/>
        <v>377806000</v>
      </c>
      <c r="P50" s="170">
        <f t="shared" ca="1" si="8"/>
        <v>387006000</v>
      </c>
      <c r="Q50" s="170">
        <f t="shared" ca="1" si="8"/>
        <v>396206000</v>
      </c>
      <c r="R50" s="170">
        <f t="shared" ca="1" si="8"/>
        <v>405406000</v>
      </c>
      <c r="S50" s="170">
        <f t="shared" ca="1" si="8"/>
        <v>414606000</v>
      </c>
    </row>
    <row r="51" spans="1:19" x14ac:dyDescent="0.25">
      <c r="A51" s="177" t="s">
        <v>1233</v>
      </c>
      <c r="B51" s="178">
        <f>B48+B49-B50</f>
        <v>675967053.18999994</v>
      </c>
      <c r="C51" s="178">
        <f t="shared" ref="C51:S51" si="9">C48+C49-C50</f>
        <v>667494053.18999994</v>
      </c>
      <c r="D51" s="178">
        <f t="shared" si="9"/>
        <v>548549741.18999994</v>
      </c>
      <c r="E51" s="178">
        <f t="shared" si="9"/>
        <v>476045933.18999994</v>
      </c>
      <c r="F51" s="178">
        <f t="shared" si="9"/>
        <v>331904426.18999994</v>
      </c>
      <c r="G51" s="178">
        <f t="shared" si="9"/>
        <v>108431426.18999994</v>
      </c>
      <c r="H51" s="178">
        <f t="shared" ca="1" si="9"/>
        <v>150025426.18999994</v>
      </c>
      <c r="I51" s="178">
        <f t="shared" ca="1" si="9"/>
        <v>217419426.18999994</v>
      </c>
      <c r="J51" s="178">
        <f t="shared" ca="1" si="9"/>
        <v>295613426.18999994</v>
      </c>
      <c r="K51" s="178">
        <f t="shared" ca="1" si="9"/>
        <v>384607426.18999994</v>
      </c>
      <c r="L51" s="178">
        <f t="shared" ca="1" si="9"/>
        <v>494401426.18999994</v>
      </c>
      <c r="M51" s="178">
        <f t="shared" ca="1" si="9"/>
        <v>986104226.19000006</v>
      </c>
      <c r="N51" s="178">
        <f t="shared" ca="1" si="9"/>
        <v>1527248626.1900001</v>
      </c>
      <c r="O51" s="178">
        <f t="shared" ca="1" si="9"/>
        <v>2117834626.1900001</v>
      </c>
      <c r="P51" s="178">
        <f t="shared" ca="1" si="9"/>
        <v>2757862226.1900001</v>
      </c>
      <c r="Q51" s="178">
        <f t="shared" ca="1" si="9"/>
        <v>3447331426.1900001</v>
      </c>
      <c r="R51" s="178">
        <f t="shared" ca="1" si="9"/>
        <v>4186242226.1900005</v>
      </c>
      <c r="S51" s="178">
        <f t="shared" ca="1" si="9"/>
        <v>4974594626.1900005</v>
      </c>
    </row>
    <row r="52" spans="1:19" x14ac:dyDescent="0.25">
      <c r="A52" s="19"/>
    </row>
    <row r="53" spans="1:19" x14ac:dyDescent="0.25">
      <c r="A53" s="19" t="s">
        <v>366</v>
      </c>
      <c r="B53" s="171">
        <v>0.95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C6478-6F3E-40DD-97A6-90CD80456C25}">
  <sheetPr>
    <tabColor rgb="FF188038"/>
  </sheetPr>
  <dimension ref="A1:AU20"/>
  <sheetViews>
    <sheetView showGridLines="0" zoomScale="80" zoomScaleNormal="8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6" sqref="F6:F7"/>
    </sheetView>
  </sheetViews>
  <sheetFormatPr baseColWidth="10" defaultRowHeight="14.4" x14ac:dyDescent="0.3"/>
  <cols>
    <col min="1" max="1" width="13.5546875" style="16" bestFit="1" customWidth="1"/>
    <col min="2" max="2" width="13.5546875" style="16" customWidth="1"/>
    <col min="3" max="4" width="11" style="16" bestFit="1" customWidth="1"/>
    <col min="5" max="5" width="15.109375" style="16" bestFit="1" customWidth="1"/>
    <col min="6" max="6" width="12.6640625" style="16" bestFit="1" customWidth="1"/>
    <col min="7" max="18" width="12.5546875" style="16" bestFit="1" customWidth="1"/>
    <col min="19" max="47" width="14.109375" style="16" bestFit="1" customWidth="1"/>
    <col min="48" max="16384" width="11.5546875" style="16"/>
  </cols>
  <sheetData>
    <row r="1" spans="1:47" ht="18.600000000000001" thickBot="1" x14ac:dyDescent="0.4">
      <c r="A1" s="180" t="s">
        <v>1234</v>
      </c>
      <c r="F1" s="181">
        <v>46204</v>
      </c>
      <c r="G1" s="181">
        <v>46235</v>
      </c>
      <c r="H1" s="181">
        <v>46266</v>
      </c>
      <c r="I1" s="181">
        <v>46296</v>
      </c>
      <c r="J1" s="181">
        <v>46327</v>
      </c>
      <c r="K1" s="181">
        <v>46357</v>
      </c>
      <c r="L1" s="181">
        <v>46388</v>
      </c>
      <c r="M1" s="181">
        <v>46419</v>
      </c>
      <c r="N1" s="181">
        <v>46447</v>
      </c>
      <c r="O1" s="181">
        <v>46478</v>
      </c>
      <c r="P1" s="181">
        <v>46508</v>
      </c>
      <c r="Q1" s="181">
        <v>46539</v>
      </c>
      <c r="R1" s="181">
        <v>46569</v>
      </c>
      <c r="S1" s="181">
        <v>46600</v>
      </c>
      <c r="T1" s="181">
        <v>46631</v>
      </c>
      <c r="U1" s="181">
        <v>46661</v>
      </c>
      <c r="V1" s="181">
        <v>46692</v>
      </c>
      <c r="W1" s="181">
        <v>46722</v>
      </c>
      <c r="X1" s="181">
        <v>46753</v>
      </c>
      <c r="Y1" s="181">
        <v>46784</v>
      </c>
      <c r="Z1" s="181">
        <v>46813</v>
      </c>
      <c r="AA1" s="181">
        <v>46844</v>
      </c>
      <c r="AB1" s="181">
        <v>46874</v>
      </c>
      <c r="AC1" s="181">
        <v>46905</v>
      </c>
      <c r="AD1" s="181">
        <v>46935</v>
      </c>
      <c r="AE1" s="181">
        <v>46966</v>
      </c>
      <c r="AF1" s="181">
        <v>46997</v>
      </c>
      <c r="AG1" s="181">
        <v>47027</v>
      </c>
      <c r="AH1" s="181">
        <v>47058</v>
      </c>
      <c r="AI1" s="181">
        <v>47088</v>
      </c>
      <c r="AJ1" s="181">
        <v>47119</v>
      </c>
      <c r="AK1" s="181">
        <v>47150</v>
      </c>
      <c r="AL1" s="181">
        <v>47178</v>
      </c>
      <c r="AM1" s="181">
        <v>47209</v>
      </c>
      <c r="AN1" s="181">
        <v>47239</v>
      </c>
      <c r="AO1" s="181">
        <v>47270</v>
      </c>
      <c r="AP1" s="181">
        <v>47300</v>
      </c>
      <c r="AQ1" s="181">
        <v>47331</v>
      </c>
      <c r="AR1" s="181">
        <v>47362</v>
      </c>
      <c r="AS1" s="181">
        <v>47392</v>
      </c>
      <c r="AT1" s="181">
        <v>47423</v>
      </c>
      <c r="AU1" s="181">
        <v>47453</v>
      </c>
    </row>
    <row r="2" spans="1:47" ht="18" x14ac:dyDescent="0.35">
      <c r="A2" s="180"/>
      <c r="C2" s="193"/>
      <c r="E2" s="192" t="s">
        <v>1235</v>
      </c>
      <c r="F2" s="202">
        <v>90</v>
      </c>
      <c r="G2" s="202">
        <v>90</v>
      </c>
      <c r="H2" s="202">
        <v>90</v>
      </c>
      <c r="I2" s="202">
        <v>90</v>
      </c>
      <c r="J2" s="202">
        <v>90</v>
      </c>
      <c r="K2" s="202">
        <v>90</v>
      </c>
      <c r="L2" s="202">
        <v>90</v>
      </c>
      <c r="M2" s="202">
        <v>90</v>
      </c>
      <c r="N2" s="202">
        <v>80</v>
      </c>
      <c r="O2" s="202">
        <v>80</v>
      </c>
      <c r="P2" s="202">
        <v>80</v>
      </c>
      <c r="Q2" s="202">
        <v>80</v>
      </c>
      <c r="R2" s="202">
        <v>80</v>
      </c>
      <c r="S2" s="202">
        <v>80</v>
      </c>
      <c r="T2" s="202">
        <v>80</v>
      </c>
      <c r="U2" s="202">
        <v>80</v>
      </c>
      <c r="V2" s="202">
        <v>80</v>
      </c>
      <c r="W2" s="202">
        <v>80</v>
      </c>
      <c r="X2" s="202">
        <v>80</v>
      </c>
      <c r="Y2" s="202">
        <v>80</v>
      </c>
      <c r="Z2" s="202">
        <v>80</v>
      </c>
      <c r="AA2" s="202">
        <v>80</v>
      </c>
      <c r="AB2" s="202">
        <v>80</v>
      </c>
      <c r="AC2" s="202">
        <v>80</v>
      </c>
      <c r="AD2" s="202">
        <v>80</v>
      </c>
      <c r="AE2" s="202">
        <v>80</v>
      </c>
      <c r="AF2" s="202">
        <v>80</v>
      </c>
      <c r="AG2" s="202">
        <v>80</v>
      </c>
      <c r="AH2" s="202">
        <v>80</v>
      </c>
      <c r="AI2" s="202">
        <v>80</v>
      </c>
      <c r="AJ2" s="202">
        <v>80</v>
      </c>
      <c r="AK2" s="202">
        <v>80</v>
      </c>
      <c r="AL2" s="202">
        <v>80</v>
      </c>
      <c r="AM2" s="202">
        <v>80</v>
      </c>
      <c r="AN2" s="202">
        <v>80</v>
      </c>
      <c r="AO2" s="202">
        <v>80</v>
      </c>
      <c r="AP2" s="202">
        <v>80</v>
      </c>
      <c r="AQ2" s="202">
        <v>80</v>
      </c>
      <c r="AR2" s="202">
        <v>80</v>
      </c>
      <c r="AS2" s="202">
        <v>80</v>
      </c>
      <c r="AT2" s="202">
        <v>80</v>
      </c>
      <c r="AU2" s="203"/>
    </row>
    <row r="3" spans="1:47" x14ac:dyDescent="0.3">
      <c r="A3" s="182" t="s">
        <v>365</v>
      </c>
      <c r="C3" s="183">
        <v>90</v>
      </c>
      <c r="F3" s="204">
        <f>F2</f>
        <v>90</v>
      </c>
      <c r="G3" s="204">
        <f>F3+G2</f>
        <v>180</v>
      </c>
      <c r="H3" s="204">
        <f t="shared" ref="H3:AT3" si="0">G3+H2</f>
        <v>270</v>
      </c>
      <c r="I3" s="204">
        <f t="shared" si="0"/>
        <v>360</v>
      </c>
      <c r="J3" s="204">
        <f t="shared" si="0"/>
        <v>450</v>
      </c>
      <c r="K3" s="204">
        <f t="shared" si="0"/>
        <v>540</v>
      </c>
      <c r="L3" s="204">
        <f t="shared" si="0"/>
        <v>630</v>
      </c>
      <c r="M3" s="204">
        <f t="shared" si="0"/>
        <v>720</v>
      </c>
      <c r="N3" s="204">
        <f t="shared" si="0"/>
        <v>800</v>
      </c>
      <c r="O3" s="204">
        <f t="shared" si="0"/>
        <v>880</v>
      </c>
      <c r="P3" s="204">
        <f t="shared" si="0"/>
        <v>960</v>
      </c>
      <c r="Q3" s="204">
        <f t="shared" si="0"/>
        <v>1040</v>
      </c>
      <c r="R3" s="204">
        <f t="shared" si="0"/>
        <v>1120</v>
      </c>
      <c r="S3" s="204">
        <f t="shared" si="0"/>
        <v>1200</v>
      </c>
      <c r="T3" s="204">
        <f t="shared" si="0"/>
        <v>1280</v>
      </c>
      <c r="U3" s="204">
        <f t="shared" si="0"/>
        <v>1360</v>
      </c>
      <c r="V3" s="204">
        <f t="shared" si="0"/>
        <v>1440</v>
      </c>
      <c r="W3" s="204">
        <f t="shared" si="0"/>
        <v>1520</v>
      </c>
      <c r="X3" s="204">
        <f t="shared" si="0"/>
        <v>1600</v>
      </c>
      <c r="Y3" s="204">
        <f t="shared" si="0"/>
        <v>1680</v>
      </c>
      <c r="Z3" s="204">
        <f t="shared" si="0"/>
        <v>1760</v>
      </c>
      <c r="AA3" s="204">
        <f t="shared" si="0"/>
        <v>1840</v>
      </c>
      <c r="AB3" s="204">
        <f t="shared" si="0"/>
        <v>1920</v>
      </c>
      <c r="AC3" s="204">
        <f t="shared" si="0"/>
        <v>2000</v>
      </c>
      <c r="AD3" s="204">
        <f t="shared" si="0"/>
        <v>2080</v>
      </c>
      <c r="AE3" s="204">
        <f t="shared" si="0"/>
        <v>2160</v>
      </c>
      <c r="AF3" s="204">
        <f t="shared" si="0"/>
        <v>2240</v>
      </c>
      <c r="AG3" s="204">
        <f t="shared" si="0"/>
        <v>2320</v>
      </c>
      <c r="AH3" s="204">
        <f t="shared" si="0"/>
        <v>2400</v>
      </c>
      <c r="AI3" s="204">
        <f t="shared" si="0"/>
        <v>2480</v>
      </c>
      <c r="AJ3" s="204">
        <f t="shared" si="0"/>
        <v>2560</v>
      </c>
      <c r="AK3" s="204">
        <f t="shared" si="0"/>
        <v>2640</v>
      </c>
      <c r="AL3" s="204">
        <f t="shared" si="0"/>
        <v>2720</v>
      </c>
      <c r="AM3" s="204">
        <f t="shared" si="0"/>
        <v>2800</v>
      </c>
      <c r="AN3" s="204">
        <f t="shared" si="0"/>
        <v>2880</v>
      </c>
      <c r="AO3" s="204">
        <f t="shared" si="0"/>
        <v>2960</v>
      </c>
      <c r="AP3" s="204">
        <f t="shared" si="0"/>
        <v>3040</v>
      </c>
      <c r="AQ3" s="204">
        <f t="shared" si="0"/>
        <v>3120</v>
      </c>
      <c r="AR3" s="204">
        <f t="shared" si="0"/>
        <v>3200</v>
      </c>
      <c r="AS3" s="204">
        <f t="shared" si="0"/>
        <v>3280</v>
      </c>
      <c r="AT3" s="204">
        <f t="shared" si="0"/>
        <v>3360</v>
      </c>
      <c r="AU3" s="204">
        <f>AT3+$C$3-10</f>
        <v>3440</v>
      </c>
    </row>
    <row r="4" spans="1:47" x14ac:dyDescent="0.3">
      <c r="A4" s="182" t="s">
        <v>364</v>
      </c>
      <c r="C4" s="183">
        <v>150</v>
      </c>
      <c r="E4" s="16" t="s">
        <v>362</v>
      </c>
      <c r="F4" s="16">
        <f t="shared" ref="F4:AU4" si="1">+F3*0.6</f>
        <v>54</v>
      </c>
      <c r="G4" s="16">
        <f t="shared" si="1"/>
        <v>108</v>
      </c>
      <c r="H4" s="16">
        <f t="shared" si="1"/>
        <v>162</v>
      </c>
      <c r="I4" s="16">
        <f t="shared" si="1"/>
        <v>216</v>
      </c>
      <c r="J4" s="16">
        <f t="shared" si="1"/>
        <v>270</v>
      </c>
      <c r="K4" s="16">
        <f t="shared" si="1"/>
        <v>324</v>
      </c>
      <c r="L4" s="16">
        <f t="shared" si="1"/>
        <v>378</v>
      </c>
      <c r="M4" s="16">
        <f t="shared" si="1"/>
        <v>432</v>
      </c>
      <c r="N4" s="16">
        <f t="shared" si="1"/>
        <v>480</v>
      </c>
      <c r="O4" s="16">
        <f t="shared" si="1"/>
        <v>528</v>
      </c>
      <c r="P4" s="16">
        <f t="shared" si="1"/>
        <v>576</v>
      </c>
      <c r="Q4" s="16">
        <f t="shared" si="1"/>
        <v>624</v>
      </c>
      <c r="R4" s="16">
        <f t="shared" si="1"/>
        <v>672</v>
      </c>
      <c r="S4" s="16">
        <f t="shared" si="1"/>
        <v>720</v>
      </c>
      <c r="T4" s="16">
        <f t="shared" si="1"/>
        <v>768</v>
      </c>
      <c r="U4" s="16">
        <f t="shared" si="1"/>
        <v>816</v>
      </c>
      <c r="V4" s="16">
        <f t="shared" si="1"/>
        <v>864</v>
      </c>
      <c r="W4" s="16">
        <f t="shared" si="1"/>
        <v>912</v>
      </c>
      <c r="X4" s="16">
        <f t="shared" si="1"/>
        <v>960</v>
      </c>
      <c r="Y4" s="16">
        <f t="shared" si="1"/>
        <v>1008</v>
      </c>
      <c r="Z4" s="16">
        <f t="shared" si="1"/>
        <v>1056</v>
      </c>
      <c r="AA4" s="16">
        <f t="shared" si="1"/>
        <v>1104</v>
      </c>
      <c r="AB4" s="16">
        <f t="shared" si="1"/>
        <v>1152</v>
      </c>
      <c r="AC4" s="16">
        <f t="shared" si="1"/>
        <v>1200</v>
      </c>
      <c r="AD4" s="16">
        <f t="shared" si="1"/>
        <v>1248</v>
      </c>
      <c r="AE4" s="16">
        <f t="shared" si="1"/>
        <v>1296</v>
      </c>
      <c r="AF4" s="16">
        <f t="shared" si="1"/>
        <v>1344</v>
      </c>
      <c r="AG4" s="16">
        <f t="shared" si="1"/>
        <v>1392</v>
      </c>
      <c r="AH4" s="16">
        <f t="shared" si="1"/>
        <v>1440</v>
      </c>
      <c r="AI4" s="16">
        <f t="shared" si="1"/>
        <v>1488</v>
      </c>
      <c r="AJ4" s="16">
        <f t="shared" si="1"/>
        <v>1536</v>
      </c>
      <c r="AK4" s="16">
        <f t="shared" si="1"/>
        <v>1584</v>
      </c>
      <c r="AL4" s="16">
        <f t="shared" si="1"/>
        <v>1632</v>
      </c>
      <c r="AM4" s="16">
        <f t="shared" si="1"/>
        <v>1680</v>
      </c>
      <c r="AN4" s="16">
        <f t="shared" si="1"/>
        <v>1728</v>
      </c>
      <c r="AO4" s="16">
        <f t="shared" si="1"/>
        <v>1776</v>
      </c>
      <c r="AP4" s="16">
        <f t="shared" si="1"/>
        <v>1824</v>
      </c>
      <c r="AQ4" s="16">
        <f t="shared" si="1"/>
        <v>1872</v>
      </c>
      <c r="AR4" s="16">
        <f t="shared" si="1"/>
        <v>1920</v>
      </c>
      <c r="AS4" s="16">
        <f t="shared" si="1"/>
        <v>1968</v>
      </c>
      <c r="AT4" s="16">
        <f t="shared" si="1"/>
        <v>2016</v>
      </c>
      <c r="AU4" s="16">
        <f t="shared" si="1"/>
        <v>2064</v>
      </c>
    </row>
    <row r="5" spans="1:47" x14ac:dyDescent="0.3">
      <c r="A5" s="182"/>
      <c r="B5" s="179" t="s">
        <v>363</v>
      </c>
      <c r="C5" s="179" t="s">
        <v>362</v>
      </c>
      <c r="D5" s="179" t="s">
        <v>361</v>
      </c>
      <c r="E5" s="16" t="s">
        <v>361</v>
      </c>
      <c r="F5" s="16">
        <f t="shared" ref="F5:AU5" si="2">+F3*0.4</f>
        <v>36</v>
      </c>
      <c r="G5" s="16">
        <f t="shared" si="2"/>
        <v>72</v>
      </c>
      <c r="H5" s="16">
        <f t="shared" si="2"/>
        <v>108</v>
      </c>
      <c r="I5" s="16">
        <f t="shared" si="2"/>
        <v>144</v>
      </c>
      <c r="J5" s="16">
        <f t="shared" si="2"/>
        <v>180</v>
      </c>
      <c r="K5" s="16">
        <f t="shared" si="2"/>
        <v>216</v>
      </c>
      <c r="L5" s="16">
        <f t="shared" si="2"/>
        <v>252</v>
      </c>
      <c r="M5" s="16">
        <f t="shared" si="2"/>
        <v>288</v>
      </c>
      <c r="N5" s="16">
        <f t="shared" si="2"/>
        <v>320</v>
      </c>
      <c r="O5" s="16">
        <f t="shared" si="2"/>
        <v>352</v>
      </c>
      <c r="P5" s="16">
        <f t="shared" si="2"/>
        <v>384</v>
      </c>
      <c r="Q5" s="16">
        <f t="shared" si="2"/>
        <v>416</v>
      </c>
      <c r="R5" s="16">
        <f t="shared" si="2"/>
        <v>448</v>
      </c>
      <c r="S5" s="16">
        <f t="shared" si="2"/>
        <v>480</v>
      </c>
      <c r="T5" s="16">
        <f t="shared" si="2"/>
        <v>512</v>
      </c>
      <c r="U5" s="16">
        <f t="shared" si="2"/>
        <v>544</v>
      </c>
      <c r="V5" s="16">
        <f t="shared" si="2"/>
        <v>576</v>
      </c>
      <c r="W5" s="16">
        <f t="shared" si="2"/>
        <v>608</v>
      </c>
      <c r="X5" s="16">
        <f t="shared" si="2"/>
        <v>640</v>
      </c>
      <c r="Y5" s="16">
        <f t="shared" si="2"/>
        <v>672</v>
      </c>
      <c r="Z5" s="16">
        <f t="shared" si="2"/>
        <v>704</v>
      </c>
      <c r="AA5" s="16">
        <f t="shared" si="2"/>
        <v>736</v>
      </c>
      <c r="AB5" s="16">
        <f t="shared" si="2"/>
        <v>768</v>
      </c>
      <c r="AC5" s="16">
        <f t="shared" si="2"/>
        <v>800</v>
      </c>
      <c r="AD5" s="16">
        <f t="shared" si="2"/>
        <v>832</v>
      </c>
      <c r="AE5" s="16">
        <f t="shared" si="2"/>
        <v>864</v>
      </c>
      <c r="AF5" s="16">
        <f t="shared" si="2"/>
        <v>896</v>
      </c>
      <c r="AG5" s="16">
        <f t="shared" si="2"/>
        <v>928</v>
      </c>
      <c r="AH5" s="16">
        <f t="shared" si="2"/>
        <v>960</v>
      </c>
      <c r="AI5" s="16">
        <f t="shared" si="2"/>
        <v>992</v>
      </c>
      <c r="AJ5" s="16">
        <f t="shared" si="2"/>
        <v>1024</v>
      </c>
      <c r="AK5" s="16">
        <f t="shared" si="2"/>
        <v>1056</v>
      </c>
      <c r="AL5" s="16">
        <f t="shared" si="2"/>
        <v>1088</v>
      </c>
      <c r="AM5" s="16">
        <f t="shared" si="2"/>
        <v>1120</v>
      </c>
      <c r="AN5" s="16">
        <f t="shared" si="2"/>
        <v>1152</v>
      </c>
      <c r="AO5" s="16">
        <f t="shared" si="2"/>
        <v>1184</v>
      </c>
      <c r="AP5" s="16">
        <f t="shared" si="2"/>
        <v>1216</v>
      </c>
      <c r="AQ5" s="16">
        <f t="shared" si="2"/>
        <v>1248</v>
      </c>
      <c r="AR5" s="16">
        <f t="shared" si="2"/>
        <v>1280</v>
      </c>
      <c r="AS5" s="16">
        <f t="shared" si="2"/>
        <v>1312</v>
      </c>
      <c r="AT5" s="16">
        <f t="shared" si="2"/>
        <v>1344</v>
      </c>
      <c r="AU5" s="16">
        <f t="shared" si="2"/>
        <v>1376</v>
      </c>
    </row>
    <row r="6" spans="1:47" x14ac:dyDescent="0.3">
      <c r="A6" s="182"/>
      <c r="C6" s="16">
        <f>+C3*0.6</f>
        <v>54</v>
      </c>
      <c r="D6" s="16">
        <f>+C3*0.4</f>
        <v>36</v>
      </c>
      <c r="E6" s="182" t="s">
        <v>360</v>
      </c>
      <c r="F6" s="201">
        <f>_xlfn.LET(_xlpm.ini,F$1+(ROW()-6)*7,_xlpm.fin,IF(ROW()=9,EOMONTH(F$1,0),_xlpm.ini+6),_xlpm.real,SUMIFS(TablaIngresos[[Valor]:[Valor]],TablaIngresos[[Fecha]:[Fecha]],"&gt;="&amp;_xlpm.ini,TablaIngresos[[Fecha]:[Fecha]],"&lt;="&amp;_xlpm.fin),IF(_xlpm.real&gt;0,_xlpm.real,F$4*$C$9+F$5*$D$9))</f>
        <v>39281426.329999998</v>
      </c>
      <c r="G6" s="184">
        <f>_xlfn.LET(_xlpm.ini,G$1+(ROW()-6)*7,_xlpm.fin,IF(ROW()=9,EOMONTH(G$1,0),_xlpm.ini+6),_xlpm.real,SUMIFS(TablaIngresos[[Valor]:[Valor]],TablaIngresos[[Fecha]:[Fecha]],"&gt;="&amp;_xlpm.ini,TablaIngresos[[Fecha]:[Fecha]],"&lt;="&amp;_xlpm.fin),IF(_xlpm.real&gt;0,_xlpm.real,G$4*$C$9+G$5*$D$9))</f>
        <v>34722000</v>
      </c>
      <c r="H6" s="184">
        <f>_xlfn.LET(_xlpm.ini,H$1+(ROW()-6)*7,_xlpm.fin,IF(ROW()=9,EOMONTH(H$1,0),_xlpm.ini+6),_xlpm.real,SUMIFS(TablaIngresos[[Valor]:[Valor]],TablaIngresos[[Fecha]:[Fecha]],"&gt;="&amp;_xlpm.ini,TablaIngresos[[Fecha]:[Fecha]],"&lt;="&amp;_xlpm.fin),IF(_xlpm.real&gt;0,_xlpm.real,H$4*$C$9+H$5*$D$9))</f>
        <v>52083000</v>
      </c>
      <c r="I6" s="184">
        <f>_xlfn.LET(_xlpm.ini,I$1+(ROW()-6)*7,_xlpm.fin,IF(ROW()=9,EOMONTH(I$1,0),_xlpm.ini+6),_xlpm.real,SUMIFS(TablaIngresos[[Valor]:[Valor]],TablaIngresos[[Fecha]:[Fecha]],"&gt;="&amp;_xlpm.ini,TablaIngresos[[Fecha]:[Fecha]],"&lt;="&amp;_xlpm.fin),IF(_xlpm.real&gt;0,_xlpm.real,I$4*$C$9+I$5*$D$9))</f>
        <v>69444000</v>
      </c>
      <c r="J6" s="184">
        <f>_xlfn.LET(_xlpm.ini,J$1+(ROW()-6)*7,_xlpm.fin,IF(ROW()=9,EOMONTH(J$1,0),_xlpm.ini+6),_xlpm.real,SUMIFS(TablaIngresos[[Valor]:[Valor]],TablaIngresos[[Fecha]:[Fecha]],"&gt;="&amp;_xlpm.ini,TablaIngresos[[Fecha]:[Fecha]],"&lt;="&amp;_xlpm.fin),IF(_xlpm.real&gt;0,_xlpm.real,J$4*$C$9+J$5*$D$9))</f>
        <v>86805000</v>
      </c>
      <c r="K6" s="184">
        <f>_xlfn.LET(_xlpm.ini,K$1+(ROW()-6)*7,_xlpm.fin,IF(ROW()=9,EOMONTH(K$1,0),_xlpm.ini+6),_xlpm.real,SUMIFS(TablaIngresos[[Valor]:[Valor]],TablaIngresos[[Fecha]:[Fecha]],"&gt;="&amp;_xlpm.ini,TablaIngresos[[Fecha]:[Fecha]],"&lt;="&amp;_xlpm.fin),IF(_xlpm.real&gt;0,_xlpm.real,K$4*$C$9+K$5*$D$9))</f>
        <v>104166000</v>
      </c>
      <c r="L6" s="184">
        <f>_xlfn.LET(_xlpm.ini,L$1+(ROW()-6)*7,_xlpm.fin,IF(ROW()=9,EOMONTH(L$1,0),_xlpm.ini+6),_xlpm.real,SUMIFS(TablaIngresos[[Valor]:[Valor]],TablaIngresos[[Fecha]:[Fecha]],"&gt;="&amp;_xlpm.ini,TablaIngresos[[Fecha]:[Fecha]],"&lt;="&amp;_xlpm.fin),IF(_xlpm.real&gt;0,_xlpm.real,L$4*$C$9+L$5*$D$9))</f>
        <v>121527000</v>
      </c>
      <c r="M6" s="184">
        <f>_xlfn.LET(_xlpm.ini,M$1+(ROW()-6)*7,_xlpm.fin,IF(ROW()=9,EOMONTH(M$1,0),_xlpm.ini+6),_xlpm.real,SUMIFS(TablaIngresos[[Valor]:[Valor]],TablaIngresos[[Fecha]:[Fecha]],"&gt;="&amp;_xlpm.ini,TablaIngresos[[Fecha]:[Fecha]],"&lt;="&amp;_xlpm.fin),IF(_xlpm.real&gt;0,_xlpm.real,M$4*$C$9+M$5*$D$9))</f>
        <v>138888000</v>
      </c>
      <c r="N6" s="184">
        <f>_xlfn.LET(_xlpm.ini,N$1+(ROW()-6)*7,_xlpm.fin,IF(ROW()=9,EOMONTH(N$1,0),_xlpm.ini+6),_xlpm.real,SUMIFS(TablaIngresos[[Valor]:[Valor]],TablaIngresos[[Fecha]:[Fecha]],"&gt;="&amp;_xlpm.ini,TablaIngresos[[Fecha]:[Fecha]],"&lt;="&amp;_xlpm.fin),IF(_xlpm.real&gt;0,_xlpm.real,N$4*$C$9+N$5*$D$9))</f>
        <v>154320000</v>
      </c>
      <c r="O6" s="184">
        <f>_xlfn.LET(_xlpm.ini,O$1+(ROW()-6)*7,_xlpm.fin,IF(ROW()=9,EOMONTH(O$1,0),_xlpm.ini+6),_xlpm.real,SUMIFS(TablaIngresos[[Valor]:[Valor]],TablaIngresos[[Fecha]:[Fecha]],"&gt;="&amp;_xlpm.ini,TablaIngresos[[Fecha]:[Fecha]],"&lt;="&amp;_xlpm.fin),IF(_xlpm.real&gt;0,_xlpm.real,O$4*$C$9+O$5*$D$9))</f>
        <v>169752000</v>
      </c>
      <c r="P6" s="184">
        <f>_xlfn.LET(_xlpm.ini,P$1+(ROW()-6)*7,_xlpm.fin,IF(ROW()=9,EOMONTH(P$1,0),_xlpm.ini+6),_xlpm.real,SUMIFS(TablaIngresos[[Valor]:[Valor]],TablaIngresos[[Fecha]:[Fecha]],"&gt;="&amp;_xlpm.ini,TablaIngresos[[Fecha]:[Fecha]],"&lt;="&amp;_xlpm.fin),IF(_xlpm.real&gt;0,_xlpm.real,P$4*$C$9+P$5*$D$9))</f>
        <v>185184000</v>
      </c>
      <c r="Q6" s="184">
        <f>_xlfn.LET(_xlpm.ini,Q$1+(ROW()-6)*7,_xlpm.fin,IF(ROW()=9,EOMONTH(Q$1,0),_xlpm.ini+6),_xlpm.real,SUMIFS(TablaIngresos[[Valor]:[Valor]],TablaIngresos[[Fecha]:[Fecha]],"&gt;="&amp;_xlpm.ini,TablaIngresos[[Fecha]:[Fecha]],"&lt;="&amp;_xlpm.fin),IF(_xlpm.real&gt;0,_xlpm.real,Q$4*$C$9+Q$5*$D$9))</f>
        <v>200616000</v>
      </c>
      <c r="R6" s="184">
        <f>_xlfn.LET(_xlpm.ini,R$1+(ROW()-6)*7,_xlpm.fin,IF(ROW()=9,EOMONTH(R$1,0),_xlpm.ini+6),_xlpm.real,SUMIFS(TablaIngresos[[Valor]:[Valor]],TablaIngresos[[Fecha]:[Fecha]],"&gt;="&amp;_xlpm.ini,TablaIngresos[[Fecha]:[Fecha]],"&lt;="&amp;_xlpm.fin),IF(_xlpm.real&gt;0,_xlpm.real,R$4*$C$9+R$5*$D$9))</f>
        <v>216048000</v>
      </c>
      <c r="S6" s="184">
        <f>_xlfn.LET(_xlpm.ini,S$1+(ROW()-6)*7,_xlpm.fin,IF(ROW()=9,EOMONTH(S$1,0),_xlpm.ini+6),_xlpm.real,SUMIFS(TablaIngresos[[Valor]:[Valor]],TablaIngresos[[Fecha]:[Fecha]],"&gt;="&amp;_xlpm.ini,TablaIngresos[[Fecha]:[Fecha]],"&lt;="&amp;_xlpm.fin),IF(_xlpm.real&gt;0,_xlpm.real,S$4*$C$9+S$5*$D$9))</f>
        <v>231480000</v>
      </c>
      <c r="T6" s="184">
        <f>_xlfn.LET(_xlpm.ini,T$1+(ROW()-6)*7,_xlpm.fin,IF(ROW()=9,EOMONTH(T$1,0),_xlpm.ini+6),_xlpm.real,SUMIFS(TablaIngresos[[Valor]:[Valor]],TablaIngresos[[Fecha]:[Fecha]],"&gt;="&amp;_xlpm.ini,TablaIngresos[[Fecha]:[Fecha]],"&lt;="&amp;_xlpm.fin),IF(_xlpm.real&gt;0,_xlpm.real,T$4*$C$9+T$5*$D$9))</f>
        <v>246912000</v>
      </c>
      <c r="U6" s="184">
        <f>_xlfn.LET(_xlpm.ini,U$1+(ROW()-6)*7,_xlpm.fin,IF(ROW()=9,EOMONTH(U$1,0),_xlpm.ini+6),_xlpm.real,SUMIFS(TablaIngresos[[Valor]:[Valor]],TablaIngresos[[Fecha]:[Fecha]],"&gt;="&amp;_xlpm.ini,TablaIngresos[[Fecha]:[Fecha]],"&lt;="&amp;_xlpm.fin),IF(_xlpm.real&gt;0,_xlpm.real,U$4*$C$9+U$5*$D$9))</f>
        <v>262344000</v>
      </c>
      <c r="V6" s="184">
        <f>_xlfn.LET(_xlpm.ini,V$1+(ROW()-6)*7,_xlpm.fin,IF(ROW()=9,EOMONTH(V$1,0),_xlpm.ini+6),_xlpm.real,SUMIFS(TablaIngresos[[Valor]:[Valor]],TablaIngresos[[Fecha]:[Fecha]],"&gt;="&amp;_xlpm.ini,TablaIngresos[[Fecha]:[Fecha]],"&lt;="&amp;_xlpm.fin),IF(_xlpm.real&gt;0,_xlpm.real,V$4*$C$9+V$5*$D$9))</f>
        <v>277776000</v>
      </c>
      <c r="W6" s="184">
        <f>_xlfn.LET(_xlpm.ini,W$1+(ROW()-6)*7,_xlpm.fin,IF(ROW()=9,EOMONTH(W$1,0),_xlpm.ini+6),_xlpm.real,SUMIFS(TablaIngresos[[Valor]:[Valor]],TablaIngresos[[Fecha]:[Fecha]],"&gt;="&amp;_xlpm.ini,TablaIngresos[[Fecha]:[Fecha]],"&lt;="&amp;_xlpm.fin),IF(_xlpm.real&gt;0,_xlpm.real,W$4*$C$9+W$5*$D$9))</f>
        <v>293208000</v>
      </c>
      <c r="X6" s="184">
        <f>_xlfn.LET(_xlpm.ini,X$1+(ROW()-6)*7,_xlpm.fin,IF(ROW()=9,EOMONTH(X$1,0),_xlpm.ini+6),_xlpm.real,SUMIFS(TablaIngresos[[Valor]:[Valor]],TablaIngresos[[Fecha]:[Fecha]],"&gt;="&amp;_xlpm.ini,TablaIngresos[[Fecha]:[Fecha]],"&lt;="&amp;_xlpm.fin),IF(_xlpm.real&gt;0,_xlpm.real,X$4*$C$9+X$5*$D$9))</f>
        <v>308640000</v>
      </c>
      <c r="Y6" s="184">
        <f>_xlfn.LET(_xlpm.ini,Y$1+(ROW()-6)*7,_xlpm.fin,IF(ROW()=9,EOMONTH(Y$1,0),_xlpm.ini+6),_xlpm.real,SUMIFS(TablaIngresos[[Valor]:[Valor]],TablaIngresos[[Fecha]:[Fecha]],"&gt;="&amp;_xlpm.ini,TablaIngresos[[Fecha]:[Fecha]],"&lt;="&amp;_xlpm.fin),IF(_xlpm.real&gt;0,_xlpm.real,Y$4*$C$9+Y$5*$D$9))</f>
        <v>324072000</v>
      </c>
      <c r="Z6" s="184">
        <f>_xlfn.LET(_xlpm.ini,Z$1+(ROW()-6)*7,_xlpm.fin,IF(ROW()=9,EOMONTH(Z$1,0),_xlpm.ini+6),_xlpm.real,SUMIFS(TablaIngresos[[Valor]:[Valor]],TablaIngresos[[Fecha]:[Fecha]],"&gt;="&amp;_xlpm.ini,TablaIngresos[[Fecha]:[Fecha]],"&lt;="&amp;_xlpm.fin),IF(_xlpm.real&gt;0,_xlpm.real,Z$4*$C$9+Z$5*$D$9))</f>
        <v>339504000</v>
      </c>
      <c r="AA6" s="184">
        <f>_xlfn.LET(_xlpm.ini,AA$1+(ROW()-6)*7,_xlpm.fin,IF(ROW()=9,EOMONTH(AA$1,0),_xlpm.ini+6),_xlpm.real,SUMIFS(TablaIngresos[[Valor]:[Valor]],TablaIngresos[[Fecha]:[Fecha]],"&gt;="&amp;_xlpm.ini,TablaIngresos[[Fecha]:[Fecha]],"&lt;="&amp;_xlpm.fin),IF(_xlpm.real&gt;0,_xlpm.real,AA$4*$C$9+AA$5*$D$9))</f>
        <v>354936000</v>
      </c>
      <c r="AB6" s="184">
        <f>_xlfn.LET(_xlpm.ini,AB$1+(ROW()-6)*7,_xlpm.fin,IF(ROW()=9,EOMONTH(AB$1,0),_xlpm.ini+6),_xlpm.real,SUMIFS(TablaIngresos[[Valor]:[Valor]],TablaIngresos[[Fecha]:[Fecha]],"&gt;="&amp;_xlpm.ini,TablaIngresos[[Fecha]:[Fecha]],"&lt;="&amp;_xlpm.fin),IF(_xlpm.real&gt;0,_xlpm.real,AB$4*$C$9+AB$5*$D$9))</f>
        <v>370368000</v>
      </c>
      <c r="AC6" s="184">
        <f>_xlfn.LET(_xlpm.ini,AC$1+(ROW()-6)*7,_xlpm.fin,IF(ROW()=9,EOMONTH(AC$1,0),_xlpm.ini+6),_xlpm.real,SUMIFS(TablaIngresos[[Valor]:[Valor]],TablaIngresos[[Fecha]:[Fecha]],"&gt;="&amp;_xlpm.ini,TablaIngresos[[Fecha]:[Fecha]],"&lt;="&amp;_xlpm.fin),IF(_xlpm.real&gt;0,_xlpm.real,AC$4*$C$9+AC$5*$D$9))</f>
        <v>385800000</v>
      </c>
      <c r="AD6" s="184">
        <f>_xlfn.LET(_xlpm.ini,AD$1+(ROW()-6)*7,_xlpm.fin,IF(ROW()=9,EOMONTH(AD$1,0),_xlpm.ini+6),_xlpm.real,SUMIFS(TablaIngresos[[Valor]:[Valor]],TablaIngresos[[Fecha]:[Fecha]],"&gt;="&amp;_xlpm.ini,TablaIngresos[[Fecha]:[Fecha]],"&lt;="&amp;_xlpm.fin),IF(_xlpm.real&gt;0,_xlpm.real,AD$4*$C$9+AD$5*$D$9))</f>
        <v>401232000</v>
      </c>
      <c r="AE6" s="184">
        <f>_xlfn.LET(_xlpm.ini,AE$1+(ROW()-6)*7,_xlpm.fin,IF(ROW()=9,EOMONTH(AE$1,0),_xlpm.ini+6),_xlpm.real,SUMIFS(TablaIngresos[[Valor]:[Valor]],TablaIngresos[[Fecha]:[Fecha]],"&gt;="&amp;_xlpm.ini,TablaIngresos[[Fecha]:[Fecha]],"&lt;="&amp;_xlpm.fin),IF(_xlpm.real&gt;0,_xlpm.real,AE$4*$C$9+AE$5*$D$9))</f>
        <v>416664000</v>
      </c>
      <c r="AF6" s="184">
        <f>_xlfn.LET(_xlpm.ini,AF$1+(ROW()-6)*7,_xlpm.fin,IF(ROW()=9,EOMONTH(AF$1,0),_xlpm.ini+6),_xlpm.real,SUMIFS(TablaIngresos[[Valor]:[Valor]],TablaIngresos[[Fecha]:[Fecha]],"&gt;="&amp;_xlpm.ini,TablaIngresos[[Fecha]:[Fecha]],"&lt;="&amp;_xlpm.fin),IF(_xlpm.real&gt;0,_xlpm.real,AF$4*$C$9+AF$5*$D$9))</f>
        <v>432096000</v>
      </c>
      <c r="AG6" s="184">
        <f>_xlfn.LET(_xlpm.ini,AG$1+(ROW()-6)*7,_xlpm.fin,IF(ROW()=9,EOMONTH(AG$1,0),_xlpm.ini+6),_xlpm.real,SUMIFS(TablaIngresos[[Valor]:[Valor]],TablaIngresos[[Fecha]:[Fecha]],"&gt;="&amp;_xlpm.ini,TablaIngresos[[Fecha]:[Fecha]],"&lt;="&amp;_xlpm.fin),IF(_xlpm.real&gt;0,_xlpm.real,AG$4*$C$9+AG$5*$D$9))</f>
        <v>447528000</v>
      </c>
      <c r="AH6" s="184">
        <f>_xlfn.LET(_xlpm.ini,AH$1+(ROW()-6)*7,_xlpm.fin,IF(ROW()=9,EOMONTH(AH$1,0),_xlpm.ini+6),_xlpm.real,SUMIFS(TablaIngresos[[Valor]:[Valor]],TablaIngresos[[Fecha]:[Fecha]],"&gt;="&amp;_xlpm.ini,TablaIngresos[[Fecha]:[Fecha]],"&lt;="&amp;_xlpm.fin),IF(_xlpm.real&gt;0,_xlpm.real,AH$4*$C$9+AH$5*$D$9))</f>
        <v>462960000</v>
      </c>
      <c r="AI6" s="184">
        <f>_xlfn.LET(_xlpm.ini,AI$1+(ROW()-6)*7,_xlpm.fin,IF(ROW()=9,EOMONTH(AI$1,0),_xlpm.ini+6),_xlpm.real,SUMIFS(TablaIngresos[[Valor]:[Valor]],TablaIngresos[[Fecha]:[Fecha]],"&gt;="&amp;_xlpm.ini,TablaIngresos[[Fecha]:[Fecha]],"&lt;="&amp;_xlpm.fin),IF(_xlpm.real&gt;0,_xlpm.real,AI$4*$C$9+AI$5*$D$9))</f>
        <v>478392000</v>
      </c>
      <c r="AJ6" s="184">
        <f>_xlfn.LET(_xlpm.ini,AJ$1+(ROW()-6)*7,_xlpm.fin,IF(ROW()=9,EOMONTH(AJ$1,0),_xlpm.ini+6),_xlpm.real,SUMIFS(TablaIngresos[[Valor]:[Valor]],TablaIngresos[[Fecha]:[Fecha]],"&gt;="&amp;_xlpm.ini,TablaIngresos[[Fecha]:[Fecha]],"&lt;="&amp;_xlpm.fin),IF(_xlpm.real&gt;0,_xlpm.real,AJ$4*$C$9+AJ$5*$D$9))</f>
        <v>493824000</v>
      </c>
      <c r="AK6" s="184">
        <f>_xlfn.LET(_xlpm.ini,AK$1+(ROW()-6)*7,_xlpm.fin,IF(ROW()=9,EOMONTH(AK$1,0),_xlpm.ini+6),_xlpm.real,SUMIFS(TablaIngresos[[Valor]:[Valor]],TablaIngresos[[Fecha]:[Fecha]],"&gt;="&amp;_xlpm.ini,TablaIngresos[[Fecha]:[Fecha]],"&lt;="&amp;_xlpm.fin),IF(_xlpm.real&gt;0,_xlpm.real,AK$4*$C$9+AK$5*$D$9))</f>
        <v>509256000</v>
      </c>
      <c r="AL6" s="184">
        <f>_xlfn.LET(_xlpm.ini,AL$1+(ROW()-6)*7,_xlpm.fin,IF(ROW()=9,EOMONTH(AL$1,0),_xlpm.ini+6),_xlpm.real,SUMIFS(TablaIngresos[[Valor]:[Valor]],TablaIngresos[[Fecha]:[Fecha]],"&gt;="&amp;_xlpm.ini,TablaIngresos[[Fecha]:[Fecha]],"&lt;="&amp;_xlpm.fin),IF(_xlpm.real&gt;0,_xlpm.real,AL$4*$C$9+AL$5*$D$9))</f>
        <v>524688000</v>
      </c>
      <c r="AM6" s="184">
        <f>_xlfn.LET(_xlpm.ini,AM$1+(ROW()-6)*7,_xlpm.fin,IF(ROW()=9,EOMONTH(AM$1,0),_xlpm.ini+6),_xlpm.real,SUMIFS(TablaIngresos[[Valor]:[Valor]],TablaIngresos[[Fecha]:[Fecha]],"&gt;="&amp;_xlpm.ini,TablaIngresos[[Fecha]:[Fecha]],"&lt;="&amp;_xlpm.fin),IF(_xlpm.real&gt;0,_xlpm.real,AM$4*$C$9+AM$5*$D$9))</f>
        <v>540120000</v>
      </c>
      <c r="AN6" s="184">
        <f>_xlfn.LET(_xlpm.ini,AN$1+(ROW()-6)*7,_xlpm.fin,IF(ROW()=9,EOMONTH(AN$1,0),_xlpm.ini+6),_xlpm.real,SUMIFS(TablaIngresos[[Valor]:[Valor]],TablaIngresos[[Fecha]:[Fecha]],"&gt;="&amp;_xlpm.ini,TablaIngresos[[Fecha]:[Fecha]],"&lt;="&amp;_xlpm.fin),IF(_xlpm.real&gt;0,_xlpm.real,AN$4*$C$9+AN$5*$D$9))</f>
        <v>555552000</v>
      </c>
      <c r="AO6" s="184">
        <f>_xlfn.LET(_xlpm.ini,AO$1+(ROW()-6)*7,_xlpm.fin,IF(ROW()=9,EOMONTH(AO$1,0),_xlpm.ini+6),_xlpm.real,SUMIFS(TablaIngresos[[Valor]:[Valor]],TablaIngresos[[Fecha]:[Fecha]],"&gt;="&amp;_xlpm.ini,TablaIngresos[[Fecha]:[Fecha]],"&lt;="&amp;_xlpm.fin),IF(_xlpm.real&gt;0,_xlpm.real,AO$4*$C$9+AO$5*$D$9))</f>
        <v>570984000</v>
      </c>
      <c r="AP6" s="184">
        <f>_xlfn.LET(_xlpm.ini,AP$1+(ROW()-6)*7,_xlpm.fin,IF(ROW()=9,EOMONTH(AP$1,0),_xlpm.ini+6),_xlpm.real,SUMIFS(TablaIngresos[[Valor]:[Valor]],TablaIngresos[[Fecha]:[Fecha]],"&gt;="&amp;_xlpm.ini,TablaIngresos[[Fecha]:[Fecha]],"&lt;="&amp;_xlpm.fin),IF(_xlpm.real&gt;0,_xlpm.real,AP$4*$C$9+AP$5*$D$9))</f>
        <v>586416000</v>
      </c>
      <c r="AQ6" s="184">
        <f>_xlfn.LET(_xlpm.ini,AQ$1+(ROW()-6)*7,_xlpm.fin,IF(ROW()=9,EOMONTH(AQ$1,0),_xlpm.ini+6),_xlpm.real,SUMIFS(TablaIngresos[[Valor]:[Valor]],TablaIngresos[[Fecha]:[Fecha]],"&gt;="&amp;_xlpm.ini,TablaIngresos[[Fecha]:[Fecha]],"&lt;="&amp;_xlpm.fin),IF(_xlpm.real&gt;0,_xlpm.real,AQ$4*$C$9+AQ$5*$D$9))</f>
        <v>601848000</v>
      </c>
      <c r="AR6" s="184">
        <f>_xlfn.LET(_xlpm.ini,AR$1+(ROW()-6)*7,_xlpm.fin,IF(ROW()=9,EOMONTH(AR$1,0),_xlpm.ini+6),_xlpm.real,SUMIFS(TablaIngresos[[Valor]:[Valor]],TablaIngresos[[Fecha]:[Fecha]],"&gt;="&amp;_xlpm.ini,TablaIngresos[[Fecha]:[Fecha]],"&lt;="&amp;_xlpm.fin),IF(_xlpm.real&gt;0,_xlpm.real,AR$4*$C$9+AR$5*$D$9))</f>
        <v>617280000</v>
      </c>
      <c r="AS6" s="184">
        <f>_xlfn.LET(_xlpm.ini,AS$1+(ROW()-6)*7,_xlpm.fin,IF(ROW()=9,EOMONTH(AS$1,0),_xlpm.ini+6),_xlpm.real,SUMIFS(TablaIngresos[[Valor]:[Valor]],TablaIngresos[[Fecha]:[Fecha]],"&gt;="&amp;_xlpm.ini,TablaIngresos[[Fecha]:[Fecha]],"&lt;="&amp;_xlpm.fin),IF(_xlpm.real&gt;0,_xlpm.real,AS$4*$C$9+AS$5*$D$9))</f>
        <v>632712000</v>
      </c>
      <c r="AT6" s="184">
        <f>_xlfn.LET(_xlpm.ini,AT$1+(ROW()-6)*7,_xlpm.fin,IF(ROW()=9,EOMONTH(AT$1,0),_xlpm.ini+6),_xlpm.real,SUMIFS(TablaIngresos[[Valor]:[Valor]],TablaIngresos[[Fecha]:[Fecha]],"&gt;="&amp;_xlpm.ini,TablaIngresos[[Fecha]:[Fecha]],"&lt;="&amp;_xlpm.fin),IF(_xlpm.real&gt;0,_xlpm.real,AT$4*$C$9+AT$5*$D$9))</f>
        <v>648144000</v>
      </c>
      <c r="AU6" s="184">
        <f>_xlfn.LET(_xlpm.ini,AU$1+(ROW()-6)*7,_xlpm.fin,IF(ROW()=9,EOMONTH(AU$1,0),_xlpm.ini+6),_xlpm.real,SUMIFS(TablaIngresos[[Valor]:[Valor]],TablaIngresos[[Fecha]:[Fecha]],"&gt;="&amp;_xlpm.ini,TablaIngresos[[Fecha]:[Fecha]],"&lt;="&amp;_xlpm.fin),IF(_xlpm.real&gt;0,_xlpm.real,AU$4*$C$9+AU$5*$D$9))</f>
        <v>663576000</v>
      </c>
    </row>
    <row r="7" spans="1:47" x14ac:dyDescent="0.3">
      <c r="A7" s="182" t="s">
        <v>359</v>
      </c>
      <c r="B7" s="17">
        <v>5750000</v>
      </c>
      <c r="C7" s="185">
        <v>7800000</v>
      </c>
      <c r="D7" s="185">
        <v>9250000</v>
      </c>
      <c r="E7" s="182" t="s">
        <v>358</v>
      </c>
      <c r="F7" s="201">
        <f>_xlfn.LET(_xlpm.ini,F$1+(ROW()-6)*7,_xlpm.fin,IF(ROW()=9,EOMONTH(F$1,0),_xlpm.ini+6),_xlpm.real,SUMIFS(TablaIngresos[[Valor]:[Valor]],TablaIngresos[[Fecha]:[Fecha]],"&gt;="&amp;_xlpm.ini,TablaIngresos[[Fecha]:[Fecha]],"&lt;="&amp;_xlpm.fin),IF(_xlpm.real&gt;0,_xlpm.real,F$4*$C$9+F$5*$D$9))</f>
        <v>39559894</v>
      </c>
      <c r="G7" s="184">
        <f>_xlfn.LET(_xlpm.ini,G$1+(ROW()-6)*7,_xlpm.fin,IF(ROW()=9,EOMONTH(G$1,0),_xlpm.ini+6),_xlpm.real,SUMIFS(TablaIngresos[[Valor]:[Valor]],TablaIngresos[[Fecha]:[Fecha]],"&gt;="&amp;_xlpm.ini,TablaIngresos[[Fecha]:[Fecha]],"&lt;="&amp;_xlpm.fin),IF(_xlpm.real&gt;0,_xlpm.real,G$4*$C$9+G$5*$D$9))</f>
        <v>34722000</v>
      </c>
      <c r="H7" s="184">
        <f>_xlfn.LET(_xlpm.ini,H$1+(ROW()-6)*7,_xlpm.fin,IF(ROW()=9,EOMONTH(H$1,0),_xlpm.ini+6),_xlpm.real,SUMIFS(TablaIngresos[[Valor]:[Valor]],TablaIngresos[[Fecha]:[Fecha]],"&gt;="&amp;_xlpm.ini,TablaIngresos[[Fecha]:[Fecha]],"&lt;="&amp;_xlpm.fin),IF(_xlpm.real&gt;0,_xlpm.real,H$4*$C$9+H$5*$D$9))</f>
        <v>52083000</v>
      </c>
      <c r="I7" s="184">
        <f>_xlfn.LET(_xlpm.ini,I$1+(ROW()-6)*7,_xlpm.fin,IF(ROW()=9,EOMONTH(I$1,0),_xlpm.ini+6),_xlpm.real,SUMIFS(TablaIngresos[[Valor]:[Valor]],TablaIngresos[[Fecha]:[Fecha]],"&gt;="&amp;_xlpm.ini,TablaIngresos[[Fecha]:[Fecha]],"&lt;="&amp;_xlpm.fin),IF(_xlpm.real&gt;0,_xlpm.real,I$4*$C$9+I$5*$D$9))</f>
        <v>69444000</v>
      </c>
      <c r="J7" s="184">
        <f>_xlfn.LET(_xlpm.ini,J$1+(ROW()-6)*7,_xlpm.fin,IF(ROW()=9,EOMONTH(J$1,0),_xlpm.ini+6),_xlpm.real,SUMIFS(TablaIngresos[[Valor]:[Valor]],TablaIngresos[[Fecha]:[Fecha]],"&gt;="&amp;_xlpm.ini,TablaIngresos[[Fecha]:[Fecha]],"&lt;="&amp;_xlpm.fin),IF(_xlpm.real&gt;0,_xlpm.real,J$4*$C$9+J$5*$D$9))</f>
        <v>86805000</v>
      </c>
      <c r="K7" s="184">
        <f>_xlfn.LET(_xlpm.ini,K$1+(ROW()-6)*7,_xlpm.fin,IF(ROW()=9,EOMONTH(K$1,0),_xlpm.ini+6),_xlpm.real,SUMIFS(TablaIngresos[[Valor]:[Valor]],TablaIngresos[[Fecha]:[Fecha]],"&gt;="&amp;_xlpm.ini,TablaIngresos[[Fecha]:[Fecha]],"&lt;="&amp;_xlpm.fin),IF(_xlpm.real&gt;0,_xlpm.real,K$4*$C$9+K$5*$D$9))</f>
        <v>104166000</v>
      </c>
      <c r="L7" s="184">
        <f>_xlfn.LET(_xlpm.ini,L$1+(ROW()-6)*7,_xlpm.fin,IF(ROW()=9,EOMONTH(L$1,0),_xlpm.ini+6),_xlpm.real,SUMIFS(TablaIngresos[[Valor]:[Valor]],TablaIngresos[[Fecha]:[Fecha]],"&gt;="&amp;_xlpm.ini,TablaIngresos[[Fecha]:[Fecha]],"&lt;="&amp;_xlpm.fin),IF(_xlpm.real&gt;0,_xlpm.real,L$4*$C$9+L$5*$D$9))</f>
        <v>121527000</v>
      </c>
      <c r="M7" s="184">
        <f>_xlfn.LET(_xlpm.ini,M$1+(ROW()-6)*7,_xlpm.fin,IF(ROW()=9,EOMONTH(M$1,0),_xlpm.ini+6),_xlpm.real,SUMIFS(TablaIngresos[[Valor]:[Valor]],TablaIngresos[[Fecha]:[Fecha]],"&gt;="&amp;_xlpm.ini,TablaIngresos[[Fecha]:[Fecha]],"&lt;="&amp;_xlpm.fin),IF(_xlpm.real&gt;0,_xlpm.real,M$4*$C$9+M$5*$D$9))</f>
        <v>138888000</v>
      </c>
      <c r="N7" s="184">
        <f>_xlfn.LET(_xlpm.ini,N$1+(ROW()-6)*7,_xlpm.fin,IF(ROW()=9,EOMONTH(N$1,0),_xlpm.ini+6),_xlpm.real,SUMIFS(TablaIngresos[[Valor]:[Valor]],TablaIngresos[[Fecha]:[Fecha]],"&gt;="&amp;_xlpm.ini,TablaIngresos[[Fecha]:[Fecha]],"&lt;="&amp;_xlpm.fin),IF(_xlpm.real&gt;0,_xlpm.real,N$4*$C$9+N$5*$D$9))</f>
        <v>154320000</v>
      </c>
      <c r="O7" s="184">
        <f>_xlfn.LET(_xlpm.ini,O$1+(ROW()-6)*7,_xlpm.fin,IF(ROW()=9,EOMONTH(O$1,0),_xlpm.ini+6),_xlpm.real,SUMIFS(TablaIngresos[[Valor]:[Valor]],TablaIngresos[[Fecha]:[Fecha]],"&gt;="&amp;_xlpm.ini,TablaIngresos[[Fecha]:[Fecha]],"&lt;="&amp;_xlpm.fin),IF(_xlpm.real&gt;0,_xlpm.real,O$4*$C$9+O$5*$D$9))</f>
        <v>169752000</v>
      </c>
      <c r="P7" s="184">
        <f>_xlfn.LET(_xlpm.ini,P$1+(ROW()-6)*7,_xlpm.fin,IF(ROW()=9,EOMONTH(P$1,0),_xlpm.ini+6),_xlpm.real,SUMIFS(TablaIngresos[[Valor]:[Valor]],TablaIngresos[[Fecha]:[Fecha]],"&gt;="&amp;_xlpm.ini,TablaIngresos[[Fecha]:[Fecha]],"&lt;="&amp;_xlpm.fin),IF(_xlpm.real&gt;0,_xlpm.real,P$4*$C$9+P$5*$D$9))</f>
        <v>185184000</v>
      </c>
      <c r="Q7" s="184">
        <f>_xlfn.LET(_xlpm.ini,Q$1+(ROW()-6)*7,_xlpm.fin,IF(ROW()=9,EOMONTH(Q$1,0),_xlpm.ini+6),_xlpm.real,SUMIFS(TablaIngresos[[Valor]:[Valor]],TablaIngresos[[Fecha]:[Fecha]],"&gt;="&amp;_xlpm.ini,TablaIngresos[[Fecha]:[Fecha]],"&lt;="&amp;_xlpm.fin),IF(_xlpm.real&gt;0,_xlpm.real,Q$4*$C$9+Q$5*$D$9))</f>
        <v>200616000</v>
      </c>
      <c r="R7" s="184">
        <f>_xlfn.LET(_xlpm.ini,R$1+(ROW()-6)*7,_xlpm.fin,IF(ROW()=9,EOMONTH(R$1,0),_xlpm.ini+6),_xlpm.real,SUMIFS(TablaIngresos[[Valor]:[Valor]],TablaIngresos[[Fecha]:[Fecha]],"&gt;="&amp;_xlpm.ini,TablaIngresos[[Fecha]:[Fecha]],"&lt;="&amp;_xlpm.fin),IF(_xlpm.real&gt;0,_xlpm.real,R$4*$C$9+R$5*$D$9))</f>
        <v>216048000</v>
      </c>
      <c r="S7" s="184">
        <f>_xlfn.LET(_xlpm.ini,S$1+(ROW()-6)*7,_xlpm.fin,IF(ROW()=9,EOMONTH(S$1,0),_xlpm.ini+6),_xlpm.real,SUMIFS(TablaIngresos[[Valor]:[Valor]],TablaIngresos[[Fecha]:[Fecha]],"&gt;="&amp;_xlpm.ini,TablaIngresos[[Fecha]:[Fecha]],"&lt;="&amp;_xlpm.fin),IF(_xlpm.real&gt;0,_xlpm.real,S$4*$C$9+S$5*$D$9))</f>
        <v>231480000</v>
      </c>
      <c r="T7" s="184">
        <f>_xlfn.LET(_xlpm.ini,T$1+(ROW()-6)*7,_xlpm.fin,IF(ROW()=9,EOMONTH(T$1,0),_xlpm.ini+6),_xlpm.real,SUMIFS(TablaIngresos[[Valor]:[Valor]],TablaIngresos[[Fecha]:[Fecha]],"&gt;="&amp;_xlpm.ini,TablaIngresos[[Fecha]:[Fecha]],"&lt;="&amp;_xlpm.fin),IF(_xlpm.real&gt;0,_xlpm.real,T$4*$C$9+T$5*$D$9))</f>
        <v>246912000</v>
      </c>
      <c r="U7" s="184">
        <f>_xlfn.LET(_xlpm.ini,U$1+(ROW()-6)*7,_xlpm.fin,IF(ROW()=9,EOMONTH(U$1,0),_xlpm.ini+6),_xlpm.real,SUMIFS(TablaIngresos[[Valor]:[Valor]],TablaIngresos[[Fecha]:[Fecha]],"&gt;="&amp;_xlpm.ini,TablaIngresos[[Fecha]:[Fecha]],"&lt;="&amp;_xlpm.fin),IF(_xlpm.real&gt;0,_xlpm.real,U$4*$C$9+U$5*$D$9))</f>
        <v>262344000</v>
      </c>
      <c r="V7" s="184">
        <f>_xlfn.LET(_xlpm.ini,V$1+(ROW()-6)*7,_xlpm.fin,IF(ROW()=9,EOMONTH(V$1,0),_xlpm.ini+6),_xlpm.real,SUMIFS(TablaIngresos[[Valor]:[Valor]],TablaIngresos[[Fecha]:[Fecha]],"&gt;="&amp;_xlpm.ini,TablaIngresos[[Fecha]:[Fecha]],"&lt;="&amp;_xlpm.fin),IF(_xlpm.real&gt;0,_xlpm.real,V$4*$C$9+V$5*$D$9))</f>
        <v>277776000</v>
      </c>
      <c r="W7" s="184">
        <f>_xlfn.LET(_xlpm.ini,W$1+(ROW()-6)*7,_xlpm.fin,IF(ROW()=9,EOMONTH(W$1,0),_xlpm.ini+6),_xlpm.real,SUMIFS(TablaIngresos[[Valor]:[Valor]],TablaIngresos[[Fecha]:[Fecha]],"&gt;="&amp;_xlpm.ini,TablaIngresos[[Fecha]:[Fecha]],"&lt;="&amp;_xlpm.fin),IF(_xlpm.real&gt;0,_xlpm.real,W$4*$C$9+W$5*$D$9))</f>
        <v>293208000</v>
      </c>
      <c r="X7" s="184">
        <f>_xlfn.LET(_xlpm.ini,X$1+(ROW()-6)*7,_xlpm.fin,IF(ROW()=9,EOMONTH(X$1,0),_xlpm.ini+6),_xlpm.real,SUMIFS(TablaIngresos[[Valor]:[Valor]],TablaIngresos[[Fecha]:[Fecha]],"&gt;="&amp;_xlpm.ini,TablaIngresos[[Fecha]:[Fecha]],"&lt;="&amp;_xlpm.fin),IF(_xlpm.real&gt;0,_xlpm.real,X$4*$C$9+X$5*$D$9))</f>
        <v>308640000</v>
      </c>
      <c r="Y7" s="184">
        <f>_xlfn.LET(_xlpm.ini,Y$1+(ROW()-6)*7,_xlpm.fin,IF(ROW()=9,EOMONTH(Y$1,0),_xlpm.ini+6),_xlpm.real,SUMIFS(TablaIngresos[[Valor]:[Valor]],TablaIngresos[[Fecha]:[Fecha]],"&gt;="&amp;_xlpm.ini,TablaIngresos[[Fecha]:[Fecha]],"&lt;="&amp;_xlpm.fin),IF(_xlpm.real&gt;0,_xlpm.real,Y$4*$C$9+Y$5*$D$9))</f>
        <v>324072000</v>
      </c>
      <c r="Z7" s="184">
        <f>_xlfn.LET(_xlpm.ini,Z$1+(ROW()-6)*7,_xlpm.fin,IF(ROW()=9,EOMONTH(Z$1,0),_xlpm.ini+6),_xlpm.real,SUMIFS(TablaIngresos[[Valor]:[Valor]],TablaIngresos[[Fecha]:[Fecha]],"&gt;="&amp;_xlpm.ini,TablaIngresos[[Fecha]:[Fecha]],"&lt;="&amp;_xlpm.fin),IF(_xlpm.real&gt;0,_xlpm.real,Z$4*$C$9+Z$5*$D$9))</f>
        <v>339504000</v>
      </c>
      <c r="AA7" s="184">
        <f>_xlfn.LET(_xlpm.ini,AA$1+(ROW()-6)*7,_xlpm.fin,IF(ROW()=9,EOMONTH(AA$1,0),_xlpm.ini+6),_xlpm.real,SUMIFS(TablaIngresos[[Valor]:[Valor]],TablaIngresos[[Fecha]:[Fecha]],"&gt;="&amp;_xlpm.ini,TablaIngresos[[Fecha]:[Fecha]],"&lt;="&amp;_xlpm.fin),IF(_xlpm.real&gt;0,_xlpm.real,AA$4*$C$9+AA$5*$D$9))</f>
        <v>354936000</v>
      </c>
      <c r="AB7" s="184">
        <f>_xlfn.LET(_xlpm.ini,AB$1+(ROW()-6)*7,_xlpm.fin,IF(ROW()=9,EOMONTH(AB$1,0),_xlpm.ini+6),_xlpm.real,SUMIFS(TablaIngresos[[Valor]:[Valor]],TablaIngresos[[Fecha]:[Fecha]],"&gt;="&amp;_xlpm.ini,TablaIngresos[[Fecha]:[Fecha]],"&lt;="&amp;_xlpm.fin),IF(_xlpm.real&gt;0,_xlpm.real,AB$4*$C$9+AB$5*$D$9))</f>
        <v>370368000</v>
      </c>
      <c r="AC7" s="184">
        <f>_xlfn.LET(_xlpm.ini,AC$1+(ROW()-6)*7,_xlpm.fin,IF(ROW()=9,EOMONTH(AC$1,0),_xlpm.ini+6),_xlpm.real,SUMIFS(TablaIngresos[[Valor]:[Valor]],TablaIngresos[[Fecha]:[Fecha]],"&gt;="&amp;_xlpm.ini,TablaIngresos[[Fecha]:[Fecha]],"&lt;="&amp;_xlpm.fin),IF(_xlpm.real&gt;0,_xlpm.real,AC$4*$C$9+AC$5*$D$9))</f>
        <v>385800000</v>
      </c>
      <c r="AD7" s="184">
        <f>_xlfn.LET(_xlpm.ini,AD$1+(ROW()-6)*7,_xlpm.fin,IF(ROW()=9,EOMONTH(AD$1,0),_xlpm.ini+6),_xlpm.real,SUMIFS(TablaIngresos[[Valor]:[Valor]],TablaIngresos[[Fecha]:[Fecha]],"&gt;="&amp;_xlpm.ini,TablaIngresos[[Fecha]:[Fecha]],"&lt;="&amp;_xlpm.fin),IF(_xlpm.real&gt;0,_xlpm.real,AD$4*$C$9+AD$5*$D$9))</f>
        <v>401232000</v>
      </c>
      <c r="AE7" s="184">
        <f>_xlfn.LET(_xlpm.ini,AE$1+(ROW()-6)*7,_xlpm.fin,IF(ROW()=9,EOMONTH(AE$1,0),_xlpm.ini+6),_xlpm.real,SUMIFS(TablaIngresos[[Valor]:[Valor]],TablaIngresos[[Fecha]:[Fecha]],"&gt;="&amp;_xlpm.ini,TablaIngresos[[Fecha]:[Fecha]],"&lt;="&amp;_xlpm.fin),IF(_xlpm.real&gt;0,_xlpm.real,AE$4*$C$9+AE$5*$D$9))</f>
        <v>416664000</v>
      </c>
      <c r="AF7" s="184">
        <f>_xlfn.LET(_xlpm.ini,AF$1+(ROW()-6)*7,_xlpm.fin,IF(ROW()=9,EOMONTH(AF$1,0),_xlpm.ini+6),_xlpm.real,SUMIFS(TablaIngresos[[Valor]:[Valor]],TablaIngresos[[Fecha]:[Fecha]],"&gt;="&amp;_xlpm.ini,TablaIngresos[[Fecha]:[Fecha]],"&lt;="&amp;_xlpm.fin),IF(_xlpm.real&gt;0,_xlpm.real,AF$4*$C$9+AF$5*$D$9))</f>
        <v>432096000</v>
      </c>
      <c r="AG7" s="184">
        <f>_xlfn.LET(_xlpm.ini,AG$1+(ROW()-6)*7,_xlpm.fin,IF(ROW()=9,EOMONTH(AG$1,0),_xlpm.ini+6),_xlpm.real,SUMIFS(TablaIngresos[[Valor]:[Valor]],TablaIngresos[[Fecha]:[Fecha]],"&gt;="&amp;_xlpm.ini,TablaIngresos[[Fecha]:[Fecha]],"&lt;="&amp;_xlpm.fin),IF(_xlpm.real&gt;0,_xlpm.real,AG$4*$C$9+AG$5*$D$9))</f>
        <v>447528000</v>
      </c>
      <c r="AH7" s="184">
        <f>_xlfn.LET(_xlpm.ini,AH$1+(ROW()-6)*7,_xlpm.fin,IF(ROW()=9,EOMONTH(AH$1,0),_xlpm.ini+6),_xlpm.real,SUMIFS(TablaIngresos[[Valor]:[Valor]],TablaIngresos[[Fecha]:[Fecha]],"&gt;="&amp;_xlpm.ini,TablaIngresos[[Fecha]:[Fecha]],"&lt;="&amp;_xlpm.fin),IF(_xlpm.real&gt;0,_xlpm.real,AH$4*$C$9+AH$5*$D$9))</f>
        <v>462960000</v>
      </c>
      <c r="AI7" s="184">
        <f>_xlfn.LET(_xlpm.ini,AI$1+(ROW()-6)*7,_xlpm.fin,IF(ROW()=9,EOMONTH(AI$1,0),_xlpm.ini+6),_xlpm.real,SUMIFS(TablaIngresos[[Valor]:[Valor]],TablaIngresos[[Fecha]:[Fecha]],"&gt;="&amp;_xlpm.ini,TablaIngresos[[Fecha]:[Fecha]],"&lt;="&amp;_xlpm.fin),IF(_xlpm.real&gt;0,_xlpm.real,AI$4*$C$9+AI$5*$D$9))</f>
        <v>478392000</v>
      </c>
      <c r="AJ7" s="184">
        <f>_xlfn.LET(_xlpm.ini,AJ$1+(ROW()-6)*7,_xlpm.fin,IF(ROW()=9,EOMONTH(AJ$1,0),_xlpm.ini+6),_xlpm.real,SUMIFS(TablaIngresos[[Valor]:[Valor]],TablaIngresos[[Fecha]:[Fecha]],"&gt;="&amp;_xlpm.ini,TablaIngresos[[Fecha]:[Fecha]],"&lt;="&amp;_xlpm.fin),IF(_xlpm.real&gt;0,_xlpm.real,AJ$4*$C$9+AJ$5*$D$9))</f>
        <v>493824000</v>
      </c>
      <c r="AK7" s="184">
        <f>_xlfn.LET(_xlpm.ini,AK$1+(ROW()-6)*7,_xlpm.fin,IF(ROW()=9,EOMONTH(AK$1,0),_xlpm.ini+6),_xlpm.real,SUMIFS(TablaIngresos[[Valor]:[Valor]],TablaIngresos[[Fecha]:[Fecha]],"&gt;="&amp;_xlpm.ini,TablaIngresos[[Fecha]:[Fecha]],"&lt;="&amp;_xlpm.fin),IF(_xlpm.real&gt;0,_xlpm.real,AK$4*$C$9+AK$5*$D$9))</f>
        <v>509256000</v>
      </c>
      <c r="AL7" s="184">
        <f>_xlfn.LET(_xlpm.ini,AL$1+(ROW()-6)*7,_xlpm.fin,IF(ROW()=9,EOMONTH(AL$1,0),_xlpm.ini+6),_xlpm.real,SUMIFS(TablaIngresos[[Valor]:[Valor]],TablaIngresos[[Fecha]:[Fecha]],"&gt;="&amp;_xlpm.ini,TablaIngresos[[Fecha]:[Fecha]],"&lt;="&amp;_xlpm.fin),IF(_xlpm.real&gt;0,_xlpm.real,AL$4*$C$9+AL$5*$D$9))</f>
        <v>524688000</v>
      </c>
      <c r="AM7" s="184">
        <f>_xlfn.LET(_xlpm.ini,AM$1+(ROW()-6)*7,_xlpm.fin,IF(ROW()=9,EOMONTH(AM$1,0),_xlpm.ini+6),_xlpm.real,SUMIFS(TablaIngresos[[Valor]:[Valor]],TablaIngresos[[Fecha]:[Fecha]],"&gt;="&amp;_xlpm.ini,TablaIngresos[[Fecha]:[Fecha]],"&lt;="&amp;_xlpm.fin),IF(_xlpm.real&gt;0,_xlpm.real,AM$4*$C$9+AM$5*$D$9))</f>
        <v>540120000</v>
      </c>
      <c r="AN7" s="184">
        <f>_xlfn.LET(_xlpm.ini,AN$1+(ROW()-6)*7,_xlpm.fin,IF(ROW()=9,EOMONTH(AN$1,0),_xlpm.ini+6),_xlpm.real,SUMIFS(TablaIngresos[[Valor]:[Valor]],TablaIngresos[[Fecha]:[Fecha]],"&gt;="&amp;_xlpm.ini,TablaIngresos[[Fecha]:[Fecha]],"&lt;="&amp;_xlpm.fin),IF(_xlpm.real&gt;0,_xlpm.real,AN$4*$C$9+AN$5*$D$9))</f>
        <v>555552000</v>
      </c>
      <c r="AO7" s="184">
        <f>_xlfn.LET(_xlpm.ini,AO$1+(ROW()-6)*7,_xlpm.fin,IF(ROW()=9,EOMONTH(AO$1,0),_xlpm.ini+6),_xlpm.real,SUMIFS(TablaIngresos[[Valor]:[Valor]],TablaIngresos[[Fecha]:[Fecha]],"&gt;="&amp;_xlpm.ini,TablaIngresos[[Fecha]:[Fecha]],"&lt;="&amp;_xlpm.fin),IF(_xlpm.real&gt;0,_xlpm.real,AO$4*$C$9+AO$5*$D$9))</f>
        <v>570984000</v>
      </c>
      <c r="AP7" s="184">
        <f>_xlfn.LET(_xlpm.ini,AP$1+(ROW()-6)*7,_xlpm.fin,IF(ROW()=9,EOMONTH(AP$1,0),_xlpm.ini+6),_xlpm.real,SUMIFS(TablaIngresos[[Valor]:[Valor]],TablaIngresos[[Fecha]:[Fecha]],"&gt;="&amp;_xlpm.ini,TablaIngresos[[Fecha]:[Fecha]],"&lt;="&amp;_xlpm.fin),IF(_xlpm.real&gt;0,_xlpm.real,AP$4*$C$9+AP$5*$D$9))</f>
        <v>586416000</v>
      </c>
      <c r="AQ7" s="184">
        <f>_xlfn.LET(_xlpm.ini,AQ$1+(ROW()-6)*7,_xlpm.fin,IF(ROW()=9,EOMONTH(AQ$1,0),_xlpm.ini+6),_xlpm.real,SUMIFS(TablaIngresos[[Valor]:[Valor]],TablaIngresos[[Fecha]:[Fecha]],"&gt;="&amp;_xlpm.ini,TablaIngresos[[Fecha]:[Fecha]],"&lt;="&amp;_xlpm.fin),IF(_xlpm.real&gt;0,_xlpm.real,AQ$4*$C$9+AQ$5*$D$9))</f>
        <v>601848000</v>
      </c>
      <c r="AR7" s="184">
        <f>_xlfn.LET(_xlpm.ini,AR$1+(ROW()-6)*7,_xlpm.fin,IF(ROW()=9,EOMONTH(AR$1,0),_xlpm.ini+6),_xlpm.real,SUMIFS(TablaIngresos[[Valor]:[Valor]],TablaIngresos[[Fecha]:[Fecha]],"&gt;="&amp;_xlpm.ini,TablaIngresos[[Fecha]:[Fecha]],"&lt;="&amp;_xlpm.fin),IF(_xlpm.real&gt;0,_xlpm.real,AR$4*$C$9+AR$5*$D$9))</f>
        <v>617280000</v>
      </c>
      <c r="AS7" s="184">
        <f>_xlfn.LET(_xlpm.ini,AS$1+(ROW()-6)*7,_xlpm.fin,IF(ROW()=9,EOMONTH(AS$1,0),_xlpm.ini+6),_xlpm.real,SUMIFS(TablaIngresos[[Valor]:[Valor]],TablaIngresos[[Fecha]:[Fecha]],"&gt;="&amp;_xlpm.ini,TablaIngresos[[Fecha]:[Fecha]],"&lt;="&amp;_xlpm.fin),IF(_xlpm.real&gt;0,_xlpm.real,AS$4*$C$9+AS$5*$D$9))</f>
        <v>632712000</v>
      </c>
      <c r="AT7" s="184">
        <f>_xlfn.LET(_xlpm.ini,AT$1+(ROW()-6)*7,_xlpm.fin,IF(ROW()=9,EOMONTH(AT$1,0),_xlpm.ini+6),_xlpm.real,SUMIFS(TablaIngresos[[Valor]:[Valor]],TablaIngresos[[Fecha]:[Fecha]],"&gt;="&amp;_xlpm.ini,TablaIngresos[[Fecha]:[Fecha]],"&lt;="&amp;_xlpm.fin),IF(_xlpm.real&gt;0,_xlpm.real,AT$4*$C$9+AT$5*$D$9))</f>
        <v>648144000</v>
      </c>
      <c r="AU7" s="184">
        <f>_xlfn.LET(_xlpm.ini,AU$1+(ROW()-6)*7,_xlpm.fin,IF(ROW()=9,EOMONTH(AU$1,0),_xlpm.ini+6),_xlpm.real,SUMIFS(TablaIngresos[[Valor]:[Valor]],TablaIngresos[[Fecha]:[Fecha]],"&gt;="&amp;_xlpm.ini,TablaIngresos[[Fecha]:[Fecha]],"&lt;="&amp;_xlpm.fin),IF(_xlpm.real&gt;0,_xlpm.real,AU$4*$C$9+AU$5*$D$9))</f>
        <v>663576000</v>
      </c>
    </row>
    <row r="8" spans="1:47" x14ac:dyDescent="0.3">
      <c r="A8" s="182" t="s">
        <v>357</v>
      </c>
      <c r="B8" s="17"/>
      <c r="C8" s="17">
        <f>5638974*1.19</f>
        <v>6710379.0599999996</v>
      </c>
      <c r="D8" s="17">
        <f>6975949*1.19</f>
        <v>8301379.3099999996</v>
      </c>
      <c r="E8" s="182" t="s">
        <v>356</v>
      </c>
      <c r="F8" s="184">
        <f>_xlfn.LET(_xlpm.ini,F$1+(ROW()-6)*7,_xlpm.fin,IF(ROW()=9,EOMONTH(F$1,0),_xlpm.ini+6),_xlpm.real,SUMIFS(TablaIngresos[[Valor]:[Valor]],TablaIngresos[[Fecha]:[Fecha]],"&gt;="&amp;_xlpm.ini,TablaIngresos[[Fecha]:[Fecha]],"&lt;="&amp;_xlpm.fin),IF(_xlpm.real&gt;0,_xlpm.real,F$4*$C$9+F$5*$D$9))</f>
        <v>22081.98</v>
      </c>
      <c r="G8" s="184">
        <f>_xlfn.LET(_xlpm.ini,G$1+(ROW()-6)*7,_xlpm.fin,IF(ROW()=9,EOMONTH(G$1,0),_xlpm.ini+6),_xlpm.real,SUMIFS(TablaIngresos[[Valor]:[Valor]],TablaIngresos[[Fecha]:[Fecha]],"&gt;="&amp;_xlpm.ini,TablaIngresos[[Fecha]:[Fecha]],"&lt;="&amp;_xlpm.fin),IF(_xlpm.real&gt;0,_xlpm.real,G$4*$C$9+G$5*$D$9))</f>
        <v>34722000</v>
      </c>
      <c r="H8" s="184">
        <f>_xlfn.LET(_xlpm.ini,H$1+(ROW()-6)*7,_xlpm.fin,IF(ROW()=9,EOMONTH(H$1,0),_xlpm.ini+6),_xlpm.real,SUMIFS(TablaIngresos[[Valor]:[Valor]],TablaIngresos[[Fecha]:[Fecha]],"&gt;="&amp;_xlpm.ini,TablaIngresos[[Fecha]:[Fecha]],"&lt;="&amp;_xlpm.fin),IF(_xlpm.real&gt;0,_xlpm.real,H$4*$C$9+H$5*$D$9))</f>
        <v>52083000</v>
      </c>
      <c r="I8" s="184">
        <f>_xlfn.LET(_xlpm.ini,I$1+(ROW()-6)*7,_xlpm.fin,IF(ROW()=9,EOMONTH(I$1,0),_xlpm.ini+6),_xlpm.real,SUMIFS(TablaIngresos[[Valor]:[Valor]],TablaIngresos[[Fecha]:[Fecha]],"&gt;="&amp;_xlpm.ini,TablaIngresos[[Fecha]:[Fecha]],"&lt;="&amp;_xlpm.fin),IF(_xlpm.real&gt;0,_xlpm.real,I$4*$C$9+I$5*$D$9))</f>
        <v>69444000</v>
      </c>
      <c r="J8" s="184">
        <f>_xlfn.LET(_xlpm.ini,J$1+(ROW()-6)*7,_xlpm.fin,IF(ROW()=9,EOMONTH(J$1,0),_xlpm.ini+6),_xlpm.real,SUMIFS(TablaIngresos[[Valor]:[Valor]],TablaIngresos[[Fecha]:[Fecha]],"&gt;="&amp;_xlpm.ini,TablaIngresos[[Fecha]:[Fecha]],"&lt;="&amp;_xlpm.fin),IF(_xlpm.real&gt;0,_xlpm.real,J$4*$C$9+J$5*$D$9))</f>
        <v>86805000</v>
      </c>
      <c r="K8" s="184">
        <f>_xlfn.LET(_xlpm.ini,K$1+(ROW()-6)*7,_xlpm.fin,IF(ROW()=9,EOMONTH(K$1,0),_xlpm.ini+6),_xlpm.real,SUMIFS(TablaIngresos[[Valor]:[Valor]],TablaIngresos[[Fecha]:[Fecha]],"&gt;="&amp;_xlpm.ini,TablaIngresos[[Fecha]:[Fecha]],"&lt;="&amp;_xlpm.fin),IF(_xlpm.real&gt;0,_xlpm.real,K$4*$C$9+K$5*$D$9))</f>
        <v>104166000</v>
      </c>
      <c r="L8" s="184">
        <f>_xlfn.LET(_xlpm.ini,L$1+(ROW()-6)*7,_xlpm.fin,IF(ROW()=9,EOMONTH(L$1,0),_xlpm.ini+6),_xlpm.real,SUMIFS(TablaIngresos[[Valor]:[Valor]],TablaIngresos[[Fecha]:[Fecha]],"&gt;="&amp;_xlpm.ini,TablaIngresos[[Fecha]:[Fecha]],"&lt;="&amp;_xlpm.fin),IF(_xlpm.real&gt;0,_xlpm.real,L$4*$C$9+L$5*$D$9))</f>
        <v>121527000</v>
      </c>
      <c r="M8" s="184">
        <f>_xlfn.LET(_xlpm.ini,M$1+(ROW()-6)*7,_xlpm.fin,IF(ROW()=9,EOMONTH(M$1,0),_xlpm.ini+6),_xlpm.real,SUMIFS(TablaIngresos[[Valor]:[Valor]],TablaIngresos[[Fecha]:[Fecha]],"&gt;="&amp;_xlpm.ini,TablaIngresos[[Fecha]:[Fecha]],"&lt;="&amp;_xlpm.fin),IF(_xlpm.real&gt;0,_xlpm.real,M$4*$C$9+M$5*$D$9))</f>
        <v>138888000</v>
      </c>
      <c r="N8" s="184">
        <f>_xlfn.LET(_xlpm.ini,N$1+(ROW()-6)*7,_xlpm.fin,IF(ROW()=9,EOMONTH(N$1,0),_xlpm.ini+6),_xlpm.real,SUMIFS(TablaIngresos[[Valor]:[Valor]],TablaIngresos[[Fecha]:[Fecha]],"&gt;="&amp;_xlpm.ini,TablaIngresos[[Fecha]:[Fecha]],"&lt;="&amp;_xlpm.fin),IF(_xlpm.real&gt;0,_xlpm.real,N$4*$C$9+N$5*$D$9))</f>
        <v>154320000</v>
      </c>
      <c r="O8" s="184">
        <f>_xlfn.LET(_xlpm.ini,O$1+(ROW()-6)*7,_xlpm.fin,IF(ROW()=9,EOMONTH(O$1,0),_xlpm.ini+6),_xlpm.real,SUMIFS(TablaIngresos[[Valor]:[Valor]],TablaIngresos[[Fecha]:[Fecha]],"&gt;="&amp;_xlpm.ini,TablaIngresos[[Fecha]:[Fecha]],"&lt;="&amp;_xlpm.fin),IF(_xlpm.real&gt;0,_xlpm.real,O$4*$C$9+O$5*$D$9))</f>
        <v>169752000</v>
      </c>
      <c r="P8" s="184">
        <f>_xlfn.LET(_xlpm.ini,P$1+(ROW()-6)*7,_xlpm.fin,IF(ROW()=9,EOMONTH(P$1,0),_xlpm.ini+6),_xlpm.real,SUMIFS(TablaIngresos[[Valor]:[Valor]],TablaIngresos[[Fecha]:[Fecha]],"&gt;="&amp;_xlpm.ini,TablaIngresos[[Fecha]:[Fecha]],"&lt;="&amp;_xlpm.fin),IF(_xlpm.real&gt;0,_xlpm.real,P$4*$C$9+P$5*$D$9))</f>
        <v>185184000</v>
      </c>
      <c r="Q8" s="184">
        <f>_xlfn.LET(_xlpm.ini,Q$1+(ROW()-6)*7,_xlpm.fin,IF(ROW()=9,EOMONTH(Q$1,0),_xlpm.ini+6),_xlpm.real,SUMIFS(TablaIngresos[[Valor]:[Valor]],TablaIngresos[[Fecha]:[Fecha]],"&gt;="&amp;_xlpm.ini,TablaIngresos[[Fecha]:[Fecha]],"&lt;="&amp;_xlpm.fin),IF(_xlpm.real&gt;0,_xlpm.real,Q$4*$C$9+Q$5*$D$9))</f>
        <v>200616000</v>
      </c>
      <c r="R8" s="184">
        <f>_xlfn.LET(_xlpm.ini,R$1+(ROW()-6)*7,_xlpm.fin,IF(ROW()=9,EOMONTH(R$1,0),_xlpm.ini+6),_xlpm.real,SUMIFS(TablaIngresos[[Valor]:[Valor]],TablaIngresos[[Fecha]:[Fecha]],"&gt;="&amp;_xlpm.ini,TablaIngresos[[Fecha]:[Fecha]],"&lt;="&amp;_xlpm.fin),IF(_xlpm.real&gt;0,_xlpm.real,R$4*$C$9+R$5*$D$9))</f>
        <v>216048000</v>
      </c>
      <c r="S8" s="184">
        <f>_xlfn.LET(_xlpm.ini,S$1+(ROW()-6)*7,_xlpm.fin,IF(ROW()=9,EOMONTH(S$1,0),_xlpm.ini+6),_xlpm.real,SUMIFS(TablaIngresos[[Valor]:[Valor]],TablaIngresos[[Fecha]:[Fecha]],"&gt;="&amp;_xlpm.ini,TablaIngresos[[Fecha]:[Fecha]],"&lt;="&amp;_xlpm.fin),IF(_xlpm.real&gt;0,_xlpm.real,S$4*$C$9+S$5*$D$9))</f>
        <v>231480000</v>
      </c>
      <c r="T8" s="184">
        <f>_xlfn.LET(_xlpm.ini,T$1+(ROW()-6)*7,_xlpm.fin,IF(ROW()=9,EOMONTH(T$1,0),_xlpm.ini+6),_xlpm.real,SUMIFS(TablaIngresos[[Valor]:[Valor]],TablaIngresos[[Fecha]:[Fecha]],"&gt;="&amp;_xlpm.ini,TablaIngresos[[Fecha]:[Fecha]],"&lt;="&amp;_xlpm.fin),IF(_xlpm.real&gt;0,_xlpm.real,T$4*$C$9+T$5*$D$9))</f>
        <v>246912000</v>
      </c>
      <c r="U8" s="184">
        <f>_xlfn.LET(_xlpm.ini,U$1+(ROW()-6)*7,_xlpm.fin,IF(ROW()=9,EOMONTH(U$1,0),_xlpm.ini+6),_xlpm.real,SUMIFS(TablaIngresos[[Valor]:[Valor]],TablaIngresos[[Fecha]:[Fecha]],"&gt;="&amp;_xlpm.ini,TablaIngresos[[Fecha]:[Fecha]],"&lt;="&amp;_xlpm.fin),IF(_xlpm.real&gt;0,_xlpm.real,U$4*$C$9+U$5*$D$9))</f>
        <v>262344000</v>
      </c>
      <c r="V8" s="184">
        <f>_xlfn.LET(_xlpm.ini,V$1+(ROW()-6)*7,_xlpm.fin,IF(ROW()=9,EOMONTH(V$1,0),_xlpm.ini+6),_xlpm.real,SUMIFS(TablaIngresos[[Valor]:[Valor]],TablaIngresos[[Fecha]:[Fecha]],"&gt;="&amp;_xlpm.ini,TablaIngresos[[Fecha]:[Fecha]],"&lt;="&amp;_xlpm.fin),IF(_xlpm.real&gt;0,_xlpm.real,V$4*$C$9+V$5*$D$9))</f>
        <v>277776000</v>
      </c>
      <c r="W8" s="184">
        <f>_xlfn.LET(_xlpm.ini,W$1+(ROW()-6)*7,_xlpm.fin,IF(ROW()=9,EOMONTH(W$1,0),_xlpm.ini+6),_xlpm.real,SUMIFS(TablaIngresos[[Valor]:[Valor]],TablaIngresos[[Fecha]:[Fecha]],"&gt;="&amp;_xlpm.ini,TablaIngresos[[Fecha]:[Fecha]],"&lt;="&amp;_xlpm.fin),IF(_xlpm.real&gt;0,_xlpm.real,W$4*$C$9+W$5*$D$9))</f>
        <v>293208000</v>
      </c>
      <c r="X8" s="184">
        <f>_xlfn.LET(_xlpm.ini,X$1+(ROW()-6)*7,_xlpm.fin,IF(ROW()=9,EOMONTH(X$1,0),_xlpm.ini+6),_xlpm.real,SUMIFS(TablaIngresos[[Valor]:[Valor]],TablaIngresos[[Fecha]:[Fecha]],"&gt;="&amp;_xlpm.ini,TablaIngresos[[Fecha]:[Fecha]],"&lt;="&amp;_xlpm.fin),IF(_xlpm.real&gt;0,_xlpm.real,X$4*$C$9+X$5*$D$9))</f>
        <v>308640000</v>
      </c>
      <c r="Y8" s="184">
        <f>_xlfn.LET(_xlpm.ini,Y$1+(ROW()-6)*7,_xlpm.fin,IF(ROW()=9,EOMONTH(Y$1,0),_xlpm.ini+6),_xlpm.real,SUMIFS(TablaIngresos[[Valor]:[Valor]],TablaIngresos[[Fecha]:[Fecha]],"&gt;="&amp;_xlpm.ini,TablaIngresos[[Fecha]:[Fecha]],"&lt;="&amp;_xlpm.fin),IF(_xlpm.real&gt;0,_xlpm.real,Y$4*$C$9+Y$5*$D$9))</f>
        <v>324072000</v>
      </c>
      <c r="Z8" s="184">
        <f>_xlfn.LET(_xlpm.ini,Z$1+(ROW()-6)*7,_xlpm.fin,IF(ROW()=9,EOMONTH(Z$1,0),_xlpm.ini+6),_xlpm.real,SUMIFS(TablaIngresos[[Valor]:[Valor]],TablaIngresos[[Fecha]:[Fecha]],"&gt;="&amp;_xlpm.ini,TablaIngresos[[Fecha]:[Fecha]],"&lt;="&amp;_xlpm.fin),IF(_xlpm.real&gt;0,_xlpm.real,Z$4*$C$9+Z$5*$D$9))</f>
        <v>339504000</v>
      </c>
      <c r="AA8" s="184">
        <f>_xlfn.LET(_xlpm.ini,AA$1+(ROW()-6)*7,_xlpm.fin,IF(ROW()=9,EOMONTH(AA$1,0),_xlpm.ini+6),_xlpm.real,SUMIFS(TablaIngresos[[Valor]:[Valor]],TablaIngresos[[Fecha]:[Fecha]],"&gt;="&amp;_xlpm.ini,TablaIngresos[[Fecha]:[Fecha]],"&lt;="&amp;_xlpm.fin),IF(_xlpm.real&gt;0,_xlpm.real,AA$4*$C$9+AA$5*$D$9))</f>
        <v>354936000</v>
      </c>
      <c r="AB8" s="184">
        <f>_xlfn.LET(_xlpm.ini,AB$1+(ROW()-6)*7,_xlpm.fin,IF(ROW()=9,EOMONTH(AB$1,0),_xlpm.ini+6),_xlpm.real,SUMIFS(TablaIngresos[[Valor]:[Valor]],TablaIngresos[[Fecha]:[Fecha]],"&gt;="&amp;_xlpm.ini,TablaIngresos[[Fecha]:[Fecha]],"&lt;="&amp;_xlpm.fin),IF(_xlpm.real&gt;0,_xlpm.real,AB$4*$C$9+AB$5*$D$9))</f>
        <v>370368000</v>
      </c>
      <c r="AC8" s="184">
        <f>_xlfn.LET(_xlpm.ini,AC$1+(ROW()-6)*7,_xlpm.fin,IF(ROW()=9,EOMONTH(AC$1,0),_xlpm.ini+6),_xlpm.real,SUMIFS(TablaIngresos[[Valor]:[Valor]],TablaIngresos[[Fecha]:[Fecha]],"&gt;="&amp;_xlpm.ini,TablaIngresos[[Fecha]:[Fecha]],"&lt;="&amp;_xlpm.fin),IF(_xlpm.real&gt;0,_xlpm.real,AC$4*$C$9+AC$5*$D$9))</f>
        <v>385800000</v>
      </c>
      <c r="AD8" s="184">
        <f>_xlfn.LET(_xlpm.ini,AD$1+(ROW()-6)*7,_xlpm.fin,IF(ROW()=9,EOMONTH(AD$1,0),_xlpm.ini+6),_xlpm.real,SUMIFS(TablaIngresos[[Valor]:[Valor]],TablaIngresos[[Fecha]:[Fecha]],"&gt;="&amp;_xlpm.ini,TablaIngresos[[Fecha]:[Fecha]],"&lt;="&amp;_xlpm.fin),IF(_xlpm.real&gt;0,_xlpm.real,AD$4*$C$9+AD$5*$D$9))</f>
        <v>401232000</v>
      </c>
      <c r="AE8" s="184">
        <f>_xlfn.LET(_xlpm.ini,AE$1+(ROW()-6)*7,_xlpm.fin,IF(ROW()=9,EOMONTH(AE$1,0),_xlpm.ini+6),_xlpm.real,SUMIFS(TablaIngresos[[Valor]:[Valor]],TablaIngresos[[Fecha]:[Fecha]],"&gt;="&amp;_xlpm.ini,TablaIngresos[[Fecha]:[Fecha]],"&lt;="&amp;_xlpm.fin),IF(_xlpm.real&gt;0,_xlpm.real,AE$4*$C$9+AE$5*$D$9))</f>
        <v>416664000</v>
      </c>
      <c r="AF8" s="184">
        <f>_xlfn.LET(_xlpm.ini,AF$1+(ROW()-6)*7,_xlpm.fin,IF(ROW()=9,EOMONTH(AF$1,0),_xlpm.ini+6),_xlpm.real,SUMIFS(TablaIngresos[[Valor]:[Valor]],TablaIngresos[[Fecha]:[Fecha]],"&gt;="&amp;_xlpm.ini,TablaIngresos[[Fecha]:[Fecha]],"&lt;="&amp;_xlpm.fin),IF(_xlpm.real&gt;0,_xlpm.real,AF$4*$C$9+AF$5*$D$9))</f>
        <v>432096000</v>
      </c>
      <c r="AG8" s="184">
        <f>_xlfn.LET(_xlpm.ini,AG$1+(ROW()-6)*7,_xlpm.fin,IF(ROW()=9,EOMONTH(AG$1,0),_xlpm.ini+6),_xlpm.real,SUMIFS(TablaIngresos[[Valor]:[Valor]],TablaIngresos[[Fecha]:[Fecha]],"&gt;="&amp;_xlpm.ini,TablaIngresos[[Fecha]:[Fecha]],"&lt;="&amp;_xlpm.fin),IF(_xlpm.real&gt;0,_xlpm.real,AG$4*$C$9+AG$5*$D$9))</f>
        <v>447528000</v>
      </c>
      <c r="AH8" s="184">
        <f>_xlfn.LET(_xlpm.ini,AH$1+(ROW()-6)*7,_xlpm.fin,IF(ROW()=9,EOMONTH(AH$1,0),_xlpm.ini+6),_xlpm.real,SUMIFS(TablaIngresos[[Valor]:[Valor]],TablaIngresos[[Fecha]:[Fecha]],"&gt;="&amp;_xlpm.ini,TablaIngresos[[Fecha]:[Fecha]],"&lt;="&amp;_xlpm.fin),IF(_xlpm.real&gt;0,_xlpm.real,AH$4*$C$9+AH$5*$D$9))</f>
        <v>462960000</v>
      </c>
      <c r="AI8" s="184">
        <f>_xlfn.LET(_xlpm.ini,AI$1+(ROW()-6)*7,_xlpm.fin,IF(ROW()=9,EOMONTH(AI$1,0),_xlpm.ini+6),_xlpm.real,SUMIFS(TablaIngresos[[Valor]:[Valor]],TablaIngresos[[Fecha]:[Fecha]],"&gt;="&amp;_xlpm.ini,TablaIngresos[[Fecha]:[Fecha]],"&lt;="&amp;_xlpm.fin),IF(_xlpm.real&gt;0,_xlpm.real,AI$4*$C$9+AI$5*$D$9))</f>
        <v>478392000</v>
      </c>
      <c r="AJ8" s="184">
        <f>_xlfn.LET(_xlpm.ini,AJ$1+(ROW()-6)*7,_xlpm.fin,IF(ROW()=9,EOMONTH(AJ$1,0),_xlpm.ini+6),_xlpm.real,SUMIFS(TablaIngresos[[Valor]:[Valor]],TablaIngresos[[Fecha]:[Fecha]],"&gt;="&amp;_xlpm.ini,TablaIngresos[[Fecha]:[Fecha]],"&lt;="&amp;_xlpm.fin),IF(_xlpm.real&gt;0,_xlpm.real,AJ$4*$C$9+AJ$5*$D$9))</f>
        <v>493824000</v>
      </c>
      <c r="AK8" s="184">
        <f>_xlfn.LET(_xlpm.ini,AK$1+(ROW()-6)*7,_xlpm.fin,IF(ROW()=9,EOMONTH(AK$1,0),_xlpm.ini+6),_xlpm.real,SUMIFS(TablaIngresos[[Valor]:[Valor]],TablaIngresos[[Fecha]:[Fecha]],"&gt;="&amp;_xlpm.ini,TablaIngresos[[Fecha]:[Fecha]],"&lt;="&amp;_xlpm.fin),IF(_xlpm.real&gt;0,_xlpm.real,AK$4*$C$9+AK$5*$D$9))</f>
        <v>509256000</v>
      </c>
      <c r="AL8" s="184">
        <f>_xlfn.LET(_xlpm.ini,AL$1+(ROW()-6)*7,_xlpm.fin,IF(ROW()=9,EOMONTH(AL$1,0),_xlpm.ini+6),_xlpm.real,SUMIFS(TablaIngresos[[Valor]:[Valor]],TablaIngresos[[Fecha]:[Fecha]],"&gt;="&amp;_xlpm.ini,TablaIngresos[[Fecha]:[Fecha]],"&lt;="&amp;_xlpm.fin),IF(_xlpm.real&gt;0,_xlpm.real,AL$4*$C$9+AL$5*$D$9))</f>
        <v>524688000</v>
      </c>
      <c r="AM8" s="184">
        <f>_xlfn.LET(_xlpm.ini,AM$1+(ROW()-6)*7,_xlpm.fin,IF(ROW()=9,EOMONTH(AM$1,0),_xlpm.ini+6),_xlpm.real,SUMIFS(TablaIngresos[[Valor]:[Valor]],TablaIngresos[[Fecha]:[Fecha]],"&gt;="&amp;_xlpm.ini,TablaIngresos[[Fecha]:[Fecha]],"&lt;="&amp;_xlpm.fin),IF(_xlpm.real&gt;0,_xlpm.real,AM$4*$C$9+AM$5*$D$9))</f>
        <v>540120000</v>
      </c>
      <c r="AN8" s="184">
        <f>_xlfn.LET(_xlpm.ini,AN$1+(ROW()-6)*7,_xlpm.fin,IF(ROW()=9,EOMONTH(AN$1,0),_xlpm.ini+6),_xlpm.real,SUMIFS(TablaIngresos[[Valor]:[Valor]],TablaIngresos[[Fecha]:[Fecha]],"&gt;="&amp;_xlpm.ini,TablaIngresos[[Fecha]:[Fecha]],"&lt;="&amp;_xlpm.fin),IF(_xlpm.real&gt;0,_xlpm.real,AN$4*$C$9+AN$5*$D$9))</f>
        <v>555552000</v>
      </c>
      <c r="AO8" s="184">
        <f>_xlfn.LET(_xlpm.ini,AO$1+(ROW()-6)*7,_xlpm.fin,IF(ROW()=9,EOMONTH(AO$1,0),_xlpm.ini+6),_xlpm.real,SUMIFS(TablaIngresos[[Valor]:[Valor]],TablaIngresos[[Fecha]:[Fecha]],"&gt;="&amp;_xlpm.ini,TablaIngresos[[Fecha]:[Fecha]],"&lt;="&amp;_xlpm.fin),IF(_xlpm.real&gt;0,_xlpm.real,AO$4*$C$9+AO$5*$D$9))</f>
        <v>570984000</v>
      </c>
      <c r="AP8" s="184">
        <f>_xlfn.LET(_xlpm.ini,AP$1+(ROW()-6)*7,_xlpm.fin,IF(ROW()=9,EOMONTH(AP$1,0),_xlpm.ini+6),_xlpm.real,SUMIFS(TablaIngresos[[Valor]:[Valor]],TablaIngresos[[Fecha]:[Fecha]],"&gt;="&amp;_xlpm.ini,TablaIngresos[[Fecha]:[Fecha]],"&lt;="&amp;_xlpm.fin),IF(_xlpm.real&gt;0,_xlpm.real,AP$4*$C$9+AP$5*$D$9))</f>
        <v>586416000</v>
      </c>
      <c r="AQ8" s="184">
        <f>_xlfn.LET(_xlpm.ini,AQ$1+(ROW()-6)*7,_xlpm.fin,IF(ROW()=9,EOMONTH(AQ$1,0),_xlpm.ini+6),_xlpm.real,SUMIFS(TablaIngresos[[Valor]:[Valor]],TablaIngresos[[Fecha]:[Fecha]],"&gt;="&amp;_xlpm.ini,TablaIngresos[[Fecha]:[Fecha]],"&lt;="&amp;_xlpm.fin),IF(_xlpm.real&gt;0,_xlpm.real,AQ$4*$C$9+AQ$5*$D$9))</f>
        <v>601848000</v>
      </c>
      <c r="AR8" s="184">
        <f>_xlfn.LET(_xlpm.ini,AR$1+(ROW()-6)*7,_xlpm.fin,IF(ROW()=9,EOMONTH(AR$1,0),_xlpm.ini+6),_xlpm.real,SUMIFS(TablaIngresos[[Valor]:[Valor]],TablaIngresos[[Fecha]:[Fecha]],"&gt;="&amp;_xlpm.ini,TablaIngresos[[Fecha]:[Fecha]],"&lt;="&amp;_xlpm.fin),IF(_xlpm.real&gt;0,_xlpm.real,AR$4*$C$9+AR$5*$D$9))</f>
        <v>617280000</v>
      </c>
      <c r="AS8" s="184">
        <f>_xlfn.LET(_xlpm.ini,AS$1+(ROW()-6)*7,_xlpm.fin,IF(ROW()=9,EOMONTH(AS$1,0),_xlpm.ini+6),_xlpm.real,SUMIFS(TablaIngresos[[Valor]:[Valor]],TablaIngresos[[Fecha]:[Fecha]],"&gt;="&amp;_xlpm.ini,TablaIngresos[[Fecha]:[Fecha]],"&lt;="&amp;_xlpm.fin),IF(_xlpm.real&gt;0,_xlpm.real,AS$4*$C$9+AS$5*$D$9))</f>
        <v>632712000</v>
      </c>
      <c r="AT8" s="184">
        <f>_xlfn.LET(_xlpm.ini,AT$1+(ROW()-6)*7,_xlpm.fin,IF(ROW()=9,EOMONTH(AT$1,0),_xlpm.ini+6),_xlpm.real,SUMIFS(TablaIngresos[[Valor]:[Valor]],TablaIngresos[[Fecha]:[Fecha]],"&gt;="&amp;_xlpm.ini,TablaIngresos[[Fecha]:[Fecha]],"&lt;="&amp;_xlpm.fin),IF(_xlpm.real&gt;0,_xlpm.real,AT$4*$C$9+AT$5*$D$9))</f>
        <v>648144000</v>
      </c>
      <c r="AU8" s="184">
        <f>_xlfn.LET(_xlpm.ini,AU$1+(ROW()-6)*7,_xlpm.fin,IF(ROW()=9,EOMONTH(AU$1,0),_xlpm.ini+6),_xlpm.real,SUMIFS(TablaIngresos[[Valor]:[Valor]],TablaIngresos[[Fecha]:[Fecha]],"&gt;="&amp;_xlpm.ini,TablaIngresos[[Fecha]:[Fecha]],"&lt;="&amp;_xlpm.fin),IF(_xlpm.real&gt;0,_xlpm.real,AU$4*$C$9+AU$5*$D$9))</f>
        <v>663576000</v>
      </c>
    </row>
    <row r="9" spans="1:47" x14ac:dyDescent="0.3">
      <c r="A9" s="182" t="s">
        <v>355</v>
      </c>
      <c r="C9" s="185">
        <v>174900</v>
      </c>
      <c r="D9" s="185">
        <v>219900</v>
      </c>
      <c r="E9" s="182" t="s">
        <v>354</v>
      </c>
      <c r="F9" s="184">
        <f>_xlfn.LET(_xlpm.ini,F$1+(ROW()-6)*7,_xlpm.fin,IF(ROW()=9,EOMONTH(F$1,0),_xlpm.ini+6),_xlpm.real,SUMIFS(TablaIngresos[[Valor]:[Valor]],TablaIngresos[[Fecha]:[Fecha]],"&gt;="&amp;_xlpm.ini,TablaIngresos[[Fecha]:[Fecha]],"&lt;="&amp;_xlpm.fin),IF(_xlpm.real&gt;0,_xlpm.real,F$4*$C$9+F$5*$D$9))</f>
        <v>17361000</v>
      </c>
      <c r="G9" s="184">
        <f>_xlfn.LET(_xlpm.ini,G$1+(ROW()-6)*7,_xlpm.fin,IF(ROW()=9,EOMONTH(G$1,0),_xlpm.ini+6),_xlpm.real,SUMIFS(TablaIngresos[[Valor]:[Valor]],TablaIngresos[[Fecha]:[Fecha]],"&gt;="&amp;_xlpm.ini,TablaIngresos[[Fecha]:[Fecha]],"&lt;="&amp;_xlpm.fin),IF(_xlpm.real&gt;0,_xlpm.real,G$4*$C$9+G$5*$D$9))</f>
        <v>34722000</v>
      </c>
      <c r="H9" s="184">
        <f>_xlfn.LET(_xlpm.ini,H$1+(ROW()-6)*7,_xlpm.fin,IF(ROW()=9,EOMONTH(H$1,0),_xlpm.ini+6),_xlpm.real,SUMIFS(TablaIngresos[[Valor]:[Valor]],TablaIngresos[[Fecha]:[Fecha]],"&gt;="&amp;_xlpm.ini,TablaIngresos[[Fecha]:[Fecha]],"&lt;="&amp;_xlpm.fin),IF(_xlpm.real&gt;0,_xlpm.real,H$4*$C$9+H$5*$D$9))</f>
        <v>52083000</v>
      </c>
      <c r="I9" s="184">
        <f>_xlfn.LET(_xlpm.ini,I$1+(ROW()-6)*7,_xlpm.fin,IF(ROW()=9,EOMONTH(I$1,0),_xlpm.ini+6),_xlpm.real,SUMIFS(TablaIngresos[[Valor]:[Valor]],TablaIngresos[[Fecha]:[Fecha]],"&gt;="&amp;_xlpm.ini,TablaIngresos[[Fecha]:[Fecha]],"&lt;="&amp;_xlpm.fin),IF(_xlpm.real&gt;0,_xlpm.real,I$4*$C$9+I$5*$D$9))</f>
        <v>69444000</v>
      </c>
      <c r="J9" s="184">
        <f>_xlfn.LET(_xlpm.ini,J$1+(ROW()-6)*7,_xlpm.fin,IF(ROW()=9,EOMONTH(J$1,0),_xlpm.ini+6),_xlpm.real,SUMIFS(TablaIngresos[[Valor]:[Valor]],TablaIngresos[[Fecha]:[Fecha]],"&gt;="&amp;_xlpm.ini,TablaIngresos[[Fecha]:[Fecha]],"&lt;="&amp;_xlpm.fin),IF(_xlpm.real&gt;0,_xlpm.real,J$4*$C$9+J$5*$D$9))</f>
        <v>86805000</v>
      </c>
      <c r="K9" s="184">
        <f>_xlfn.LET(_xlpm.ini,K$1+(ROW()-6)*7,_xlpm.fin,IF(ROW()=9,EOMONTH(K$1,0),_xlpm.ini+6),_xlpm.real,SUMIFS(TablaIngresos[[Valor]:[Valor]],TablaIngresos[[Fecha]:[Fecha]],"&gt;="&amp;_xlpm.ini,TablaIngresos[[Fecha]:[Fecha]],"&lt;="&amp;_xlpm.fin),IF(_xlpm.real&gt;0,_xlpm.real,K$4*$C$9+K$5*$D$9))</f>
        <v>104166000</v>
      </c>
      <c r="L9" s="184">
        <f>_xlfn.LET(_xlpm.ini,L$1+(ROW()-6)*7,_xlpm.fin,IF(ROW()=9,EOMONTH(L$1,0),_xlpm.ini+6),_xlpm.real,SUMIFS(TablaIngresos[[Valor]:[Valor]],TablaIngresos[[Fecha]:[Fecha]],"&gt;="&amp;_xlpm.ini,TablaIngresos[[Fecha]:[Fecha]],"&lt;="&amp;_xlpm.fin),IF(_xlpm.real&gt;0,_xlpm.real,L$4*$C$9+L$5*$D$9))</f>
        <v>121527000</v>
      </c>
      <c r="M9" s="184">
        <f>_xlfn.LET(_xlpm.ini,M$1+(ROW()-6)*7,_xlpm.fin,IF(ROW()=9,EOMONTH(M$1,0),_xlpm.ini+6),_xlpm.real,SUMIFS(TablaIngresos[[Valor]:[Valor]],TablaIngresos[[Fecha]:[Fecha]],"&gt;="&amp;_xlpm.ini,TablaIngresos[[Fecha]:[Fecha]],"&lt;="&amp;_xlpm.fin),IF(_xlpm.real&gt;0,_xlpm.real,M$4*$C$9+M$5*$D$9))</f>
        <v>138888000</v>
      </c>
      <c r="N9" s="184">
        <f>_xlfn.LET(_xlpm.ini,N$1+(ROW()-6)*7,_xlpm.fin,IF(ROW()=9,EOMONTH(N$1,0),_xlpm.ini+6),_xlpm.real,SUMIFS(TablaIngresos[[Valor]:[Valor]],TablaIngresos[[Fecha]:[Fecha]],"&gt;="&amp;_xlpm.ini,TablaIngresos[[Fecha]:[Fecha]],"&lt;="&amp;_xlpm.fin),IF(_xlpm.real&gt;0,_xlpm.real,N$4*$C$9+N$5*$D$9))</f>
        <v>154320000</v>
      </c>
      <c r="O9" s="184">
        <f>_xlfn.LET(_xlpm.ini,O$1+(ROW()-6)*7,_xlpm.fin,IF(ROW()=9,EOMONTH(O$1,0),_xlpm.ini+6),_xlpm.real,SUMIFS(TablaIngresos[[Valor]:[Valor]],TablaIngresos[[Fecha]:[Fecha]],"&gt;="&amp;_xlpm.ini,TablaIngresos[[Fecha]:[Fecha]],"&lt;="&amp;_xlpm.fin),IF(_xlpm.real&gt;0,_xlpm.real,O$4*$C$9+O$5*$D$9))</f>
        <v>169752000</v>
      </c>
      <c r="P9" s="184">
        <f>_xlfn.LET(_xlpm.ini,P$1+(ROW()-6)*7,_xlpm.fin,IF(ROW()=9,EOMONTH(P$1,0),_xlpm.ini+6),_xlpm.real,SUMIFS(TablaIngresos[[Valor]:[Valor]],TablaIngresos[[Fecha]:[Fecha]],"&gt;="&amp;_xlpm.ini,TablaIngresos[[Fecha]:[Fecha]],"&lt;="&amp;_xlpm.fin),IF(_xlpm.real&gt;0,_xlpm.real,P$4*$C$9+P$5*$D$9))</f>
        <v>185184000</v>
      </c>
      <c r="Q9" s="184">
        <f>_xlfn.LET(_xlpm.ini,Q$1+(ROW()-6)*7,_xlpm.fin,IF(ROW()=9,EOMONTH(Q$1,0),_xlpm.ini+6),_xlpm.real,SUMIFS(TablaIngresos[[Valor]:[Valor]],TablaIngresos[[Fecha]:[Fecha]],"&gt;="&amp;_xlpm.ini,TablaIngresos[[Fecha]:[Fecha]],"&lt;="&amp;_xlpm.fin),IF(_xlpm.real&gt;0,_xlpm.real,Q$4*$C$9+Q$5*$D$9))</f>
        <v>200616000</v>
      </c>
      <c r="R9" s="184">
        <f>_xlfn.LET(_xlpm.ini,R$1+(ROW()-6)*7,_xlpm.fin,IF(ROW()=9,EOMONTH(R$1,0),_xlpm.ini+6),_xlpm.real,SUMIFS(TablaIngresos[[Valor]:[Valor]],TablaIngresos[[Fecha]:[Fecha]],"&gt;="&amp;_xlpm.ini,TablaIngresos[[Fecha]:[Fecha]],"&lt;="&amp;_xlpm.fin),IF(_xlpm.real&gt;0,_xlpm.real,R$4*$C$9+R$5*$D$9))</f>
        <v>216048000</v>
      </c>
      <c r="S9" s="184">
        <f>_xlfn.LET(_xlpm.ini,S$1+(ROW()-6)*7,_xlpm.fin,IF(ROW()=9,EOMONTH(S$1,0),_xlpm.ini+6),_xlpm.real,SUMIFS(TablaIngresos[[Valor]:[Valor]],TablaIngresos[[Fecha]:[Fecha]],"&gt;="&amp;_xlpm.ini,TablaIngresos[[Fecha]:[Fecha]],"&lt;="&amp;_xlpm.fin),IF(_xlpm.real&gt;0,_xlpm.real,S$4*$C$9+S$5*$D$9))</f>
        <v>231480000</v>
      </c>
      <c r="T9" s="184">
        <f>_xlfn.LET(_xlpm.ini,T$1+(ROW()-6)*7,_xlpm.fin,IF(ROW()=9,EOMONTH(T$1,0),_xlpm.ini+6),_xlpm.real,SUMIFS(TablaIngresos[[Valor]:[Valor]],TablaIngresos[[Fecha]:[Fecha]],"&gt;="&amp;_xlpm.ini,TablaIngresos[[Fecha]:[Fecha]],"&lt;="&amp;_xlpm.fin),IF(_xlpm.real&gt;0,_xlpm.real,T$4*$C$9+T$5*$D$9))</f>
        <v>246912000</v>
      </c>
      <c r="U9" s="184">
        <f>_xlfn.LET(_xlpm.ini,U$1+(ROW()-6)*7,_xlpm.fin,IF(ROW()=9,EOMONTH(U$1,0),_xlpm.ini+6),_xlpm.real,SUMIFS(TablaIngresos[[Valor]:[Valor]],TablaIngresos[[Fecha]:[Fecha]],"&gt;="&amp;_xlpm.ini,TablaIngresos[[Fecha]:[Fecha]],"&lt;="&amp;_xlpm.fin),IF(_xlpm.real&gt;0,_xlpm.real,U$4*$C$9+U$5*$D$9))</f>
        <v>262344000</v>
      </c>
      <c r="V9" s="184">
        <f>_xlfn.LET(_xlpm.ini,V$1+(ROW()-6)*7,_xlpm.fin,IF(ROW()=9,EOMONTH(V$1,0),_xlpm.ini+6),_xlpm.real,SUMIFS(TablaIngresos[[Valor]:[Valor]],TablaIngresos[[Fecha]:[Fecha]],"&gt;="&amp;_xlpm.ini,TablaIngresos[[Fecha]:[Fecha]],"&lt;="&amp;_xlpm.fin),IF(_xlpm.real&gt;0,_xlpm.real,V$4*$C$9+V$5*$D$9))</f>
        <v>277776000</v>
      </c>
      <c r="W9" s="184">
        <f>_xlfn.LET(_xlpm.ini,W$1+(ROW()-6)*7,_xlpm.fin,IF(ROW()=9,EOMONTH(W$1,0),_xlpm.ini+6),_xlpm.real,SUMIFS(TablaIngresos[[Valor]:[Valor]],TablaIngresos[[Fecha]:[Fecha]],"&gt;="&amp;_xlpm.ini,TablaIngresos[[Fecha]:[Fecha]],"&lt;="&amp;_xlpm.fin),IF(_xlpm.real&gt;0,_xlpm.real,W$4*$C$9+W$5*$D$9))</f>
        <v>293208000</v>
      </c>
      <c r="X9" s="184">
        <f>_xlfn.LET(_xlpm.ini,X$1+(ROW()-6)*7,_xlpm.fin,IF(ROW()=9,EOMONTH(X$1,0),_xlpm.ini+6),_xlpm.real,SUMIFS(TablaIngresos[[Valor]:[Valor]],TablaIngresos[[Fecha]:[Fecha]],"&gt;="&amp;_xlpm.ini,TablaIngresos[[Fecha]:[Fecha]],"&lt;="&amp;_xlpm.fin),IF(_xlpm.real&gt;0,_xlpm.real,X$4*$C$9+X$5*$D$9))</f>
        <v>308640000</v>
      </c>
      <c r="Y9" s="184">
        <f>_xlfn.LET(_xlpm.ini,Y$1+(ROW()-6)*7,_xlpm.fin,IF(ROW()=9,EOMONTH(Y$1,0),_xlpm.ini+6),_xlpm.real,SUMIFS(TablaIngresos[[Valor]:[Valor]],TablaIngresos[[Fecha]:[Fecha]],"&gt;="&amp;_xlpm.ini,TablaIngresos[[Fecha]:[Fecha]],"&lt;="&amp;_xlpm.fin),IF(_xlpm.real&gt;0,_xlpm.real,Y$4*$C$9+Y$5*$D$9))</f>
        <v>324072000</v>
      </c>
      <c r="Z9" s="184">
        <f>_xlfn.LET(_xlpm.ini,Z$1+(ROW()-6)*7,_xlpm.fin,IF(ROW()=9,EOMONTH(Z$1,0),_xlpm.ini+6),_xlpm.real,SUMIFS(TablaIngresos[[Valor]:[Valor]],TablaIngresos[[Fecha]:[Fecha]],"&gt;="&amp;_xlpm.ini,TablaIngresos[[Fecha]:[Fecha]],"&lt;="&amp;_xlpm.fin),IF(_xlpm.real&gt;0,_xlpm.real,Z$4*$C$9+Z$5*$D$9))</f>
        <v>339504000</v>
      </c>
      <c r="AA9" s="184">
        <f>_xlfn.LET(_xlpm.ini,AA$1+(ROW()-6)*7,_xlpm.fin,IF(ROW()=9,EOMONTH(AA$1,0),_xlpm.ini+6),_xlpm.real,SUMIFS(TablaIngresos[[Valor]:[Valor]],TablaIngresos[[Fecha]:[Fecha]],"&gt;="&amp;_xlpm.ini,TablaIngresos[[Fecha]:[Fecha]],"&lt;="&amp;_xlpm.fin),IF(_xlpm.real&gt;0,_xlpm.real,AA$4*$C$9+AA$5*$D$9))</f>
        <v>354936000</v>
      </c>
      <c r="AB9" s="184">
        <f>_xlfn.LET(_xlpm.ini,AB$1+(ROW()-6)*7,_xlpm.fin,IF(ROW()=9,EOMONTH(AB$1,0),_xlpm.ini+6),_xlpm.real,SUMIFS(TablaIngresos[[Valor]:[Valor]],TablaIngresos[[Fecha]:[Fecha]],"&gt;="&amp;_xlpm.ini,TablaIngresos[[Fecha]:[Fecha]],"&lt;="&amp;_xlpm.fin),IF(_xlpm.real&gt;0,_xlpm.real,AB$4*$C$9+AB$5*$D$9))</f>
        <v>370368000</v>
      </c>
      <c r="AC9" s="184">
        <f>_xlfn.LET(_xlpm.ini,AC$1+(ROW()-6)*7,_xlpm.fin,IF(ROW()=9,EOMONTH(AC$1,0),_xlpm.ini+6),_xlpm.real,SUMIFS(TablaIngresos[[Valor]:[Valor]],TablaIngresos[[Fecha]:[Fecha]],"&gt;="&amp;_xlpm.ini,TablaIngresos[[Fecha]:[Fecha]],"&lt;="&amp;_xlpm.fin),IF(_xlpm.real&gt;0,_xlpm.real,AC$4*$C$9+AC$5*$D$9))</f>
        <v>385800000</v>
      </c>
      <c r="AD9" s="184">
        <f>_xlfn.LET(_xlpm.ini,AD$1+(ROW()-6)*7,_xlpm.fin,IF(ROW()=9,EOMONTH(AD$1,0),_xlpm.ini+6),_xlpm.real,SUMIFS(TablaIngresos[[Valor]:[Valor]],TablaIngresos[[Fecha]:[Fecha]],"&gt;="&amp;_xlpm.ini,TablaIngresos[[Fecha]:[Fecha]],"&lt;="&amp;_xlpm.fin),IF(_xlpm.real&gt;0,_xlpm.real,AD$4*$C$9+AD$5*$D$9))</f>
        <v>401232000</v>
      </c>
      <c r="AE9" s="184">
        <f>_xlfn.LET(_xlpm.ini,AE$1+(ROW()-6)*7,_xlpm.fin,IF(ROW()=9,EOMONTH(AE$1,0),_xlpm.ini+6),_xlpm.real,SUMIFS(TablaIngresos[[Valor]:[Valor]],TablaIngresos[[Fecha]:[Fecha]],"&gt;="&amp;_xlpm.ini,TablaIngresos[[Fecha]:[Fecha]],"&lt;="&amp;_xlpm.fin),IF(_xlpm.real&gt;0,_xlpm.real,AE$4*$C$9+AE$5*$D$9))</f>
        <v>416664000</v>
      </c>
      <c r="AF9" s="184">
        <f>_xlfn.LET(_xlpm.ini,AF$1+(ROW()-6)*7,_xlpm.fin,IF(ROW()=9,EOMONTH(AF$1,0),_xlpm.ini+6),_xlpm.real,SUMIFS(TablaIngresos[[Valor]:[Valor]],TablaIngresos[[Fecha]:[Fecha]],"&gt;="&amp;_xlpm.ini,TablaIngresos[[Fecha]:[Fecha]],"&lt;="&amp;_xlpm.fin),IF(_xlpm.real&gt;0,_xlpm.real,AF$4*$C$9+AF$5*$D$9))</f>
        <v>432096000</v>
      </c>
      <c r="AG9" s="184">
        <f>_xlfn.LET(_xlpm.ini,AG$1+(ROW()-6)*7,_xlpm.fin,IF(ROW()=9,EOMONTH(AG$1,0),_xlpm.ini+6),_xlpm.real,SUMIFS(TablaIngresos[[Valor]:[Valor]],TablaIngresos[[Fecha]:[Fecha]],"&gt;="&amp;_xlpm.ini,TablaIngresos[[Fecha]:[Fecha]],"&lt;="&amp;_xlpm.fin),IF(_xlpm.real&gt;0,_xlpm.real,AG$4*$C$9+AG$5*$D$9))</f>
        <v>447528000</v>
      </c>
      <c r="AH9" s="184">
        <f>_xlfn.LET(_xlpm.ini,AH$1+(ROW()-6)*7,_xlpm.fin,IF(ROW()=9,EOMONTH(AH$1,0),_xlpm.ini+6),_xlpm.real,SUMIFS(TablaIngresos[[Valor]:[Valor]],TablaIngresos[[Fecha]:[Fecha]],"&gt;="&amp;_xlpm.ini,TablaIngresos[[Fecha]:[Fecha]],"&lt;="&amp;_xlpm.fin),IF(_xlpm.real&gt;0,_xlpm.real,AH$4*$C$9+AH$5*$D$9))</f>
        <v>462960000</v>
      </c>
      <c r="AI9" s="184">
        <f>_xlfn.LET(_xlpm.ini,AI$1+(ROW()-6)*7,_xlpm.fin,IF(ROW()=9,EOMONTH(AI$1,0),_xlpm.ini+6),_xlpm.real,SUMIFS(TablaIngresos[[Valor]:[Valor]],TablaIngresos[[Fecha]:[Fecha]],"&gt;="&amp;_xlpm.ini,TablaIngresos[[Fecha]:[Fecha]],"&lt;="&amp;_xlpm.fin),IF(_xlpm.real&gt;0,_xlpm.real,AI$4*$C$9+AI$5*$D$9))</f>
        <v>478392000</v>
      </c>
      <c r="AJ9" s="184">
        <f>_xlfn.LET(_xlpm.ini,AJ$1+(ROW()-6)*7,_xlpm.fin,IF(ROW()=9,EOMONTH(AJ$1,0),_xlpm.ini+6),_xlpm.real,SUMIFS(TablaIngresos[[Valor]:[Valor]],TablaIngresos[[Fecha]:[Fecha]],"&gt;="&amp;_xlpm.ini,TablaIngresos[[Fecha]:[Fecha]],"&lt;="&amp;_xlpm.fin),IF(_xlpm.real&gt;0,_xlpm.real,AJ$4*$C$9+AJ$5*$D$9))</f>
        <v>493824000</v>
      </c>
      <c r="AK9" s="184">
        <f>_xlfn.LET(_xlpm.ini,AK$1+(ROW()-6)*7,_xlpm.fin,IF(ROW()=9,EOMONTH(AK$1,0),_xlpm.ini+6),_xlpm.real,SUMIFS(TablaIngresos[[Valor]:[Valor]],TablaIngresos[[Fecha]:[Fecha]],"&gt;="&amp;_xlpm.ini,TablaIngresos[[Fecha]:[Fecha]],"&lt;="&amp;_xlpm.fin),IF(_xlpm.real&gt;0,_xlpm.real,AK$4*$C$9+AK$5*$D$9))</f>
        <v>509256000</v>
      </c>
      <c r="AL9" s="184">
        <f>_xlfn.LET(_xlpm.ini,AL$1+(ROW()-6)*7,_xlpm.fin,IF(ROW()=9,EOMONTH(AL$1,0),_xlpm.ini+6),_xlpm.real,SUMIFS(TablaIngresos[[Valor]:[Valor]],TablaIngresos[[Fecha]:[Fecha]],"&gt;="&amp;_xlpm.ini,TablaIngresos[[Fecha]:[Fecha]],"&lt;="&amp;_xlpm.fin),IF(_xlpm.real&gt;0,_xlpm.real,AL$4*$C$9+AL$5*$D$9))</f>
        <v>524688000</v>
      </c>
      <c r="AM9" s="184">
        <f>_xlfn.LET(_xlpm.ini,AM$1+(ROW()-6)*7,_xlpm.fin,IF(ROW()=9,EOMONTH(AM$1,0),_xlpm.ini+6),_xlpm.real,SUMIFS(TablaIngresos[[Valor]:[Valor]],TablaIngresos[[Fecha]:[Fecha]],"&gt;="&amp;_xlpm.ini,TablaIngresos[[Fecha]:[Fecha]],"&lt;="&amp;_xlpm.fin),IF(_xlpm.real&gt;0,_xlpm.real,AM$4*$C$9+AM$5*$D$9))</f>
        <v>540120000</v>
      </c>
      <c r="AN9" s="184">
        <f>_xlfn.LET(_xlpm.ini,AN$1+(ROW()-6)*7,_xlpm.fin,IF(ROW()=9,EOMONTH(AN$1,0),_xlpm.ini+6),_xlpm.real,SUMIFS(TablaIngresos[[Valor]:[Valor]],TablaIngresos[[Fecha]:[Fecha]],"&gt;="&amp;_xlpm.ini,TablaIngresos[[Fecha]:[Fecha]],"&lt;="&amp;_xlpm.fin),IF(_xlpm.real&gt;0,_xlpm.real,AN$4*$C$9+AN$5*$D$9))</f>
        <v>555552000</v>
      </c>
      <c r="AO9" s="184">
        <f>_xlfn.LET(_xlpm.ini,AO$1+(ROW()-6)*7,_xlpm.fin,IF(ROW()=9,EOMONTH(AO$1,0),_xlpm.ini+6),_xlpm.real,SUMIFS(TablaIngresos[[Valor]:[Valor]],TablaIngresos[[Fecha]:[Fecha]],"&gt;="&amp;_xlpm.ini,TablaIngresos[[Fecha]:[Fecha]],"&lt;="&amp;_xlpm.fin),IF(_xlpm.real&gt;0,_xlpm.real,AO$4*$C$9+AO$5*$D$9))</f>
        <v>570984000</v>
      </c>
      <c r="AP9" s="184">
        <f>_xlfn.LET(_xlpm.ini,AP$1+(ROW()-6)*7,_xlpm.fin,IF(ROW()=9,EOMONTH(AP$1,0),_xlpm.ini+6),_xlpm.real,SUMIFS(TablaIngresos[[Valor]:[Valor]],TablaIngresos[[Fecha]:[Fecha]],"&gt;="&amp;_xlpm.ini,TablaIngresos[[Fecha]:[Fecha]],"&lt;="&amp;_xlpm.fin),IF(_xlpm.real&gt;0,_xlpm.real,AP$4*$C$9+AP$5*$D$9))</f>
        <v>586416000</v>
      </c>
      <c r="AQ9" s="184">
        <f>_xlfn.LET(_xlpm.ini,AQ$1+(ROW()-6)*7,_xlpm.fin,IF(ROW()=9,EOMONTH(AQ$1,0),_xlpm.ini+6),_xlpm.real,SUMIFS(TablaIngresos[[Valor]:[Valor]],TablaIngresos[[Fecha]:[Fecha]],"&gt;="&amp;_xlpm.ini,TablaIngresos[[Fecha]:[Fecha]],"&lt;="&amp;_xlpm.fin),IF(_xlpm.real&gt;0,_xlpm.real,AQ$4*$C$9+AQ$5*$D$9))</f>
        <v>601848000</v>
      </c>
      <c r="AR9" s="184">
        <f>_xlfn.LET(_xlpm.ini,AR$1+(ROW()-6)*7,_xlpm.fin,IF(ROW()=9,EOMONTH(AR$1,0),_xlpm.ini+6),_xlpm.real,SUMIFS(TablaIngresos[[Valor]:[Valor]],TablaIngresos[[Fecha]:[Fecha]],"&gt;="&amp;_xlpm.ini,TablaIngresos[[Fecha]:[Fecha]],"&lt;="&amp;_xlpm.fin),IF(_xlpm.real&gt;0,_xlpm.real,AR$4*$C$9+AR$5*$D$9))</f>
        <v>617280000</v>
      </c>
      <c r="AS9" s="184">
        <f>_xlfn.LET(_xlpm.ini,AS$1+(ROW()-6)*7,_xlpm.fin,IF(ROW()=9,EOMONTH(AS$1,0),_xlpm.ini+6),_xlpm.real,SUMIFS(TablaIngresos[[Valor]:[Valor]],TablaIngresos[[Fecha]:[Fecha]],"&gt;="&amp;_xlpm.ini,TablaIngresos[[Fecha]:[Fecha]],"&lt;="&amp;_xlpm.fin),IF(_xlpm.real&gt;0,_xlpm.real,AS$4*$C$9+AS$5*$D$9))</f>
        <v>632712000</v>
      </c>
      <c r="AT9" s="184">
        <f>_xlfn.LET(_xlpm.ini,AT$1+(ROW()-6)*7,_xlpm.fin,IF(ROW()=9,EOMONTH(AT$1,0),_xlpm.ini+6),_xlpm.real,SUMIFS(TablaIngresos[[Valor]:[Valor]],TablaIngresos[[Fecha]:[Fecha]],"&gt;="&amp;_xlpm.ini,TablaIngresos[[Fecha]:[Fecha]],"&lt;="&amp;_xlpm.fin),IF(_xlpm.real&gt;0,_xlpm.real,AT$4*$C$9+AT$5*$D$9))</f>
        <v>648144000</v>
      </c>
      <c r="AU9" s="184">
        <f>_xlfn.LET(_xlpm.ini,AU$1+(ROW()-6)*7,_xlpm.fin,IF(ROW()=9,EOMONTH(AU$1,0),_xlpm.ini+6),_xlpm.real,SUMIFS(TablaIngresos[[Valor]:[Valor]],TablaIngresos[[Fecha]:[Fecha]],"&gt;="&amp;_xlpm.ini,TablaIngresos[[Fecha]:[Fecha]],"&lt;="&amp;_xlpm.fin),IF(_xlpm.real&gt;0,_xlpm.real,AU$4*$C$9+AU$5*$D$9))</f>
        <v>663576000</v>
      </c>
    </row>
    <row r="10" spans="1:47" x14ac:dyDescent="0.3">
      <c r="A10" s="182" t="s">
        <v>353</v>
      </c>
      <c r="C10" s="17">
        <f>1620000-600000</f>
        <v>1020000</v>
      </c>
      <c r="D10" s="17">
        <f>1990000-600000</f>
        <v>1390000</v>
      </c>
      <c r="E10" s="188" t="s">
        <v>352</v>
      </c>
      <c r="F10" s="189">
        <f t="shared" ref="F10:AU10" si="3">SUM(F6:F9)</f>
        <v>96224402.310000002</v>
      </c>
      <c r="G10" s="189">
        <f t="shared" si="3"/>
        <v>138888000</v>
      </c>
      <c r="H10" s="189">
        <f t="shared" si="3"/>
        <v>208332000</v>
      </c>
      <c r="I10" s="189">
        <f t="shared" si="3"/>
        <v>277776000</v>
      </c>
      <c r="J10" s="189">
        <f t="shared" si="3"/>
        <v>347220000</v>
      </c>
      <c r="K10" s="189">
        <f t="shared" si="3"/>
        <v>416664000</v>
      </c>
      <c r="L10" s="189">
        <f t="shared" si="3"/>
        <v>486108000</v>
      </c>
      <c r="M10" s="189">
        <f t="shared" si="3"/>
        <v>555552000</v>
      </c>
      <c r="N10" s="189">
        <f t="shared" si="3"/>
        <v>617280000</v>
      </c>
      <c r="O10" s="189">
        <f t="shared" si="3"/>
        <v>679008000</v>
      </c>
      <c r="P10" s="189">
        <f t="shared" si="3"/>
        <v>740736000</v>
      </c>
      <c r="Q10" s="189">
        <f t="shared" si="3"/>
        <v>802464000</v>
      </c>
      <c r="R10" s="189">
        <f t="shared" si="3"/>
        <v>864192000</v>
      </c>
      <c r="S10" s="189">
        <f t="shared" si="3"/>
        <v>925920000</v>
      </c>
      <c r="T10" s="189">
        <f t="shared" si="3"/>
        <v>987648000</v>
      </c>
      <c r="U10" s="189">
        <f t="shared" si="3"/>
        <v>1049376000</v>
      </c>
      <c r="V10" s="189">
        <f t="shared" si="3"/>
        <v>1111104000</v>
      </c>
      <c r="W10" s="189">
        <f t="shared" si="3"/>
        <v>1172832000</v>
      </c>
      <c r="X10" s="189">
        <f t="shared" si="3"/>
        <v>1234560000</v>
      </c>
      <c r="Y10" s="189">
        <f t="shared" si="3"/>
        <v>1296288000</v>
      </c>
      <c r="Z10" s="189">
        <f t="shared" si="3"/>
        <v>1358016000</v>
      </c>
      <c r="AA10" s="189">
        <f t="shared" si="3"/>
        <v>1419744000</v>
      </c>
      <c r="AB10" s="189">
        <f t="shared" si="3"/>
        <v>1481472000</v>
      </c>
      <c r="AC10" s="189">
        <f t="shared" si="3"/>
        <v>1543200000</v>
      </c>
      <c r="AD10" s="189">
        <f t="shared" si="3"/>
        <v>1604928000</v>
      </c>
      <c r="AE10" s="189">
        <f t="shared" si="3"/>
        <v>1666656000</v>
      </c>
      <c r="AF10" s="189">
        <f t="shared" si="3"/>
        <v>1728384000</v>
      </c>
      <c r="AG10" s="189">
        <f t="shared" si="3"/>
        <v>1790112000</v>
      </c>
      <c r="AH10" s="189">
        <f t="shared" si="3"/>
        <v>1851840000</v>
      </c>
      <c r="AI10" s="189">
        <f t="shared" si="3"/>
        <v>1913568000</v>
      </c>
      <c r="AJ10" s="189">
        <f t="shared" si="3"/>
        <v>1975296000</v>
      </c>
      <c r="AK10" s="189">
        <f t="shared" si="3"/>
        <v>2037024000</v>
      </c>
      <c r="AL10" s="189">
        <f t="shared" si="3"/>
        <v>2098752000</v>
      </c>
      <c r="AM10" s="189">
        <f t="shared" si="3"/>
        <v>2160480000</v>
      </c>
      <c r="AN10" s="189">
        <f t="shared" si="3"/>
        <v>2222208000</v>
      </c>
      <c r="AO10" s="189">
        <f t="shared" si="3"/>
        <v>2283936000</v>
      </c>
      <c r="AP10" s="189">
        <f t="shared" si="3"/>
        <v>2345664000</v>
      </c>
      <c r="AQ10" s="189">
        <f t="shared" si="3"/>
        <v>2407392000</v>
      </c>
      <c r="AR10" s="189">
        <f t="shared" si="3"/>
        <v>2469120000</v>
      </c>
      <c r="AS10" s="189">
        <f t="shared" si="3"/>
        <v>2530848000</v>
      </c>
      <c r="AT10" s="189">
        <f t="shared" si="3"/>
        <v>2592576000</v>
      </c>
      <c r="AU10" s="189">
        <f t="shared" si="3"/>
        <v>2654304000</v>
      </c>
    </row>
    <row r="11" spans="1:47" x14ac:dyDescent="0.3">
      <c r="A11" s="182"/>
      <c r="E11" s="182" t="s">
        <v>351</v>
      </c>
      <c r="G11" s="17">
        <f t="shared" ref="G11:AU11" si="4">(G4-F4)*$C$10+(G5-F5)*$D$10</f>
        <v>105120000</v>
      </c>
      <c r="H11" s="17">
        <f t="shared" si="4"/>
        <v>105120000</v>
      </c>
      <c r="I11" s="17">
        <f t="shared" si="4"/>
        <v>105120000</v>
      </c>
      <c r="J11" s="17">
        <f t="shared" si="4"/>
        <v>105120000</v>
      </c>
      <c r="K11" s="17">
        <f t="shared" si="4"/>
        <v>105120000</v>
      </c>
      <c r="L11" s="17">
        <f t="shared" si="4"/>
        <v>105120000</v>
      </c>
      <c r="M11" s="17">
        <f t="shared" si="4"/>
        <v>105120000</v>
      </c>
      <c r="N11" s="17">
        <f t="shared" si="4"/>
        <v>93440000</v>
      </c>
      <c r="O11" s="17">
        <f t="shared" si="4"/>
        <v>93440000</v>
      </c>
      <c r="P11" s="17">
        <f t="shared" si="4"/>
        <v>93440000</v>
      </c>
      <c r="Q11" s="17">
        <f t="shared" si="4"/>
        <v>93440000</v>
      </c>
      <c r="R11" s="17">
        <f t="shared" si="4"/>
        <v>93440000</v>
      </c>
      <c r="S11" s="17">
        <f t="shared" si="4"/>
        <v>93440000</v>
      </c>
      <c r="T11" s="17">
        <f t="shared" si="4"/>
        <v>93440000</v>
      </c>
      <c r="U11" s="17">
        <f t="shared" si="4"/>
        <v>93440000</v>
      </c>
      <c r="V11" s="17">
        <f t="shared" si="4"/>
        <v>93440000</v>
      </c>
      <c r="W11" s="17">
        <f t="shared" si="4"/>
        <v>93440000</v>
      </c>
      <c r="X11" s="17">
        <f t="shared" si="4"/>
        <v>93440000</v>
      </c>
      <c r="Y11" s="17">
        <f t="shared" si="4"/>
        <v>93440000</v>
      </c>
      <c r="Z11" s="17">
        <f t="shared" si="4"/>
        <v>93440000</v>
      </c>
      <c r="AA11" s="17">
        <f t="shared" si="4"/>
        <v>93440000</v>
      </c>
      <c r="AB11" s="17">
        <f t="shared" si="4"/>
        <v>93440000</v>
      </c>
      <c r="AC11" s="17">
        <f t="shared" si="4"/>
        <v>93440000</v>
      </c>
      <c r="AD11" s="17">
        <f t="shared" si="4"/>
        <v>93440000</v>
      </c>
      <c r="AE11" s="17">
        <f t="shared" si="4"/>
        <v>93440000</v>
      </c>
      <c r="AF11" s="17">
        <f t="shared" si="4"/>
        <v>93440000</v>
      </c>
      <c r="AG11" s="17">
        <f t="shared" si="4"/>
        <v>93440000</v>
      </c>
      <c r="AH11" s="17">
        <f t="shared" si="4"/>
        <v>93440000</v>
      </c>
      <c r="AI11" s="17">
        <f t="shared" si="4"/>
        <v>93440000</v>
      </c>
      <c r="AJ11" s="17">
        <f t="shared" si="4"/>
        <v>93440000</v>
      </c>
      <c r="AK11" s="17">
        <f t="shared" si="4"/>
        <v>93440000</v>
      </c>
      <c r="AL11" s="17">
        <f t="shared" si="4"/>
        <v>93440000</v>
      </c>
      <c r="AM11" s="17">
        <f t="shared" si="4"/>
        <v>93440000</v>
      </c>
      <c r="AN11" s="17">
        <f t="shared" si="4"/>
        <v>93440000</v>
      </c>
      <c r="AO11" s="17">
        <f t="shared" si="4"/>
        <v>93440000</v>
      </c>
      <c r="AP11" s="17">
        <f t="shared" si="4"/>
        <v>93440000</v>
      </c>
      <c r="AQ11" s="17">
        <f t="shared" si="4"/>
        <v>93440000</v>
      </c>
      <c r="AR11" s="17">
        <f t="shared" si="4"/>
        <v>93440000</v>
      </c>
      <c r="AS11" s="17">
        <f t="shared" si="4"/>
        <v>93440000</v>
      </c>
      <c r="AT11" s="17">
        <f t="shared" si="4"/>
        <v>93440000</v>
      </c>
      <c r="AU11" s="17">
        <f t="shared" si="4"/>
        <v>93440000</v>
      </c>
    </row>
    <row r="12" spans="1:47" x14ac:dyDescent="0.3">
      <c r="A12" s="182"/>
      <c r="E12" s="186" t="s">
        <v>350</v>
      </c>
      <c r="F12" s="187">
        <f t="shared" ref="F12:AU12" si="5">+F10+F11</f>
        <v>96224402.310000002</v>
      </c>
      <c r="G12" s="187">
        <f t="shared" si="5"/>
        <v>244008000</v>
      </c>
      <c r="H12" s="187">
        <f t="shared" si="5"/>
        <v>313452000</v>
      </c>
      <c r="I12" s="187">
        <f t="shared" si="5"/>
        <v>382896000</v>
      </c>
      <c r="J12" s="187">
        <f t="shared" si="5"/>
        <v>452340000</v>
      </c>
      <c r="K12" s="187">
        <f t="shared" si="5"/>
        <v>521784000</v>
      </c>
      <c r="L12" s="187">
        <f t="shared" si="5"/>
        <v>591228000</v>
      </c>
      <c r="M12" s="187">
        <f t="shared" si="5"/>
        <v>660672000</v>
      </c>
      <c r="N12" s="187">
        <f t="shared" si="5"/>
        <v>710720000</v>
      </c>
      <c r="O12" s="187">
        <f t="shared" si="5"/>
        <v>772448000</v>
      </c>
      <c r="P12" s="187">
        <f t="shared" si="5"/>
        <v>834176000</v>
      </c>
      <c r="Q12" s="187">
        <f t="shared" si="5"/>
        <v>895904000</v>
      </c>
      <c r="R12" s="187">
        <f t="shared" si="5"/>
        <v>957632000</v>
      </c>
      <c r="S12" s="187">
        <f t="shared" si="5"/>
        <v>1019360000</v>
      </c>
      <c r="T12" s="187">
        <f t="shared" si="5"/>
        <v>1081088000</v>
      </c>
      <c r="U12" s="187">
        <f t="shared" si="5"/>
        <v>1142816000</v>
      </c>
      <c r="V12" s="187">
        <f t="shared" si="5"/>
        <v>1204544000</v>
      </c>
      <c r="W12" s="187">
        <f t="shared" si="5"/>
        <v>1266272000</v>
      </c>
      <c r="X12" s="187">
        <f t="shared" si="5"/>
        <v>1328000000</v>
      </c>
      <c r="Y12" s="187">
        <f t="shared" si="5"/>
        <v>1389728000</v>
      </c>
      <c r="Z12" s="187">
        <f t="shared" si="5"/>
        <v>1451456000</v>
      </c>
      <c r="AA12" s="187">
        <f t="shared" si="5"/>
        <v>1513184000</v>
      </c>
      <c r="AB12" s="187">
        <f t="shared" si="5"/>
        <v>1574912000</v>
      </c>
      <c r="AC12" s="187">
        <f t="shared" si="5"/>
        <v>1636640000</v>
      </c>
      <c r="AD12" s="187">
        <f t="shared" si="5"/>
        <v>1698368000</v>
      </c>
      <c r="AE12" s="187">
        <f t="shared" si="5"/>
        <v>1760096000</v>
      </c>
      <c r="AF12" s="187">
        <f t="shared" si="5"/>
        <v>1821824000</v>
      </c>
      <c r="AG12" s="187">
        <f t="shared" si="5"/>
        <v>1883552000</v>
      </c>
      <c r="AH12" s="187">
        <f t="shared" si="5"/>
        <v>1945280000</v>
      </c>
      <c r="AI12" s="187">
        <f t="shared" si="5"/>
        <v>2007008000</v>
      </c>
      <c r="AJ12" s="187">
        <f t="shared" si="5"/>
        <v>2068736000</v>
      </c>
      <c r="AK12" s="187">
        <f t="shared" si="5"/>
        <v>2130464000</v>
      </c>
      <c r="AL12" s="187">
        <f t="shared" si="5"/>
        <v>2192192000</v>
      </c>
      <c r="AM12" s="187">
        <f t="shared" si="5"/>
        <v>2253920000</v>
      </c>
      <c r="AN12" s="187">
        <f t="shared" si="5"/>
        <v>2315648000</v>
      </c>
      <c r="AO12" s="187">
        <f t="shared" si="5"/>
        <v>2377376000</v>
      </c>
      <c r="AP12" s="187">
        <f t="shared" si="5"/>
        <v>2439104000</v>
      </c>
      <c r="AQ12" s="187">
        <f t="shared" si="5"/>
        <v>2500832000</v>
      </c>
      <c r="AR12" s="187">
        <f t="shared" si="5"/>
        <v>2562560000</v>
      </c>
      <c r="AS12" s="187">
        <f t="shared" si="5"/>
        <v>2624288000</v>
      </c>
      <c r="AT12" s="187">
        <f t="shared" si="5"/>
        <v>2686016000</v>
      </c>
      <c r="AU12" s="187">
        <f t="shared" si="5"/>
        <v>2747744000</v>
      </c>
    </row>
    <row r="13" spans="1:47" x14ac:dyDescent="0.3">
      <c r="A13" s="182"/>
      <c r="E13" s="182"/>
    </row>
    <row r="14" spans="1:47" x14ac:dyDescent="0.3">
      <c r="A14" s="182"/>
      <c r="E14" s="182" t="s">
        <v>349</v>
      </c>
      <c r="F14" s="190"/>
      <c r="G14" s="190"/>
      <c r="H14" s="191">
        <f>IFERROR(INDEX(Presupuesto!$F$7:$CO$46,MATCH("Producto",Presupuesto!$A$7:$A$46,0),MATCH(H$1,Presupuesto!$F$4:$CO$4,0)),0)</f>
        <v>145471312</v>
      </c>
      <c r="I14" s="191">
        <f>IFERROR(INDEX(Presupuesto!$F$7:$CO$46,MATCH("Producto",Presupuesto!$A$7:$A$46,0),MATCH(I$1,Presupuesto!$F$4:$CO$4,0)),0)</f>
        <v>149030808</v>
      </c>
      <c r="J14" s="191">
        <f>IFERROR(INDEX(Presupuesto!$F$7:$CO$46,MATCH("Producto",Presupuesto!$A$7:$A$46,0),MATCH(J$1,Presupuesto!$F$4:$CO$4,0)),0)</f>
        <v>255668507</v>
      </c>
      <c r="K14" s="190">
        <f t="shared" ref="K14:AU14" si="6">(K4-J4)*$C$8+(K5-J5)*$D$8</f>
        <v>661210124.39999986</v>
      </c>
      <c r="L14" s="190">
        <f t="shared" si="6"/>
        <v>661210124.39999986</v>
      </c>
      <c r="M14" s="190">
        <f t="shared" si="6"/>
        <v>661210124.39999986</v>
      </c>
      <c r="N14" s="190">
        <f t="shared" si="6"/>
        <v>587742332.79999995</v>
      </c>
      <c r="O14" s="190">
        <f t="shared" si="6"/>
        <v>587742332.79999995</v>
      </c>
      <c r="P14" s="190">
        <f t="shared" si="6"/>
        <v>587742332.79999995</v>
      </c>
      <c r="Q14" s="190">
        <f t="shared" si="6"/>
        <v>587742332.79999995</v>
      </c>
      <c r="R14" s="190">
        <f t="shared" si="6"/>
        <v>587742332.79999995</v>
      </c>
      <c r="S14" s="190">
        <f t="shared" si="6"/>
        <v>587742332.79999995</v>
      </c>
      <c r="T14" s="190">
        <f t="shared" si="6"/>
        <v>587742332.79999995</v>
      </c>
      <c r="U14" s="190">
        <f t="shared" si="6"/>
        <v>587742332.79999995</v>
      </c>
      <c r="V14" s="190">
        <f t="shared" si="6"/>
        <v>587742332.79999995</v>
      </c>
      <c r="W14" s="190">
        <f t="shared" si="6"/>
        <v>587742332.79999995</v>
      </c>
      <c r="X14" s="190">
        <f t="shared" si="6"/>
        <v>587742332.79999995</v>
      </c>
      <c r="Y14" s="190">
        <f t="shared" si="6"/>
        <v>587742332.79999995</v>
      </c>
      <c r="Z14" s="190">
        <f t="shared" si="6"/>
        <v>587742332.79999995</v>
      </c>
      <c r="AA14" s="190">
        <f t="shared" si="6"/>
        <v>587742332.79999995</v>
      </c>
      <c r="AB14" s="190">
        <f t="shared" si="6"/>
        <v>587742332.79999995</v>
      </c>
      <c r="AC14" s="190">
        <f t="shared" si="6"/>
        <v>587742332.79999995</v>
      </c>
      <c r="AD14" s="190">
        <f t="shared" si="6"/>
        <v>587742332.79999995</v>
      </c>
      <c r="AE14" s="190">
        <f t="shared" si="6"/>
        <v>587742332.79999995</v>
      </c>
      <c r="AF14" s="190">
        <f t="shared" si="6"/>
        <v>587742332.79999995</v>
      </c>
      <c r="AG14" s="190">
        <f t="shared" si="6"/>
        <v>587742332.79999995</v>
      </c>
      <c r="AH14" s="190">
        <f t="shared" si="6"/>
        <v>587742332.79999995</v>
      </c>
      <c r="AI14" s="190">
        <f t="shared" si="6"/>
        <v>587742332.79999995</v>
      </c>
      <c r="AJ14" s="190">
        <f t="shared" si="6"/>
        <v>587742332.79999995</v>
      </c>
      <c r="AK14" s="190">
        <f t="shared" si="6"/>
        <v>587742332.79999995</v>
      </c>
      <c r="AL14" s="190">
        <f t="shared" si="6"/>
        <v>587742332.79999995</v>
      </c>
      <c r="AM14" s="190">
        <f t="shared" si="6"/>
        <v>587742332.79999995</v>
      </c>
      <c r="AN14" s="190">
        <f t="shared" si="6"/>
        <v>587742332.79999995</v>
      </c>
      <c r="AO14" s="190">
        <f t="shared" si="6"/>
        <v>587742332.79999995</v>
      </c>
      <c r="AP14" s="190">
        <f t="shared" si="6"/>
        <v>587742332.79999995</v>
      </c>
      <c r="AQ14" s="190">
        <f t="shared" si="6"/>
        <v>587742332.79999995</v>
      </c>
      <c r="AR14" s="190">
        <f t="shared" si="6"/>
        <v>587742332.79999995</v>
      </c>
      <c r="AS14" s="190">
        <f t="shared" si="6"/>
        <v>587742332.79999995</v>
      </c>
      <c r="AT14" s="190">
        <f t="shared" si="6"/>
        <v>587742332.79999995</v>
      </c>
      <c r="AU14" s="190">
        <f t="shared" si="6"/>
        <v>587742332.79999995</v>
      </c>
    </row>
    <row r="16" spans="1:47" x14ac:dyDescent="0.3">
      <c r="A16" s="194" t="s">
        <v>1236</v>
      </c>
    </row>
    <row r="17" spans="5:46" x14ac:dyDescent="0.3">
      <c r="E17" s="182" t="s">
        <v>1237</v>
      </c>
      <c r="F17" s="195">
        <f>F$12*'Segundo semestre'!$B$53</f>
        <v>91413182.194499999</v>
      </c>
      <c r="G17" s="195">
        <f>G$12*'Segundo semestre'!$B$53</f>
        <v>231807600</v>
      </c>
      <c r="H17" s="195">
        <f>H$12*'Segundo semestre'!$B$53</f>
        <v>297779400</v>
      </c>
      <c r="I17" s="195">
        <f>I$12*'Segundo semestre'!$B$53</f>
        <v>363751200</v>
      </c>
      <c r="J17" s="195">
        <f>J$12*'Segundo semestre'!$B$53</f>
        <v>429723000</v>
      </c>
      <c r="K17" s="195">
        <f>K$12*'Segundo semestre'!$B$53</f>
        <v>495694800</v>
      </c>
      <c r="L17" s="195">
        <f>L$12*'Segundo semestre'!$B$53</f>
        <v>561666600</v>
      </c>
      <c r="M17" s="195">
        <f>M$12*'Segundo semestre'!$B$53</f>
        <v>627638400</v>
      </c>
      <c r="N17" s="195">
        <f>N$12*'Segundo semestre'!$B$53</f>
        <v>675184000</v>
      </c>
      <c r="O17" s="195">
        <f>O$12*'Segundo semestre'!$B$53</f>
        <v>733825600</v>
      </c>
      <c r="P17" s="195">
        <f>P$12*'Segundo semestre'!$B$53</f>
        <v>792467200</v>
      </c>
      <c r="Q17" s="195">
        <f>Q$12*'Segundo semestre'!$B$53</f>
        <v>851108800</v>
      </c>
      <c r="R17" s="195">
        <f>R$12*'Segundo semestre'!$B$53</f>
        <v>909750400</v>
      </c>
      <c r="S17" s="195">
        <f>S$12*'Segundo semestre'!$B$53</f>
        <v>968392000</v>
      </c>
      <c r="T17" s="195">
        <f>T$12*'Segundo semestre'!$B$53</f>
        <v>1027033600</v>
      </c>
      <c r="U17" s="195">
        <f>U$12*'Segundo semestre'!$B$53</f>
        <v>1085675200</v>
      </c>
      <c r="V17" s="195">
        <f>V$12*'Segundo semestre'!$B$53</f>
        <v>1144316800</v>
      </c>
      <c r="W17" s="195">
        <f>W$12*'Segundo semestre'!$B$53</f>
        <v>1202958400</v>
      </c>
      <c r="X17" s="195">
        <f>X$12*'Segundo semestre'!$B$53</f>
        <v>1261600000</v>
      </c>
      <c r="Y17" s="195">
        <f>Y$12*'Segundo semestre'!$B$53</f>
        <v>1320241600</v>
      </c>
      <c r="Z17" s="195">
        <f>Z$12*'Segundo semestre'!$B$53</f>
        <v>1378883200</v>
      </c>
      <c r="AA17" s="195">
        <f>AA$12*'Segundo semestre'!$B$53</f>
        <v>1437524800</v>
      </c>
      <c r="AB17" s="195">
        <f>AB$12*'Segundo semestre'!$B$53</f>
        <v>1496166400</v>
      </c>
      <c r="AC17" s="195">
        <f>AC$12*'Segundo semestre'!$B$53</f>
        <v>1554808000</v>
      </c>
      <c r="AD17" s="195">
        <f>AD$12*'Segundo semestre'!$B$53</f>
        <v>1613449600</v>
      </c>
      <c r="AE17" s="195">
        <f>AE$12*'Segundo semestre'!$B$53</f>
        <v>1672091200</v>
      </c>
      <c r="AF17" s="195">
        <f>AF$12*'Segundo semestre'!$B$53</f>
        <v>1730732800</v>
      </c>
      <c r="AG17" s="195">
        <f>AG$12*'Segundo semestre'!$B$53</f>
        <v>1789374400</v>
      </c>
      <c r="AH17" s="195">
        <f>AH$12*'Segundo semestre'!$B$53</f>
        <v>1848016000</v>
      </c>
      <c r="AI17" s="195">
        <f>AI$12*'Segundo semestre'!$B$53</f>
        <v>1906657600</v>
      </c>
      <c r="AJ17" s="195">
        <f>AJ$12*'Segundo semestre'!$B$53</f>
        <v>1965299200</v>
      </c>
      <c r="AK17" s="195">
        <f>AK$12*'Segundo semestre'!$B$53</f>
        <v>2023940800</v>
      </c>
      <c r="AL17" s="195">
        <f>AL$12*'Segundo semestre'!$B$53</f>
        <v>2082582400</v>
      </c>
      <c r="AM17" s="195">
        <f>AM$12*'Segundo semestre'!$B$53</f>
        <v>2141224000</v>
      </c>
      <c r="AN17" s="195">
        <f>AN$12*'Segundo semestre'!$B$53</f>
        <v>2199865600</v>
      </c>
      <c r="AO17" s="195">
        <f>AO$12*'Segundo semestre'!$B$53</f>
        <v>2258507200</v>
      </c>
      <c r="AP17" s="195">
        <f>AP$12*'Segundo semestre'!$B$53</f>
        <v>2317148800</v>
      </c>
      <c r="AQ17" s="195">
        <f>AQ$12*'Segundo semestre'!$B$53</f>
        <v>2375790400</v>
      </c>
      <c r="AR17" s="195">
        <f>AR$12*'Segundo semestre'!$B$53</f>
        <v>2434432000</v>
      </c>
      <c r="AS17" s="195">
        <f>AS$12*'Segundo semestre'!$B$53</f>
        <v>2493073600</v>
      </c>
      <c r="AT17" s="195">
        <f>AT$12*'Segundo semestre'!$B$53</f>
        <v>2551715200</v>
      </c>
    </row>
    <row r="18" spans="5:46" x14ac:dyDescent="0.3">
      <c r="E18" s="182" t="s">
        <v>1238</v>
      </c>
      <c r="F18" s="196">
        <f>SUMIFS(TablaIngresos[[Valor]:[Valor]],TablaIngresos[[Mes]:[Mes]],F$1)</f>
        <v>78863402.310000002</v>
      </c>
      <c r="G18" s="196">
        <f>SUMIFS(TablaIngresos[[Valor]:[Valor]],TablaIngresos[[Mes]:[Mes]],G$1)</f>
        <v>0</v>
      </c>
      <c r="H18" s="196">
        <f>SUMIFS(TablaIngresos[[Valor]:[Valor]],TablaIngresos[[Mes]:[Mes]],H$1)</f>
        <v>0</v>
      </c>
      <c r="I18" s="196">
        <f>SUMIFS(TablaIngresos[[Valor]:[Valor]],TablaIngresos[[Mes]:[Mes]],I$1)</f>
        <v>0</v>
      </c>
      <c r="J18" s="196">
        <f>SUMIFS(TablaIngresos[[Valor]:[Valor]],TablaIngresos[[Mes]:[Mes]],J$1)</f>
        <v>0</v>
      </c>
      <c r="K18" s="196">
        <f>SUMIFS(TablaIngresos[[Valor]:[Valor]],TablaIngresos[[Mes]:[Mes]],K$1)</f>
        <v>0</v>
      </c>
      <c r="L18" s="196">
        <f>SUMIFS(TablaIngresos[[Valor]:[Valor]],TablaIngresos[[Mes]:[Mes]],L$1)</f>
        <v>0</v>
      </c>
      <c r="M18" s="196">
        <f>SUMIFS(TablaIngresos[[Valor]:[Valor]],TablaIngresos[[Mes]:[Mes]],M$1)</f>
        <v>0</v>
      </c>
      <c r="N18" s="196">
        <f>SUMIFS(TablaIngresos[[Valor]:[Valor]],TablaIngresos[[Mes]:[Mes]],N$1)</f>
        <v>0</v>
      </c>
      <c r="O18" s="196">
        <f>SUMIFS(TablaIngresos[[Valor]:[Valor]],TablaIngresos[[Mes]:[Mes]],O$1)</f>
        <v>0</v>
      </c>
      <c r="P18" s="196">
        <f>SUMIFS(TablaIngresos[[Valor]:[Valor]],TablaIngresos[[Mes]:[Mes]],P$1)</f>
        <v>0</v>
      </c>
      <c r="Q18" s="196">
        <f>SUMIFS(TablaIngresos[[Valor]:[Valor]],TablaIngresos[[Mes]:[Mes]],Q$1)</f>
        <v>0</v>
      </c>
      <c r="R18" s="196">
        <f>SUMIFS(TablaIngresos[[Valor]:[Valor]],TablaIngresos[[Mes]:[Mes]],R$1)</f>
        <v>0</v>
      </c>
      <c r="S18" s="196">
        <f>SUMIFS(TablaIngresos[[Valor]:[Valor]],TablaIngresos[[Mes]:[Mes]],S$1)</f>
        <v>0</v>
      </c>
      <c r="T18" s="196">
        <f>SUMIFS(TablaIngresos[[Valor]:[Valor]],TablaIngresos[[Mes]:[Mes]],T$1)</f>
        <v>0</v>
      </c>
      <c r="U18" s="196">
        <f>SUMIFS(TablaIngresos[[Valor]:[Valor]],TablaIngresos[[Mes]:[Mes]],U$1)</f>
        <v>0</v>
      </c>
      <c r="V18" s="196">
        <f>SUMIFS(TablaIngresos[[Valor]:[Valor]],TablaIngresos[[Mes]:[Mes]],V$1)</f>
        <v>0</v>
      </c>
      <c r="W18" s="196">
        <f>SUMIFS(TablaIngresos[[Valor]:[Valor]],TablaIngresos[[Mes]:[Mes]],W$1)</f>
        <v>0</v>
      </c>
      <c r="X18" s="196">
        <f>SUMIFS(TablaIngresos[[Valor]:[Valor]],TablaIngresos[[Mes]:[Mes]],X$1)</f>
        <v>0</v>
      </c>
      <c r="Y18" s="196">
        <f>SUMIFS(TablaIngresos[[Valor]:[Valor]],TablaIngresos[[Mes]:[Mes]],Y$1)</f>
        <v>0</v>
      </c>
      <c r="Z18" s="196">
        <f>SUMIFS(TablaIngresos[[Valor]:[Valor]],TablaIngresos[[Mes]:[Mes]],Z$1)</f>
        <v>0</v>
      </c>
      <c r="AA18" s="196">
        <f>SUMIFS(TablaIngresos[[Valor]:[Valor]],TablaIngresos[[Mes]:[Mes]],AA$1)</f>
        <v>0</v>
      </c>
      <c r="AB18" s="196">
        <f>SUMIFS(TablaIngresos[[Valor]:[Valor]],TablaIngresos[[Mes]:[Mes]],AB$1)</f>
        <v>0</v>
      </c>
      <c r="AC18" s="196">
        <f>SUMIFS(TablaIngresos[[Valor]:[Valor]],TablaIngresos[[Mes]:[Mes]],AC$1)</f>
        <v>0</v>
      </c>
      <c r="AD18" s="196">
        <f>SUMIFS(TablaIngresos[[Valor]:[Valor]],TablaIngresos[[Mes]:[Mes]],AD$1)</f>
        <v>0</v>
      </c>
      <c r="AE18" s="196">
        <f>SUMIFS(TablaIngresos[[Valor]:[Valor]],TablaIngresos[[Mes]:[Mes]],AE$1)</f>
        <v>0</v>
      </c>
      <c r="AF18" s="196">
        <f>SUMIFS(TablaIngresos[[Valor]:[Valor]],TablaIngresos[[Mes]:[Mes]],AF$1)</f>
        <v>0</v>
      </c>
      <c r="AG18" s="196">
        <f>SUMIFS(TablaIngresos[[Valor]:[Valor]],TablaIngresos[[Mes]:[Mes]],AG$1)</f>
        <v>0</v>
      </c>
      <c r="AH18" s="196">
        <f>SUMIFS(TablaIngresos[[Valor]:[Valor]],TablaIngresos[[Mes]:[Mes]],AH$1)</f>
        <v>0</v>
      </c>
      <c r="AI18" s="196">
        <f>SUMIFS(TablaIngresos[[Valor]:[Valor]],TablaIngresos[[Mes]:[Mes]],AI$1)</f>
        <v>0</v>
      </c>
      <c r="AJ18" s="196">
        <f>SUMIFS(TablaIngresos[[Valor]:[Valor]],TablaIngresos[[Mes]:[Mes]],AJ$1)</f>
        <v>0</v>
      </c>
      <c r="AK18" s="196">
        <f>SUMIFS(TablaIngresos[[Valor]:[Valor]],TablaIngresos[[Mes]:[Mes]],AK$1)</f>
        <v>0</v>
      </c>
      <c r="AL18" s="196">
        <f>SUMIFS(TablaIngresos[[Valor]:[Valor]],TablaIngresos[[Mes]:[Mes]],AL$1)</f>
        <v>0</v>
      </c>
      <c r="AM18" s="196">
        <f>SUMIFS(TablaIngresos[[Valor]:[Valor]],TablaIngresos[[Mes]:[Mes]],AM$1)</f>
        <v>0</v>
      </c>
      <c r="AN18" s="196">
        <f>SUMIFS(TablaIngresos[[Valor]:[Valor]],TablaIngresos[[Mes]:[Mes]],AN$1)</f>
        <v>0</v>
      </c>
      <c r="AO18" s="196">
        <f>SUMIFS(TablaIngresos[[Valor]:[Valor]],TablaIngresos[[Mes]:[Mes]],AO$1)</f>
        <v>0</v>
      </c>
      <c r="AP18" s="196">
        <f>SUMIFS(TablaIngresos[[Valor]:[Valor]],TablaIngresos[[Mes]:[Mes]],AP$1)</f>
        <v>0</v>
      </c>
      <c r="AQ18" s="196">
        <f>SUMIFS(TablaIngresos[[Valor]:[Valor]],TablaIngresos[[Mes]:[Mes]],AQ$1)</f>
        <v>0</v>
      </c>
      <c r="AR18" s="196">
        <f>SUMIFS(TablaIngresos[[Valor]:[Valor]],TablaIngresos[[Mes]:[Mes]],AR$1)</f>
        <v>0</v>
      </c>
      <c r="AS18" s="196">
        <f>SUMIFS(TablaIngresos[[Valor]:[Valor]],TablaIngresos[[Mes]:[Mes]],AS$1)</f>
        <v>0</v>
      </c>
      <c r="AT18" s="196">
        <f>SUMIFS(TablaIngresos[[Valor]:[Valor]],TablaIngresos[[Mes]:[Mes]],AT$1)</f>
        <v>0</v>
      </c>
    </row>
    <row r="19" spans="5:46" x14ac:dyDescent="0.3">
      <c r="E19" s="182" t="s">
        <v>372</v>
      </c>
      <c r="F19" s="195">
        <f>IF(F18=0,"",F18-F17)</f>
        <v>-12549779.884499997</v>
      </c>
      <c r="G19" s="195" t="str">
        <f t="shared" ref="G19:AT19" si="7">IF(G18=0,"",G18-G17)</f>
        <v/>
      </c>
      <c r="H19" s="195" t="str">
        <f t="shared" si="7"/>
        <v/>
      </c>
      <c r="I19" s="195" t="str">
        <f t="shared" si="7"/>
        <v/>
      </c>
      <c r="J19" s="195" t="str">
        <f t="shared" si="7"/>
        <v/>
      </c>
      <c r="K19" s="195" t="str">
        <f t="shared" si="7"/>
        <v/>
      </c>
      <c r="L19" s="195" t="str">
        <f t="shared" si="7"/>
        <v/>
      </c>
      <c r="M19" s="195" t="str">
        <f t="shared" si="7"/>
        <v/>
      </c>
      <c r="N19" s="195" t="str">
        <f t="shared" si="7"/>
        <v/>
      </c>
      <c r="O19" s="195" t="str">
        <f t="shared" si="7"/>
        <v/>
      </c>
      <c r="P19" s="195" t="str">
        <f t="shared" si="7"/>
        <v/>
      </c>
      <c r="Q19" s="195" t="str">
        <f t="shared" si="7"/>
        <v/>
      </c>
      <c r="R19" s="195" t="str">
        <f t="shared" si="7"/>
        <v/>
      </c>
      <c r="S19" s="195" t="str">
        <f t="shared" si="7"/>
        <v/>
      </c>
      <c r="T19" s="195" t="str">
        <f t="shared" si="7"/>
        <v/>
      </c>
      <c r="U19" s="195" t="str">
        <f t="shared" si="7"/>
        <v/>
      </c>
      <c r="V19" s="195" t="str">
        <f t="shared" si="7"/>
        <v/>
      </c>
      <c r="W19" s="195" t="str">
        <f t="shared" si="7"/>
        <v/>
      </c>
      <c r="X19" s="195" t="str">
        <f t="shared" si="7"/>
        <v/>
      </c>
      <c r="Y19" s="195" t="str">
        <f t="shared" si="7"/>
        <v/>
      </c>
      <c r="Z19" s="195" t="str">
        <f t="shared" si="7"/>
        <v/>
      </c>
      <c r="AA19" s="195" t="str">
        <f t="shared" si="7"/>
        <v/>
      </c>
      <c r="AB19" s="195" t="str">
        <f t="shared" si="7"/>
        <v/>
      </c>
      <c r="AC19" s="195" t="str">
        <f t="shared" si="7"/>
        <v/>
      </c>
      <c r="AD19" s="195" t="str">
        <f t="shared" si="7"/>
        <v/>
      </c>
      <c r="AE19" s="195" t="str">
        <f t="shared" si="7"/>
        <v/>
      </c>
      <c r="AF19" s="195" t="str">
        <f t="shared" si="7"/>
        <v/>
      </c>
      <c r="AG19" s="195" t="str">
        <f t="shared" si="7"/>
        <v/>
      </c>
      <c r="AH19" s="195" t="str">
        <f t="shared" si="7"/>
        <v/>
      </c>
      <c r="AI19" s="195" t="str">
        <f t="shared" si="7"/>
        <v/>
      </c>
      <c r="AJ19" s="195" t="str">
        <f t="shared" si="7"/>
        <v/>
      </c>
      <c r="AK19" s="195" t="str">
        <f t="shared" si="7"/>
        <v/>
      </c>
      <c r="AL19" s="195" t="str">
        <f t="shared" si="7"/>
        <v/>
      </c>
      <c r="AM19" s="195" t="str">
        <f t="shared" si="7"/>
        <v/>
      </c>
      <c r="AN19" s="195" t="str">
        <f t="shared" si="7"/>
        <v/>
      </c>
      <c r="AO19" s="195" t="str">
        <f t="shared" si="7"/>
        <v/>
      </c>
      <c r="AP19" s="195" t="str">
        <f t="shared" si="7"/>
        <v/>
      </c>
      <c r="AQ19" s="195" t="str">
        <f t="shared" si="7"/>
        <v/>
      </c>
      <c r="AR19" s="195" t="str">
        <f t="shared" si="7"/>
        <v/>
      </c>
      <c r="AS19" s="195" t="str">
        <f t="shared" si="7"/>
        <v/>
      </c>
      <c r="AT19" s="195" t="str">
        <f t="shared" si="7"/>
        <v/>
      </c>
    </row>
    <row r="20" spans="5:46" x14ac:dyDescent="0.3">
      <c r="E20" s="197" t="s">
        <v>1239</v>
      </c>
      <c r="F20" s="198">
        <f>IF(OR(F17=0,F18=0),"",F18/F17)</f>
        <v>0.8627136745136188</v>
      </c>
      <c r="G20" s="198" t="str">
        <f t="shared" ref="G20:AT20" si="8">IF(OR(G17=0,G18=0),"",G18/G17)</f>
        <v/>
      </c>
      <c r="H20" s="198" t="str">
        <f t="shared" si="8"/>
        <v/>
      </c>
      <c r="I20" s="198" t="str">
        <f t="shared" si="8"/>
        <v/>
      </c>
      <c r="J20" s="198" t="str">
        <f t="shared" si="8"/>
        <v/>
      </c>
      <c r="K20" s="198" t="str">
        <f t="shared" si="8"/>
        <v/>
      </c>
      <c r="L20" s="198" t="str">
        <f t="shared" si="8"/>
        <v/>
      </c>
      <c r="M20" s="198" t="str">
        <f t="shared" si="8"/>
        <v/>
      </c>
      <c r="N20" s="198" t="str">
        <f t="shared" si="8"/>
        <v/>
      </c>
      <c r="O20" s="198" t="str">
        <f t="shared" si="8"/>
        <v/>
      </c>
      <c r="P20" s="198" t="str">
        <f t="shared" si="8"/>
        <v/>
      </c>
      <c r="Q20" s="198" t="str">
        <f t="shared" si="8"/>
        <v/>
      </c>
      <c r="R20" s="198" t="str">
        <f t="shared" si="8"/>
        <v/>
      </c>
      <c r="S20" s="198" t="str">
        <f t="shared" si="8"/>
        <v/>
      </c>
      <c r="T20" s="198" t="str">
        <f t="shared" si="8"/>
        <v/>
      </c>
      <c r="U20" s="198" t="str">
        <f t="shared" si="8"/>
        <v/>
      </c>
      <c r="V20" s="198" t="str">
        <f t="shared" si="8"/>
        <v/>
      </c>
      <c r="W20" s="198" t="str">
        <f t="shared" si="8"/>
        <v/>
      </c>
      <c r="X20" s="198" t="str">
        <f t="shared" si="8"/>
        <v/>
      </c>
      <c r="Y20" s="198" t="str">
        <f t="shared" si="8"/>
        <v/>
      </c>
      <c r="Z20" s="198" t="str">
        <f t="shared" si="8"/>
        <v/>
      </c>
      <c r="AA20" s="198" t="str">
        <f t="shared" si="8"/>
        <v/>
      </c>
      <c r="AB20" s="198" t="str">
        <f t="shared" si="8"/>
        <v/>
      </c>
      <c r="AC20" s="198" t="str">
        <f t="shared" si="8"/>
        <v/>
      </c>
      <c r="AD20" s="198" t="str">
        <f t="shared" si="8"/>
        <v/>
      </c>
      <c r="AE20" s="198" t="str">
        <f t="shared" si="8"/>
        <v/>
      </c>
      <c r="AF20" s="198" t="str">
        <f t="shared" si="8"/>
        <v/>
      </c>
      <c r="AG20" s="198" t="str">
        <f t="shared" si="8"/>
        <v/>
      </c>
      <c r="AH20" s="198" t="str">
        <f t="shared" si="8"/>
        <v/>
      </c>
      <c r="AI20" s="198" t="str">
        <f t="shared" si="8"/>
        <v/>
      </c>
      <c r="AJ20" s="198" t="str">
        <f t="shared" si="8"/>
        <v/>
      </c>
      <c r="AK20" s="198" t="str">
        <f t="shared" si="8"/>
        <v/>
      </c>
      <c r="AL20" s="198" t="str">
        <f t="shared" si="8"/>
        <v/>
      </c>
      <c r="AM20" s="198" t="str">
        <f t="shared" si="8"/>
        <v/>
      </c>
      <c r="AN20" s="198" t="str">
        <f t="shared" si="8"/>
        <v/>
      </c>
      <c r="AO20" s="198" t="str">
        <f t="shared" si="8"/>
        <v/>
      </c>
      <c r="AP20" s="198" t="str">
        <f t="shared" si="8"/>
        <v/>
      </c>
      <c r="AQ20" s="198" t="str">
        <f t="shared" si="8"/>
        <v/>
      </c>
      <c r="AR20" s="198" t="str">
        <f t="shared" si="8"/>
        <v/>
      </c>
      <c r="AS20" s="198" t="str">
        <f t="shared" si="8"/>
        <v/>
      </c>
      <c r="AT20" s="198" t="str">
        <f t="shared" si="8"/>
        <v/>
      </c>
    </row>
  </sheetData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735271F-5579-4C62-A8AC-F930833EEE8C}">
            <xm:f>SUMIFS('Base real ingresos'!$C:$C,'Base real ingresos'!$A:$A,"&gt;="&amp;(F$1+(ROW()-6)*7),'Base real ingresos'!$A:$A,"&lt;="&amp;IF(ROW()=9,EOMONTH(F$1,0),F$1+(ROW()-6)*7+6))&gt;0</xm:f>
            <x14:dxf>
              <fill>
                <patternFill patternType="solid">
                  <fgColor indexed="64"/>
                  <bgColor rgb="FFD9EAD3"/>
                </patternFill>
              </fill>
            </x14:dxf>
          </x14:cfRule>
          <xm:sqref>F6:AU9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7D05-471A-4E6F-8E4F-93912985E543}">
  <sheetPr>
    <tabColor rgb="FF5F6368"/>
  </sheetPr>
  <dimension ref="A1:F992"/>
  <sheetViews>
    <sheetView topLeftCell="A733" workbookViewId="0">
      <selection activeCell="C758" sqref="C758"/>
    </sheetView>
  </sheetViews>
  <sheetFormatPr baseColWidth="10" defaultRowHeight="14.4" x14ac:dyDescent="0.3"/>
  <cols>
    <col min="1" max="1" width="10.33203125" bestFit="1" customWidth="1"/>
    <col min="2" max="2" width="59.21875" customWidth="1"/>
    <col min="3" max="3" width="34" bestFit="1" customWidth="1"/>
    <col min="4" max="4" width="12.44140625" bestFit="1" customWidth="1"/>
    <col min="5" max="5" width="7" bestFit="1" customWidth="1"/>
  </cols>
  <sheetData>
    <row r="1" spans="1:6" x14ac:dyDescent="0.3">
      <c r="A1" t="s">
        <v>33</v>
      </c>
      <c r="B1" t="s">
        <v>34</v>
      </c>
      <c r="C1" t="s">
        <v>73</v>
      </c>
      <c r="D1" t="s">
        <v>74</v>
      </c>
      <c r="E1" t="s">
        <v>75</v>
      </c>
      <c r="F1" t="s">
        <v>103</v>
      </c>
    </row>
    <row r="2" spans="1:6" x14ac:dyDescent="0.3">
      <c r="A2" s="8">
        <v>46087</v>
      </c>
      <c r="B2" t="s">
        <v>1176</v>
      </c>
      <c r="C2" t="s">
        <v>1186</v>
      </c>
      <c r="D2" s="1">
        <v>5800000</v>
      </c>
      <c r="E2" s="15">
        <v>46082</v>
      </c>
      <c r="F2" s="14">
        <v>11499647</v>
      </c>
    </row>
    <row r="3" spans="1:6" x14ac:dyDescent="0.3">
      <c r="A3" s="8">
        <v>46111</v>
      </c>
      <c r="B3" t="s">
        <v>1176</v>
      </c>
      <c r="C3" t="s">
        <v>1186</v>
      </c>
      <c r="D3" s="1">
        <v>5490000</v>
      </c>
      <c r="E3" s="15">
        <v>46082</v>
      </c>
      <c r="F3" s="14">
        <v>12127933</v>
      </c>
    </row>
    <row r="4" spans="1:6" x14ac:dyDescent="0.3">
      <c r="A4" s="8">
        <v>46111</v>
      </c>
      <c r="B4" t="s">
        <v>1176</v>
      </c>
      <c r="C4" t="s">
        <v>1186</v>
      </c>
      <c r="D4" s="1">
        <v>90000</v>
      </c>
      <c r="E4" s="15">
        <v>46082</v>
      </c>
      <c r="F4" s="14">
        <v>12136071</v>
      </c>
    </row>
    <row r="5" spans="1:6" x14ac:dyDescent="0.3">
      <c r="A5" s="8">
        <v>46112</v>
      </c>
      <c r="B5" t="s">
        <v>470</v>
      </c>
      <c r="C5" t="s">
        <v>80</v>
      </c>
      <c r="D5" s="1">
        <v>445330.13</v>
      </c>
      <c r="E5" s="15">
        <v>46082</v>
      </c>
      <c r="F5" s="14">
        <v>12152457</v>
      </c>
    </row>
    <row r="6" spans="1:6" x14ac:dyDescent="0.3">
      <c r="A6" s="8">
        <v>46112</v>
      </c>
      <c r="B6" t="s">
        <v>35</v>
      </c>
      <c r="C6" t="s">
        <v>95</v>
      </c>
      <c r="D6" s="1">
        <v>80000</v>
      </c>
      <c r="E6" s="15">
        <v>46082</v>
      </c>
      <c r="F6" s="14">
        <v>12156489</v>
      </c>
    </row>
    <row r="7" spans="1:6" x14ac:dyDescent="0.3">
      <c r="A7" s="8">
        <v>46112</v>
      </c>
      <c r="B7" t="s">
        <v>35</v>
      </c>
      <c r="C7" t="s">
        <v>95</v>
      </c>
      <c r="D7" s="1">
        <v>250000</v>
      </c>
      <c r="E7" s="15">
        <v>46082</v>
      </c>
      <c r="F7" s="14">
        <v>12156581</v>
      </c>
    </row>
    <row r="8" spans="1:6" x14ac:dyDescent="0.3">
      <c r="A8" s="8">
        <v>46112</v>
      </c>
      <c r="B8" t="s">
        <v>1176</v>
      </c>
      <c r="C8" t="s">
        <v>1186</v>
      </c>
      <c r="D8" s="1">
        <v>1354888.54</v>
      </c>
      <c r="E8" s="15">
        <v>46082</v>
      </c>
      <c r="F8" s="14">
        <v>12152547</v>
      </c>
    </row>
    <row r="9" spans="1:6" x14ac:dyDescent="0.3">
      <c r="A9" s="8">
        <v>46112</v>
      </c>
      <c r="B9" t="s">
        <v>35</v>
      </c>
      <c r="C9" t="s">
        <v>95</v>
      </c>
      <c r="D9" s="1">
        <v>495523</v>
      </c>
      <c r="E9" s="15">
        <v>46082</v>
      </c>
      <c r="F9" s="14">
        <v>12171035</v>
      </c>
    </row>
    <row r="10" spans="1:6" x14ac:dyDescent="0.3">
      <c r="A10" s="8">
        <v>46112</v>
      </c>
      <c r="B10" t="s">
        <v>35</v>
      </c>
      <c r="C10" t="s">
        <v>95</v>
      </c>
      <c r="D10" s="1">
        <v>533400</v>
      </c>
      <c r="E10" s="15">
        <v>46082</v>
      </c>
      <c r="F10" s="14">
        <v>12171234</v>
      </c>
    </row>
    <row r="11" spans="1:6" x14ac:dyDescent="0.3">
      <c r="A11" s="8">
        <v>46112</v>
      </c>
      <c r="B11" t="s">
        <v>35</v>
      </c>
      <c r="C11" t="s">
        <v>95</v>
      </c>
      <c r="D11" s="1">
        <v>257682.34</v>
      </c>
      <c r="E11" s="15">
        <v>46082</v>
      </c>
      <c r="F11" s="14">
        <v>12171407</v>
      </c>
    </row>
    <row r="12" spans="1:6" x14ac:dyDescent="0.3">
      <c r="A12" s="8">
        <v>46112</v>
      </c>
      <c r="B12" t="s">
        <v>480</v>
      </c>
      <c r="C12" t="s">
        <v>80</v>
      </c>
      <c r="D12" s="1">
        <v>22689</v>
      </c>
      <c r="E12" s="15">
        <v>46082</v>
      </c>
      <c r="F12" s="14">
        <v>12171746</v>
      </c>
    </row>
    <row r="13" spans="1:6" x14ac:dyDescent="0.3">
      <c r="A13" s="8">
        <v>46112</v>
      </c>
      <c r="B13" t="s">
        <v>1163</v>
      </c>
      <c r="C13" t="s">
        <v>1190</v>
      </c>
      <c r="D13" s="1">
        <v>8247.76</v>
      </c>
      <c r="E13" s="15">
        <v>46082</v>
      </c>
      <c r="F13" s="14"/>
    </row>
    <row r="14" spans="1:6" x14ac:dyDescent="0.3">
      <c r="A14" s="8">
        <v>46113</v>
      </c>
      <c r="B14" t="s">
        <v>49</v>
      </c>
      <c r="C14" t="s">
        <v>80</v>
      </c>
      <c r="D14" s="1">
        <v>74867.199999999997</v>
      </c>
      <c r="E14" s="15">
        <v>46113</v>
      </c>
      <c r="F14" s="14">
        <v>11843867</v>
      </c>
    </row>
    <row r="15" spans="1:6" x14ac:dyDescent="0.3">
      <c r="A15" s="8">
        <v>46113</v>
      </c>
      <c r="B15" t="s">
        <v>35</v>
      </c>
      <c r="C15" t="s">
        <v>95</v>
      </c>
      <c r="D15" s="1">
        <v>63000</v>
      </c>
      <c r="E15" s="15">
        <v>46113</v>
      </c>
      <c r="F15" s="14">
        <v>30362119</v>
      </c>
    </row>
    <row r="16" spans="1:6" x14ac:dyDescent="0.3">
      <c r="A16" s="8">
        <v>46113</v>
      </c>
      <c r="B16" t="s">
        <v>35</v>
      </c>
      <c r="C16" t="s">
        <v>95</v>
      </c>
      <c r="D16" s="1">
        <v>1310000</v>
      </c>
      <c r="E16" s="15">
        <v>46113</v>
      </c>
      <c r="F16" s="14">
        <v>30390242</v>
      </c>
    </row>
    <row r="17" spans="1:6" x14ac:dyDescent="0.3">
      <c r="A17" s="8">
        <v>46113</v>
      </c>
      <c r="B17" t="s">
        <v>35</v>
      </c>
      <c r="C17" t="s">
        <v>95</v>
      </c>
      <c r="D17" s="1">
        <v>1000000</v>
      </c>
      <c r="E17" s="15">
        <v>46113</v>
      </c>
      <c r="F17" s="14">
        <v>30400428</v>
      </c>
    </row>
    <row r="18" spans="1:6" x14ac:dyDescent="0.3">
      <c r="A18" s="8">
        <v>46113</v>
      </c>
      <c r="B18" t="s">
        <v>35</v>
      </c>
      <c r="C18" t="s">
        <v>95</v>
      </c>
      <c r="D18" s="1">
        <v>300000</v>
      </c>
      <c r="E18" s="15">
        <v>46113</v>
      </c>
      <c r="F18" s="14">
        <v>30400625</v>
      </c>
    </row>
    <row r="19" spans="1:6" x14ac:dyDescent="0.3">
      <c r="A19" s="8">
        <v>46114</v>
      </c>
      <c r="B19" t="s">
        <v>420</v>
      </c>
      <c r="C19" t="s">
        <v>80</v>
      </c>
      <c r="D19" s="1">
        <v>3733.3</v>
      </c>
      <c r="E19" s="15">
        <v>46113</v>
      </c>
      <c r="F19" s="14">
        <v>11870676</v>
      </c>
    </row>
    <row r="20" spans="1:6" x14ac:dyDescent="0.3">
      <c r="A20" s="8">
        <v>46115</v>
      </c>
      <c r="B20" t="s">
        <v>421</v>
      </c>
      <c r="C20" t="s">
        <v>80</v>
      </c>
      <c r="D20" s="1">
        <v>74986.600000000006</v>
      </c>
      <c r="E20" s="15">
        <v>46113</v>
      </c>
      <c r="F20" s="14">
        <v>11894189</v>
      </c>
    </row>
    <row r="21" spans="1:6" x14ac:dyDescent="0.3">
      <c r="A21" s="8">
        <v>46115</v>
      </c>
      <c r="B21" t="s">
        <v>422</v>
      </c>
      <c r="C21" t="s">
        <v>81</v>
      </c>
      <c r="D21" s="1">
        <v>85460</v>
      </c>
      <c r="E21" s="15">
        <v>46113</v>
      </c>
      <c r="F21" s="14">
        <v>11901229</v>
      </c>
    </row>
    <row r="22" spans="1:6" x14ac:dyDescent="0.3">
      <c r="A22" s="8">
        <v>46115</v>
      </c>
      <c r="B22" t="s">
        <v>35</v>
      </c>
      <c r="C22" t="s">
        <v>95</v>
      </c>
      <c r="D22" s="1">
        <v>400000</v>
      </c>
      <c r="E22" s="15">
        <v>46113</v>
      </c>
      <c r="F22" s="14">
        <v>30494936</v>
      </c>
    </row>
    <row r="23" spans="1:6" x14ac:dyDescent="0.3">
      <c r="A23" s="8">
        <v>46115</v>
      </c>
      <c r="B23" t="s">
        <v>46</v>
      </c>
      <c r="C23" t="s">
        <v>80</v>
      </c>
      <c r="D23" s="1">
        <v>48516.33</v>
      </c>
      <c r="E23" s="15">
        <v>46113</v>
      </c>
      <c r="F23" s="14">
        <v>11910182</v>
      </c>
    </row>
    <row r="24" spans="1:6" x14ac:dyDescent="0.3">
      <c r="A24" s="8">
        <v>46116</v>
      </c>
      <c r="B24" t="s">
        <v>423</v>
      </c>
      <c r="C24" t="s">
        <v>1182</v>
      </c>
      <c r="D24" s="1">
        <v>130000</v>
      </c>
      <c r="E24" s="15">
        <v>46113</v>
      </c>
      <c r="F24" s="14">
        <v>11930194</v>
      </c>
    </row>
    <row r="25" spans="1:6" x14ac:dyDescent="0.3">
      <c r="A25" s="8">
        <v>46117</v>
      </c>
      <c r="B25" t="s">
        <v>35</v>
      </c>
      <c r="C25" t="s">
        <v>95</v>
      </c>
      <c r="D25" s="1">
        <v>18500</v>
      </c>
      <c r="E25" s="15">
        <v>46113</v>
      </c>
      <c r="F25" s="14">
        <v>30565628</v>
      </c>
    </row>
    <row r="26" spans="1:6" x14ac:dyDescent="0.3">
      <c r="A26" s="8">
        <v>46117</v>
      </c>
      <c r="B26" t="s">
        <v>424</v>
      </c>
      <c r="C26" t="s">
        <v>80</v>
      </c>
      <c r="D26" s="1">
        <v>15200</v>
      </c>
      <c r="E26" s="15">
        <v>46113</v>
      </c>
      <c r="F26" s="14">
        <v>11953430</v>
      </c>
    </row>
    <row r="27" spans="1:6" x14ac:dyDescent="0.3">
      <c r="A27" s="8">
        <v>46117</v>
      </c>
      <c r="B27" t="s">
        <v>425</v>
      </c>
      <c r="C27" t="s">
        <v>80</v>
      </c>
      <c r="D27" s="1">
        <v>28600</v>
      </c>
      <c r="E27" s="15">
        <v>46113</v>
      </c>
      <c r="F27" s="14">
        <v>11954602</v>
      </c>
    </row>
    <row r="28" spans="1:6" x14ac:dyDescent="0.3">
      <c r="A28" s="8">
        <v>46118</v>
      </c>
      <c r="B28" t="s">
        <v>35</v>
      </c>
      <c r="C28" t="s">
        <v>95</v>
      </c>
      <c r="D28" s="1">
        <v>106000</v>
      </c>
      <c r="E28" s="15">
        <v>46113</v>
      </c>
      <c r="F28" s="14">
        <v>30584290</v>
      </c>
    </row>
    <row r="29" spans="1:6" x14ac:dyDescent="0.3">
      <c r="A29" s="8">
        <v>46118</v>
      </c>
      <c r="B29" t="s">
        <v>53</v>
      </c>
      <c r="C29" t="s">
        <v>80</v>
      </c>
      <c r="D29" s="1">
        <v>3749.33</v>
      </c>
      <c r="E29" s="15">
        <v>46113</v>
      </c>
      <c r="F29" s="14">
        <v>11969712</v>
      </c>
    </row>
    <row r="30" spans="1:6" x14ac:dyDescent="0.3">
      <c r="A30" s="8">
        <v>46118</v>
      </c>
      <c r="B30" t="s">
        <v>53</v>
      </c>
      <c r="C30" t="s">
        <v>80</v>
      </c>
      <c r="D30" s="1">
        <v>81660.41</v>
      </c>
      <c r="E30" s="15">
        <v>46113</v>
      </c>
      <c r="F30" s="14">
        <v>11969714</v>
      </c>
    </row>
    <row r="31" spans="1:6" x14ac:dyDescent="0.3">
      <c r="A31" s="8">
        <v>46118</v>
      </c>
      <c r="B31" t="s">
        <v>35</v>
      </c>
      <c r="C31" t="s">
        <v>95</v>
      </c>
      <c r="D31" s="1">
        <v>198000</v>
      </c>
      <c r="E31" s="15">
        <v>46113</v>
      </c>
      <c r="F31" s="14">
        <v>30617363</v>
      </c>
    </row>
    <row r="32" spans="1:6" x14ac:dyDescent="0.3">
      <c r="A32" s="8">
        <v>46118</v>
      </c>
      <c r="B32" t="s">
        <v>35</v>
      </c>
      <c r="C32" t="s">
        <v>95</v>
      </c>
      <c r="D32" s="1">
        <v>363300</v>
      </c>
      <c r="E32" s="15">
        <v>46113</v>
      </c>
      <c r="F32" s="14">
        <v>30617803</v>
      </c>
    </row>
    <row r="33" spans="1:6" x14ac:dyDescent="0.3">
      <c r="A33" s="8">
        <v>46118</v>
      </c>
      <c r="B33" t="s">
        <v>426</v>
      </c>
      <c r="C33" t="s">
        <v>80</v>
      </c>
      <c r="D33" s="1">
        <v>30500</v>
      </c>
      <c r="E33" s="15">
        <v>46113</v>
      </c>
      <c r="F33" s="14">
        <v>11975182</v>
      </c>
    </row>
    <row r="34" spans="1:6" x14ac:dyDescent="0.3">
      <c r="A34" s="8">
        <v>46118</v>
      </c>
      <c r="B34" t="s">
        <v>424</v>
      </c>
      <c r="C34" t="s">
        <v>80</v>
      </c>
      <c r="D34" s="1">
        <v>15200</v>
      </c>
      <c r="E34" s="15">
        <v>46113</v>
      </c>
      <c r="F34" s="14">
        <v>11981039</v>
      </c>
    </row>
    <row r="35" spans="1:6" x14ac:dyDescent="0.3">
      <c r="A35" s="8">
        <v>46120</v>
      </c>
      <c r="B35" t="s">
        <v>35</v>
      </c>
      <c r="C35" t="s">
        <v>95</v>
      </c>
      <c r="D35" s="1">
        <v>106000</v>
      </c>
      <c r="E35" s="15">
        <v>46113</v>
      </c>
      <c r="F35" s="14">
        <v>30739172</v>
      </c>
    </row>
    <row r="36" spans="1:6" x14ac:dyDescent="0.3">
      <c r="A36" s="8">
        <v>46120</v>
      </c>
      <c r="B36" t="s">
        <v>427</v>
      </c>
      <c r="C36" t="s">
        <v>1181</v>
      </c>
      <c r="D36" s="1">
        <v>2163.2600000000002</v>
      </c>
      <c r="E36" s="15">
        <v>46113</v>
      </c>
      <c r="F36" s="14"/>
    </row>
    <row r="37" spans="1:6" x14ac:dyDescent="0.3">
      <c r="A37" s="8">
        <v>46120</v>
      </c>
      <c r="B37" t="s">
        <v>428</v>
      </c>
      <c r="C37" t="s">
        <v>1177</v>
      </c>
      <c r="D37" s="1">
        <v>112500</v>
      </c>
      <c r="E37" s="15">
        <v>46113</v>
      </c>
      <c r="F37" s="14">
        <v>12014692</v>
      </c>
    </row>
    <row r="38" spans="1:6" x14ac:dyDescent="0.3">
      <c r="A38" s="8">
        <v>46120</v>
      </c>
      <c r="B38" t="s">
        <v>428</v>
      </c>
      <c r="C38" t="s">
        <v>1177</v>
      </c>
      <c r="D38" s="1">
        <v>4500</v>
      </c>
      <c r="E38" s="15">
        <v>46113</v>
      </c>
      <c r="F38" s="14">
        <v>12014728</v>
      </c>
    </row>
    <row r="39" spans="1:6" x14ac:dyDescent="0.3">
      <c r="A39" s="8">
        <v>46120</v>
      </c>
      <c r="B39" t="s">
        <v>429</v>
      </c>
      <c r="C39" t="s">
        <v>81</v>
      </c>
      <c r="D39" s="1">
        <v>11200</v>
      </c>
      <c r="E39" s="15">
        <v>46113</v>
      </c>
      <c r="F39" s="14">
        <v>12015070</v>
      </c>
    </row>
    <row r="40" spans="1:6" x14ac:dyDescent="0.3">
      <c r="A40" s="8">
        <v>46120</v>
      </c>
      <c r="B40" t="s">
        <v>53</v>
      </c>
      <c r="C40" t="s">
        <v>80</v>
      </c>
      <c r="D40" s="1">
        <v>3737.7</v>
      </c>
      <c r="E40" s="15">
        <v>46113</v>
      </c>
      <c r="F40" s="14">
        <v>12017073</v>
      </c>
    </row>
    <row r="41" spans="1:6" x14ac:dyDescent="0.3">
      <c r="A41" s="8">
        <v>46120</v>
      </c>
      <c r="B41" t="s">
        <v>53</v>
      </c>
      <c r="C41" t="s">
        <v>80</v>
      </c>
      <c r="D41" s="1">
        <v>3513.44</v>
      </c>
      <c r="E41" s="15">
        <v>46113</v>
      </c>
      <c r="F41" s="14">
        <v>12017076</v>
      </c>
    </row>
    <row r="42" spans="1:6" x14ac:dyDescent="0.3">
      <c r="A42" s="8">
        <v>46121</v>
      </c>
      <c r="B42" t="s">
        <v>430</v>
      </c>
      <c r="C42" t="s">
        <v>77</v>
      </c>
      <c r="D42" s="1">
        <v>160858</v>
      </c>
      <c r="E42" s="15">
        <v>46113</v>
      </c>
      <c r="F42" s="14">
        <v>12035513</v>
      </c>
    </row>
    <row r="43" spans="1:6" x14ac:dyDescent="0.3">
      <c r="A43" s="8">
        <v>46121</v>
      </c>
      <c r="B43" t="s">
        <v>35</v>
      </c>
      <c r="C43" t="s">
        <v>95</v>
      </c>
      <c r="D43" s="1">
        <v>1453200</v>
      </c>
      <c r="E43" s="15">
        <v>46113</v>
      </c>
      <c r="F43" s="14">
        <v>30861945</v>
      </c>
    </row>
    <row r="44" spans="1:6" x14ac:dyDescent="0.3">
      <c r="A44" s="8">
        <v>46121</v>
      </c>
      <c r="B44" t="s">
        <v>35</v>
      </c>
      <c r="C44" t="s">
        <v>95</v>
      </c>
      <c r="D44" s="1">
        <v>930000</v>
      </c>
      <c r="E44" s="15">
        <v>46113</v>
      </c>
      <c r="F44" s="14">
        <v>30862583</v>
      </c>
    </row>
    <row r="45" spans="1:6" x14ac:dyDescent="0.3">
      <c r="A45" s="8">
        <v>46121</v>
      </c>
      <c r="B45" t="s">
        <v>431</v>
      </c>
      <c r="C45" t="s">
        <v>1182</v>
      </c>
      <c r="D45" s="1">
        <v>180000</v>
      </c>
      <c r="E45" s="15">
        <v>46113</v>
      </c>
      <c r="F45" s="14">
        <v>12042819</v>
      </c>
    </row>
    <row r="46" spans="1:6" x14ac:dyDescent="0.3">
      <c r="A46" s="8">
        <v>46121</v>
      </c>
      <c r="B46" t="s">
        <v>35</v>
      </c>
      <c r="C46" t="s">
        <v>95</v>
      </c>
      <c r="D46" s="1">
        <v>343300</v>
      </c>
      <c r="E46" s="15">
        <v>46113</v>
      </c>
      <c r="F46" s="14">
        <v>30875301</v>
      </c>
    </row>
    <row r="47" spans="1:6" x14ac:dyDescent="0.3">
      <c r="A47" s="8">
        <v>46121</v>
      </c>
      <c r="B47" t="s">
        <v>429</v>
      </c>
      <c r="C47" t="s">
        <v>81</v>
      </c>
      <c r="D47" s="1">
        <v>9800</v>
      </c>
      <c r="E47" s="15">
        <v>46113</v>
      </c>
      <c r="F47" s="14">
        <v>12046174</v>
      </c>
    </row>
    <row r="48" spans="1:6" x14ac:dyDescent="0.3">
      <c r="A48" s="8">
        <v>46121</v>
      </c>
      <c r="B48" t="s">
        <v>35</v>
      </c>
      <c r="C48" t="s">
        <v>95</v>
      </c>
      <c r="D48" s="1">
        <v>328000</v>
      </c>
      <c r="E48" s="15">
        <v>46113</v>
      </c>
      <c r="F48" s="14">
        <v>30882575</v>
      </c>
    </row>
    <row r="49" spans="1:6" x14ac:dyDescent="0.3">
      <c r="A49" s="8">
        <v>46121</v>
      </c>
      <c r="B49" t="s">
        <v>35</v>
      </c>
      <c r="C49" t="s">
        <v>95</v>
      </c>
      <c r="D49" s="1">
        <v>61000</v>
      </c>
      <c r="E49" s="15">
        <v>46113</v>
      </c>
      <c r="F49" s="14">
        <v>30883041</v>
      </c>
    </row>
    <row r="50" spans="1:6" x14ac:dyDescent="0.3">
      <c r="A50" s="8">
        <v>46121</v>
      </c>
      <c r="B50" t="s">
        <v>424</v>
      </c>
      <c r="C50" t="s">
        <v>80</v>
      </c>
      <c r="D50" s="1">
        <v>15200</v>
      </c>
      <c r="E50" s="15">
        <v>46113</v>
      </c>
      <c r="F50" s="14">
        <v>12048180</v>
      </c>
    </row>
    <row r="51" spans="1:6" x14ac:dyDescent="0.3">
      <c r="A51" s="8">
        <v>46121</v>
      </c>
      <c r="B51" t="s">
        <v>432</v>
      </c>
      <c r="C51" t="s">
        <v>80</v>
      </c>
      <c r="D51" s="1">
        <v>74231.67</v>
      </c>
      <c r="E51" s="15">
        <v>46113</v>
      </c>
      <c r="F51" s="14">
        <v>12048841</v>
      </c>
    </row>
    <row r="52" spans="1:6" x14ac:dyDescent="0.3">
      <c r="A52" s="8">
        <v>46121</v>
      </c>
      <c r="B52" t="s">
        <v>35</v>
      </c>
      <c r="C52" t="s">
        <v>95</v>
      </c>
      <c r="D52" s="1">
        <v>182322</v>
      </c>
      <c r="E52" s="15">
        <v>46113</v>
      </c>
      <c r="F52" s="14">
        <v>30889190</v>
      </c>
    </row>
    <row r="53" spans="1:6" x14ac:dyDescent="0.3">
      <c r="A53" s="8">
        <v>46121</v>
      </c>
      <c r="B53" t="s">
        <v>433</v>
      </c>
      <c r="C53" t="s">
        <v>1178</v>
      </c>
      <c r="D53" s="1">
        <v>3693</v>
      </c>
      <c r="E53" s="15">
        <v>46113</v>
      </c>
      <c r="F53" s="14">
        <v>12050598</v>
      </c>
    </row>
    <row r="54" spans="1:6" x14ac:dyDescent="0.3">
      <c r="A54" s="8">
        <v>46121</v>
      </c>
      <c r="B54" t="s">
        <v>1179</v>
      </c>
      <c r="C54" t="s">
        <v>1186</v>
      </c>
      <c r="D54" s="1">
        <v>1735447.29</v>
      </c>
      <c r="E54" s="15">
        <v>46113</v>
      </c>
      <c r="F54" s="14">
        <v>11821205</v>
      </c>
    </row>
    <row r="55" spans="1:6" x14ac:dyDescent="0.3">
      <c r="A55" s="8">
        <v>46121</v>
      </c>
      <c r="B55" t="s">
        <v>1180</v>
      </c>
      <c r="C55" t="s">
        <v>1186</v>
      </c>
      <c r="D55" s="1">
        <v>2361032.9500000002</v>
      </c>
      <c r="E55" s="15">
        <v>46113</v>
      </c>
      <c r="F55" s="14">
        <v>11821347</v>
      </c>
    </row>
    <row r="56" spans="1:6" x14ac:dyDescent="0.3">
      <c r="A56" s="8">
        <v>46121</v>
      </c>
      <c r="B56" t="s">
        <v>1189</v>
      </c>
      <c r="C56" t="s">
        <v>1186</v>
      </c>
      <c r="D56" s="1">
        <v>3242399.49</v>
      </c>
      <c r="E56" s="15">
        <v>46113</v>
      </c>
      <c r="F56" s="14">
        <v>11821533</v>
      </c>
    </row>
    <row r="57" spans="1:6" x14ac:dyDescent="0.3">
      <c r="A57" s="8">
        <v>46121</v>
      </c>
      <c r="B57" t="s">
        <v>436</v>
      </c>
      <c r="C57" t="s">
        <v>82</v>
      </c>
      <c r="D57" s="1">
        <v>1765927.37</v>
      </c>
      <c r="E57" s="15">
        <v>46113</v>
      </c>
      <c r="F57" s="14">
        <v>11821636</v>
      </c>
    </row>
    <row r="58" spans="1:6" x14ac:dyDescent="0.3">
      <c r="A58" s="8">
        <v>46121</v>
      </c>
      <c r="B58" t="s">
        <v>35</v>
      </c>
      <c r="C58" t="s">
        <v>95</v>
      </c>
      <c r="D58" s="1">
        <v>500000</v>
      </c>
      <c r="E58" s="15">
        <v>46113</v>
      </c>
      <c r="F58" s="14">
        <v>30895515</v>
      </c>
    </row>
    <row r="59" spans="1:6" x14ac:dyDescent="0.3">
      <c r="A59" s="8">
        <v>46121</v>
      </c>
      <c r="B59" t="s">
        <v>437</v>
      </c>
      <c r="C59" t="s">
        <v>97</v>
      </c>
      <c r="D59" s="1">
        <v>339351</v>
      </c>
      <c r="E59" s="15">
        <v>46113</v>
      </c>
      <c r="F59" s="14"/>
    </row>
    <row r="60" spans="1:6" x14ac:dyDescent="0.3">
      <c r="A60" s="8">
        <v>46121</v>
      </c>
      <c r="B60" t="s">
        <v>427</v>
      </c>
      <c r="C60" t="s">
        <v>1181</v>
      </c>
      <c r="D60" s="1">
        <v>7000</v>
      </c>
      <c r="E60" s="15">
        <v>46113</v>
      </c>
      <c r="F60" s="14"/>
    </row>
    <row r="61" spans="1:6" x14ac:dyDescent="0.3">
      <c r="A61" s="8">
        <v>46121</v>
      </c>
      <c r="B61" t="s">
        <v>35</v>
      </c>
      <c r="C61" t="s">
        <v>95</v>
      </c>
      <c r="D61" s="1">
        <v>66820</v>
      </c>
      <c r="E61" s="15">
        <v>46113</v>
      </c>
      <c r="F61" s="14">
        <v>30896790</v>
      </c>
    </row>
    <row r="62" spans="1:6" x14ac:dyDescent="0.3">
      <c r="A62" s="8">
        <v>46121</v>
      </c>
      <c r="B62" t="s">
        <v>438</v>
      </c>
      <c r="C62" t="s">
        <v>97</v>
      </c>
      <c r="D62" s="1">
        <v>59760.92</v>
      </c>
      <c r="E62" s="15">
        <v>46113</v>
      </c>
      <c r="F62" s="14"/>
    </row>
    <row r="63" spans="1:6" x14ac:dyDescent="0.3">
      <c r="A63" s="8">
        <v>46121</v>
      </c>
      <c r="B63" t="s">
        <v>35</v>
      </c>
      <c r="C63" t="s">
        <v>95</v>
      </c>
      <c r="D63" s="1">
        <v>210000</v>
      </c>
      <c r="E63" s="15">
        <v>46113</v>
      </c>
      <c r="F63" s="14">
        <v>30898911</v>
      </c>
    </row>
    <row r="64" spans="1:6" x14ac:dyDescent="0.3">
      <c r="A64" s="8">
        <v>46122</v>
      </c>
      <c r="B64" t="s">
        <v>439</v>
      </c>
      <c r="C64" t="s">
        <v>1178</v>
      </c>
      <c r="D64" s="1">
        <v>150000</v>
      </c>
      <c r="E64" s="15">
        <v>46113</v>
      </c>
      <c r="F64" s="14">
        <v>12065645</v>
      </c>
    </row>
    <row r="65" spans="1:6" x14ac:dyDescent="0.3">
      <c r="A65" s="8">
        <v>46122</v>
      </c>
      <c r="B65" t="s">
        <v>35</v>
      </c>
      <c r="C65" t="s">
        <v>95</v>
      </c>
      <c r="D65" s="1">
        <v>80000</v>
      </c>
      <c r="E65" s="15">
        <v>46113</v>
      </c>
      <c r="F65" s="14">
        <v>30954411</v>
      </c>
    </row>
    <row r="66" spans="1:6" x14ac:dyDescent="0.3">
      <c r="A66" s="8">
        <v>46123</v>
      </c>
      <c r="B66" t="s">
        <v>35</v>
      </c>
      <c r="C66" t="s">
        <v>95</v>
      </c>
      <c r="D66" s="1">
        <v>50000</v>
      </c>
      <c r="E66" s="15">
        <v>46113</v>
      </c>
      <c r="F66" s="14">
        <v>30985669</v>
      </c>
    </row>
    <row r="67" spans="1:6" x14ac:dyDescent="0.3">
      <c r="A67" s="8">
        <v>46123</v>
      </c>
      <c r="B67" t="s">
        <v>35</v>
      </c>
      <c r="C67" t="s">
        <v>95</v>
      </c>
      <c r="D67" s="1">
        <v>55000</v>
      </c>
      <c r="E67" s="15">
        <v>46113</v>
      </c>
      <c r="F67" s="14">
        <v>30990798</v>
      </c>
    </row>
    <row r="68" spans="1:6" x14ac:dyDescent="0.3">
      <c r="A68" s="8">
        <v>46124</v>
      </c>
      <c r="B68" t="s">
        <v>440</v>
      </c>
      <c r="C68" t="s">
        <v>1182</v>
      </c>
      <c r="D68" s="1">
        <v>99900</v>
      </c>
      <c r="E68" s="15">
        <v>46113</v>
      </c>
      <c r="F68" s="14">
        <v>12120015</v>
      </c>
    </row>
    <row r="69" spans="1:6" x14ac:dyDescent="0.3">
      <c r="A69" s="8">
        <v>46124</v>
      </c>
      <c r="B69" t="s">
        <v>441</v>
      </c>
      <c r="C69" t="s">
        <v>1182</v>
      </c>
      <c r="D69" s="1">
        <v>41000</v>
      </c>
      <c r="E69" s="15">
        <v>46113</v>
      </c>
      <c r="F69" s="14">
        <v>12121396</v>
      </c>
    </row>
    <row r="70" spans="1:6" x14ac:dyDescent="0.3">
      <c r="A70" s="8">
        <v>46124</v>
      </c>
      <c r="B70" t="s">
        <v>442</v>
      </c>
      <c r="C70" t="s">
        <v>80</v>
      </c>
      <c r="D70" s="1">
        <v>219900</v>
      </c>
      <c r="E70" s="15">
        <v>46113</v>
      </c>
      <c r="F70" s="14">
        <v>12124032</v>
      </c>
    </row>
    <row r="71" spans="1:6" x14ac:dyDescent="0.3">
      <c r="A71" s="8">
        <v>46125</v>
      </c>
      <c r="B71" t="s">
        <v>35</v>
      </c>
      <c r="C71" t="s">
        <v>95</v>
      </c>
      <c r="D71" s="1">
        <v>576000</v>
      </c>
      <c r="E71" s="15">
        <v>46113</v>
      </c>
      <c r="F71" s="14">
        <v>31055498</v>
      </c>
    </row>
    <row r="72" spans="1:6" x14ac:dyDescent="0.3">
      <c r="A72" s="8">
        <v>46125</v>
      </c>
      <c r="B72" t="s">
        <v>35</v>
      </c>
      <c r="C72" t="s">
        <v>95</v>
      </c>
      <c r="D72" s="1">
        <v>183700</v>
      </c>
      <c r="E72" s="15">
        <v>46113</v>
      </c>
      <c r="F72" s="14">
        <v>31056207</v>
      </c>
    </row>
    <row r="73" spans="1:6" x14ac:dyDescent="0.3">
      <c r="A73" s="8">
        <v>46125</v>
      </c>
      <c r="B73" t="s">
        <v>35</v>
      </c>
      <c r="C73" t="s">
        <v>95</v>
      </c>
      <c r="D73" s="1">
        <v>153700</v>
      </c>
      <c r="E73" s="15">
        <v>46113</v>
      </c>
      <c r="F73" s="14">
        <v>31056709</v>
      </c>
    </row>
    <row r="74" spans="1:6" x14ac:dyDescent="0.3">
      <c r="A74" s="8">
        <v>46125</v>
      </c>
      <c r="B74" t="s">
        <v>443</v>
      </c>
      <c r="C74" t="s">
        <v>97</v>
      </c>
      <c r="D74" s="1">
        <v>370069.72</v>
      </c>
      <c r="E74" s="15">
        <v>46113</v>
      </c>
      <c r="F74" s="14"/>
    </row>
    <row r="75" spans="1:6" x14ac:dyDescent="0.3">
      <c r="A75" s="8">
        <v>46125</v>
      </c>
      <c r="B75" t="s">
        <v>35</v>
      </c>
      <c r="C75" t="s">
        <v>95</v>
      </c>
      <c r="D75" s="1">
        <v>600000</v>
      </c>
      <c r="E75" s="15">
        <v>46113</v>
      </c>
      <c r="F75" s="14">
        <v>31077988</v>
      </c>
    </row>
    <row r="76" spans="1:6" x14ac:dyDescent="0.3">
      <c r="A76" s="8">
        <v>46125</v>
      </c>
      <c r="B76" t="s">
        <v>1189</v>
      </c>
      <c r="C76" t="s">
        <v>1186</v>
      </c>
      <c r="D76" s="1">
        <v>257600.56</v>
      </c>
      <c r="E76" s="15">
        <v>46113</v>
      </c>
      <c r="F76" s="14"/>
    </row>
    <row r="77" spans="1:6" x14ac:dyDescent="0.3">
      <c r="A77" s="8">
        <v>46125</v>
      </c>
      <c r="B77" t="s">
        <v>35</v>
      </c>
      <c r="C77" t="s">
        <v>95</v>
      </c>
      <c r="D77" s="1">
        <v>20000</v>
      </c>
      <c r="E77" s="15">
        <v>46113</v>
      </c>
      <c r="F77" s="14">
        <v>31082376</v>
      </c>
    </row>
    <row r="78" spans="1:6" x14ac:dyDescent="0.3">
      <c r="A78" s="8">
        <v>46126</v>
      </c>
      <c r="B78" t="s">
        <v>35</v>
      </c>
      <c r="C78" t="s">
        <v>95</v>
      </c>
      <c r="D78" s="1">
        <v>107000</v>
      </c>
      <c r="E78" s="15">
        <v>46113</v>
      </c>
      <c r="F78" s="14">
        <v>31089875</v>
      </c>
    </row>
    <row r="79" spans="1:6" x14ac:dyDescent="0.3">
      <c r="A79" s="8">
        <v>46126</v>
      </c>
      <c r="B79" t="s">
        <v>35</v>
      </c>
      <c r="C79" t="s">
        <v>95</v>
      </c>
      <c r="D79" s="1">
        <v>180000</v>
      </c>
      <c r="E79" s="15">
        <v>46113</v>
      </c>
      <c r="F79" s="14">
        <v>31114187</v>
      </c>
    </row>
    <row r="80" spans="1:6" x14ac:dyDescent="0.3">
      <c r="A80" s="8">
        <v>46126</v>
      </c>
      <c r="B80" t="s">
        <v>424</v>
      </c>
      <c r="C80" t="s">
        <v>80</v>
      </c>
      <c r="D80" s="1">
        <v>15200</v>
      </c>
      <c r="E80" s="15">
        <v>46113</v>
      </c>
      <c r="F80" s="14">
        <v>12168249</v>
      </c>
    </row>
    <row r="81" spans="1:6" x14ac:dyDescent="0.3">
      <c r="A81" s="8">
        <v>46126</v>
      </c>
      <c r="B81" t="s">
        <v>432</v>
      </c>
      <c r="C81" t="s">
        <v>80</v>
      </c>
      <c r="D81" s="1">
        <v>63815.71</v>
      </c>
      <c r="E81" s="15">
        <v>46113</v>
      </c>
      <c r="F81" s="14">
        <v>12168859</v>
      </c>
    </row>
    <row r="82" spans="1:6" x14ac:dyDescent="0.3">
      <c r="A82" s="8">
        <v>46127</v>
      </c>
      <c r="B82" t="s">
        <v>444</v>
      </c>
      <c r="C82" t="s">
        <v>1188</v>
      </c>
      <c r="D82" s="1">
        <v>8400</v>
      </c>
      <c r="E82" s="15">
        <v>46113</v>
      </c>
      <c r="F82" s="14">
        <v>12182406</v>
      </c>
    </row>
    <row r="83" spans="1:6" x14ac:dyDescent="0.3">
      <c r="A83" s="8">
        <v>46127</v>
      </c>
      <c r="B83" t="s">
        <v>49</v>
      </c>
      <c r="C83" t="s">
        <v>80</v>
      </c>
      <c r="D83" s="1">
        <v>18401.3</v>
      </c>
      <c r="E83" s="15">
        <v>46113</v>
      </c>
      <c r="F83" s="14">
        <v>12184973</v>
      </c>
    </row>
    <row r="84" spans="1:6" x14ac:dyDescent="0.3">
      <c r="A84" s="8">
        <v>46127</v>
      </c>
      <c r="B84" t="s">
        <v>429</v>
      </c>
      <c r="C84" t="s">
        <v>81</v>
      </c>
      <c r="D84" s="1">
        <v>9800</v>
      </c>
      <c r="E84" s="15">
        <v>46113</v>
      </c>
      <c r="F84" s="14">
        <v>12190593</v>
      </c>
    </row>
    <row r="85" spans="1:6" x14ac:dyDescent="0.3">
      <c r="A85" s="8">
        <v>46127</v>
      </c>
      <c r="B85" t="s">
        <v>35</v>
      </c>
      <c r="C85" t="s">
        <v>95</v>
      </c>
      <c r="D85" s="1">
        <v>30910</v>
      </c>
      <c r="E85" s="15">
        <v>46113</v>
      </c>
      <c r="F85" s="14">
        <v>31179912</v>
      </c>
    </row>
    <row r="86" spans="1:6" x14ac:dyDescent="0.3">
      <c r="A86" s="8">
        <v>46127</v>
      </c>
      <c r="B86" t="s">
        <v>35</v>
      </c>
      <c r="C86" t="s">
        <v>95</v>
      </c>
      <c r="D86" s="1">
        <v>15000</v>
      </c>
      <c r="E86" s="15">
        <v>46113</v>
      </c>
      <c r="F86" s="14">
        <v>31180538</v>
      </c>
    </row>
    <row r="87" spans="1:6" x14ac:dyDescent="0.3">
      <c r="A87" s="8">
        <v>46127</v>
      </c>
      <c r="B87" t="s">
        <v>424</v>
      </c>
      <c r="C87" t="s">
        <v>80</v>
      </c>
      <c r="D87" s="1">
        <v>15200</v>
      </c>
      <c r="E87" s="15">
        <v>46113</v>
      </c>
      <c r="F87" s="14">
        <v>12194416</v>
      </c>
    </row>
    <row r="88" spans="1:6" x14ac:dyDescent="0.3">
      <c r="A88" s="8">
        <v>46127</v>
      </c>
      <c r="B88" t="s">
        <v>445</v>
      </c>
      <c r="C88" t="s">
        <v>81</v>
      </c>
      <c r="D88" s="1">
        <v>50050</v>
      </c>
      <c r="E88" s="15">
        <v>46113</v>
      </c>
      <c r="F88" s="14">
        <v>12195284</v>
      </c>
    </row>
    <row r="89" spans="1:6" x14ac:dyDescent="0.3">
      <c r="A89" s="8">
        <v>46127</v>
      </c>
      <c r="B89" t="s">
        <v>35</v>
      </c>
      <c r="C89" t="s">
        <v>95</v>
      </c>
      <c r="D89" s="1">
        <v>234000</v>
      </c>
      <c r="E89" s="15">
        <v>46113</v>
      </c>
      <c r="F89" s="14">
        <v>31187139</v>
      </c>
    </row>
    <row r="90" spans="1:6" x14ac:dyDescent="0.3">
      <c r="A90" s="8">
        <v>46127</v>
      </c>
      <c r="B90" t="s">
        <v>35</v>
      </c>
      <c r="C90" t="s">
        <v>95</v>
      </c>
      <c r="D90" s="1">
        <v>363300</v>
      </c>
      <c r="E90" s="15">
        <v>46113</v>
      </c>
      <c r="F90" s="14">
        <v>31187837</v>
      </c>
    </row>
    <row r="91" spans="1:6" x14ac:dyDescent="0.3">
      <c r="A91" s="8">
        <v>46128</v>
      </c>
      <c r="B91" t="s">
        <v>35</v>
      </c>
      <c r="C91" t="s">
        <v>95</v>
      </c>
      <c r="D91" s="1">
        <v>673650</v>
      </c>
      <c r="E91" s="15">
        <v>46113</v>
      </c>
      <c r="F91" s="14">
        <v>31204012</v>
      </c>
    </row>
    <row r="92" spans="1:6" x14ac:dyDescent="0.3">
      <c r="A92" s="8">
        <v>46128</v>
      </c>
      <c r="B92" t="s">
        <v>35</v>
      </c>
      <c r="C92" t="s">
        <v>95</v>
      </c>
      <c r="D92" s="1">
        <v>478500</v>
      </c>
      <c r="E92" s="15">
        <v>46113</v>
      </c>
      <c r="F92" s="14">
        <v>31213300</v>
      </c>
    </row>
    <row r="93" spans="1:6" x14ac:dyDescent="0.3">
      <c r="A93" s="8">
        <v>46128</v>
      </c>
      <c r="B93" t="s">
        <v>446</v>
      </c>
      <c r="C93" t="s">
        <v>291</v>
      </c>
      <c r="D93" s="1">
        <v>180464</v>
      </c>
      <c r="E93" s="15">
        <v>46113</v>
      </c>
      <c r="F93" s="14">
        <v>12208141</v>
      </c>
    </row>
    <row r="94" spans="1:6" x14ac:dyDescent="0.3">
      <c r="A94" s="8">
        <v>46128</v>
      </c>
      <c r="B94" t="s">
        <v>447</v>
      </c>
      <c r="C94" t="s">
        <v>77</v>
      </c>
      <c r="D94" s="1">
        <v>22000</v>
      </c>
      <c r="E94" s="15">
        <v>46113</v>
      </c>
      <c r="F94" s="14">
        <v>12208797</v>
      </c>
    </row>
    <row r="95" spans="1:6" x14ac:dyDescent="0.3">
      <c r="A95" s="8">
        <v>46128</v>
      </c>
      <c r="B95" t="s">
        <v>424</v>
      </c>
      <c r="C95" t="s">
        <v>80</v>
      </c>
      <c r="D95" s="1">
        <v>15200</v>
      </c>
      <c r="E95" s="15">
        <v>46113</v>
      </c>
      <c r="F95" s="14">
        <v>12209269</v>
      </c>
    </row>
    <row r="96" spans="1:6" x14ac:dyDescent="0.3">
      <c r="A96" s="8">
        <v>46128</v>
      </c>
      <c r="B96" t="s">
        <v>448</v>
      </c>
      <c r="C96" t="s">
        <v>1183</v>
      </c>
      <c r="D96" s="1">
        <v>207893</v>
      </c>
      <c r="E96" s="15">
        <v>46113</v>
      </c>
      <c r="F96" s="14">
        <v>12210022</v>
      </c>
    </row>
    <row r="97" spans="1:6" x14ac:dyDescent="0.3">
      <c r="A97" s="8">
        <v>46128</v>
      </c>
      <c r="B97" t="s">
        <v>449</v>
      </c>
      <c r="C97" t="s">
        <v>1182</v>
      </c>
      <c r="D97" s="1">
        <v>8750</v>
      </c>
      <c r="E97" s="15">
        <v>46113</v>
      </c>
      <c r="F97" s="14">
        <v>12212282</v>
      </c>
    </row>
    <row r="98" spans="1:6" x14ac:dyDescent="0.3">
      <c r="A98" s="8">
        <v>46128</v>
      </c>
      <c r="B98" t="s">
        <v>450</v>
      </c>
      <c r="C98" t="s">
        <v>80</v>
      </c>
      <c r="D98" s="1">
        <v>821340</v>
      </c>
      <c r="E98" s="15">
        <v>46113</v>
      </c>
      <c r="F98" s="14">
        <v>12213116</v>
      </c>
    </row>
    <row r="99" spans="1:6" x14ac:dyDescent="0.3">
      <c r="A99" s="8">
        <v>46128</v>
      </c>
      <c r="B99" t="s">
        <v>35</v>
      </c>
      <c r="C99" t="s">
        <v>95</v>
      </c>
      <c r="D99" s="1">
        <v>400000</v>
      </c>
      <c r="E99" s="15">
        <v>46113</v>
      </c>
      <c r="F99" s="14">
        <v>31245254</v>
      </c>
    </row>
    <row r="100" spans="1:6" x14ac:dyDescent="0.3">
      <c r="A100" s="8">
        <v>46129</v>
      </c>
      <c r="B100" t="s">
        <v>35</v>
      </c>
      <c r="C100" t="s">
        <v>95</v>
      </c>
      <c r="D100" s="1">
        <v>644377</v>
      </c>
      <c r="E100" s="15">
        <v>46113</v>
      </c>
      <c r="F100" s="14">
        <v>31264197</v>
      </c>
    </row>
    <row r="101" spans="1:6" x14ac:dyDescent="0.3">
      <c r="A101" s="8">
        <v>46129</v>
      </c>
      <c r="B101" t="s">
        <v>35</v>
      </c>
      <c r="C101" t="s">
        <v>95</v>
      </c>
      <c r="D101" s="1">
        <v>1089900</v>
      </c>
      <c r="E101" s="15">
        <v>46113</v>
      </c>
      <c r="F101" s="14">
        <v>31272688</v>
      </c>
    </row>
    <row r="102" spans="1:6" x14ac:dyDescent="0.3">
      <c r="A102" s="8">
        <v>46129</v>
      </c>
      <c r="B102" t="s">
        <v>35</v>
      </c>
      <c r="C102" t="s">
        <v>95</v>
      </c>
      <c r="D102" s="1">
        <v>678000</v>
      </c>
      <c r="E102" s="15">
        <v>46113</v>
      </c>
      <c r="F102" s="14">
        <v>31274250</v>
      </c>
    </row>
    <row r="103" spans="1:6" x14ac:dyDescent="0.3">
      <c r="A103" s="8">
        <v>46129</v>
      </c>
      <c r="B103" t="s">
        <v>451</v>
      </c>
      <c r="C103" t="s">
        <v>97</v>
      </c>
      <c r="D103" s="1">
        <v>398406.36</v>
      </c>
      <c r="E103" s="15">
        <v>46113</v>
      </c>
      <c r="F103" s="14"/>
    </row>
    <row r="104" spans="1:6" x14ac:dyDescent="0.3">
      <c r="A104" s="8">
        <v>46129</v>
      </c>
      <c r="B104" t="s">
        <v>1184</v>
      </c>
      <c r="C104" t="s">
        <v>1187</v>
      </c>
      <c r="D104" s="1">
        <v>114999999.12</v>
      </c>
      <c r="E104" s="15">
        <v>46113</v>
      </c>
      <c r="F104" s="14">
        <v>11966464</v>
      </c>
    </row>
    <row r="105" spans="1:6" x14ac:dyDescent="0.3">
      <c r="A105" s="8">
        <v>46129</v>
      </c>
      <c r="B105" t="s">
        <v>35</v>
      </c>
      <c r="C105" t="s">
        <v>95</v>
      </c>
      <c r="D105" s="1">
        <v>80000</v>
      </c>
      <c r="E105" s="15">
        <v>46113</v>
      </c>
      <c r="F105" s="14">
        <v>31292177</v>
      </c>
    </row>
    <row r="106" spans="1:6" x14ac:dyDescent="0.3">
      <c r="A106" s="8">
        <v>46129</v>
      </c>
      <c r="B106" t="s">
        <v>452</v>
      </c>
      <c r="C106" t="s">
        <v>97</v>
      </c>
      <c r="D106" s="1">
        <v>100000</v>
      </c>
      <c r="E106" s="15">
        <v>46113</v>
      </c>
      <c r="F106" s="14"/>
    </row>
    <row r="107" spans="1:6" x14ac:dyDescent="0.3">
      <c r="A107" s="8">
        <v>46130</v>
      </c>
      <c r="B107" t="s">
        <v>1189</v>
      </c>
      <c r="C107" t="s">
        <v>1186</v>
      </c>
      <c r="D107" s="1">
        <v>4999999</v>
      </c>
      <c r="E107" s="15">
        <v>46113</v>
      </c>
      <c r="F107" s="14">
        <v>11976157</v>
      </c>
    </row>
    <row r="108" spans="1:6" x14ac:dyDescent="0.3">
      <c r="A108" s="8">
        <v>46130</v>
      </c>
      <c r="B108" t="s">
        <v>35</v>
      </c>
      <c r="C108" t="s">
        <v>95</v>
      </c>
      <c r="D108" s="1">
        <v>250000</v>
      </c>
      <c r="E108" s="15">
        <v>46113</v>
      </c>
      <c r="F108" s="14">
        <v>31331407</v>
      </c>
    </row>
    <row r="109" spans="1:6" x14ac:dyDescent="0.3">
      <c r="A109" s="8">
        <v>46132</v>
      </c>
      <c r="B109" t="s">
        <v>35</v>
      </c>
      <c r="C109" t="s">
        <v>95</v>
      </c>
      <c r="D109" s="1">
        <v>391150</v>
      </c>
      <c r="E109" s="15">
        <v>46113</v>
      </c>
      <c r="F109" s="14">
        <v>31392029</v>
      </c>
    </row>
    <row r="110" spans="1:6" x14ac:dyDescent="0.3">
      <c r="A110" s="8">
        <v>46132</v>
      </c>
      <c r="B110" t="s">
        <v>453</v>
      </c>
      <c r="C110" t="s">
        <v>76</v>
      </c>
      <c r="D110" s="1">
        <v>20000</v>
      </c>
      <c r="E110" s="15">
        <v>46113</v>
      </c>
      <c r="F110" s="14">
        <v>12307526</v>
      </c>
    </row>
    <row r="111" spans="1:6" x14ac:dyDescent="0.3">
      <c r="A111" s="8">
        <v>46132</v>
      </c>
      <c r="B111" t="s">
        <v>454</v>
      </c>
      <c r="C111" t="s">
        <v>80</v>
      </c>
      <c r="D111" s="1">
        <v>60000</v>
      </c>
      <c r="E111" s="15">
        <v>46113</v>
      </c>
      <c r="F111" s="14">
        <v>12309162</v>
      </c>
    </row>
    <row r="112" spans="1:6" x14ac:dyDescent="0.3">
      <c r="A112" s="8">
        <v>46132</v>
      </c>
      <c r="B112" t="s">
        <v>35</v>
      </c>
      <c r="C112" t="s">
        <v>95</v>
      </c>
      <c r="D112" s="1">
        <v>224000</v>
      </c>
      <c r="E112" s="15">
        <v>46113</v>
      </c>
      <c r="F112" s="14">
        <v>31409965</v>
      </c>
    </row>
    <row r="113" spans="1:6" x14ac:dyDescent="0.3">
      <c r="A113" s="8">
        <v>46132</v>
      </c>
      <c r="B113" t="s">
        <v>455</v>
      </c>
      <c r="C113" t="s">
        <v>1183</v>
      </c>
      <c r="D113" s="1">
        <v>119900</v>
      </c>
      <c r="E113" s="15">
        <v>46113</v>
      </c>
      <c r="F113" s="14">
        <v>12314518</v>
      </c>
    </row>
    <row r="114" spans="1:6" x14ac:dyDescent="0.3">
      <c r="A114" s="8">
        <v>46132</v>
      </c>
      <c r="B114" t="s">
        <v>429</v>
      </c>
      <c r="C114" t="s">
        <v>81</v>
      </c>
      <c r="D114" s="1">
        <v>29130</v>
      </c>
      <c r="E114" s="15">
        <v>46113</v>
      </c>
      <c r="F114" s="14">
        <v>12317525</v>
      </c>
    </row>
    <row r="115" spans="1:6" x14ac:dyDescent="0.3">
      <c r="A115" s="8">
        <v>46132</v>
      </c>
      <c r="B115" t="s">
        <v>35</v>
      </c>
      <c r="C115" t="s">
        <v>95</v>
      </c>
      <c r="D115" s="1">
        <v>1500000</v>
      </c>
      <c r="E115" s="15">
        <v>46113</v>
      </c>
      <c r="F115" s="14">
        <v>31425413</v>
      </c>
    </row>
    <row r="116" spans="1:6" x14ac:dyDescent="0.3">
      <c r="A116" s="8">
        <v>46132</v>
      </c>
      <c r="B116" t="s">
        <v>35</v>
      </c>
      <c r="C116" t="s">
        <v>95</v>
      </c>
      <c r="D116" s="1">
        <v>443600</v>
      </c>
      <c r="E116" s="15">
        <v>46113</v>
      </c>
      <c r="F116" s="14">
        <v>31425790</v>
      </c>
    </row>
    <row r="117" spans="1:6" x14ac:dyDescent="0.3">
      <c r="A117" s="8">
        <v>46132</v>
      </c>
      <c r="B117" t="s">
        <v>35</v>
      </c>
      <c r="C117" t="s">
        <v>95</v>
      </c>
      <c r="D117" s="1">
        <v>434200</v>
      </c>
      <c r="E117" s="15">
        <v>46113</v>
      </c>
      <c r="F117" s="14">
        <v>31426399</v>
      </c>
    </row>
    <row r="118" spans="1:6" x14ac:dyDescent="0.3">
      <c r="A118" s="8">
        <v>46132</v>
      </c>
      <c r="B118" t="s">
        <v>424</v>
      </c>
      <c r="C118" t="s">
        <v>80</v>
      </c>
      <c r="D118" s="1">
        <v>15200</v>
      </c>
      <c r="E118" s="15">
        <v>46113</v>
      </c>
      <c r="F118" s="14">
        <v>12319976</v>
      </c>
    </row>
    <row r="119" spans="1:6" x14ac:dyDescent="0.3">
      <c r="A119" s="8">
        <v>46132</v>
      </c>
      <c r="B119" t="s">
        <v>35</v>
      </c>
      <c r="C119" t="s">
        <v>95</v>
      </c>
      <c r="D119" s="1">
        <v>20000</v>
      </c>
      <c r="E119" s="15">
        <v>46113</v>
      </c>
      <c r="F119" s="14">
        <v>31429598</v>
      </c>
    </row>
    <row r="120" spans="1:6" x14ac:dyDescent="0.3">
      <c r="A120" s="8">
        <v>46133</v>
      </c>
      <c r="B120" t="s">
        <v>35</v>
      </c>
      <c r="C120" t="s">
        <v>95</v>
      </c>
      <c r="D120" s="1">
        <v>48000</v>
      </c>
      <c r="E120" s="15">
        <v>46113</v>
      </c>
      <c r="F120" s="14">
        <v>31463722</v>
      </c>
    </row>
    <row r="121" spans="1:6" x14ac:dyDescent="0.3">
      <c r="A121" s="8">
        <v>46133</v>
      </c>
      <c r="B121" t="s">
        <v>429</v>
      </c>
      <c r="C121" t="s">
        <v>81</v>
      </c>
      <c r="D121" s="1">
        <v>19440</v>
      </c>
      <c r="E121" s="15">
        <v>46113</v>
      </c>
      <c r="F121" s="14">
        <v>12337132</v>
      </c>
    </row>
    <row r="122" spans="1:6" x14ac:dyDescent="0.3">
      <c r="A122" s="8">
        <v>46133</v>
      </c>
      <c r="B122" t="s">
        <v>456</v>
      </c>
      <c r="C122" t="s">
        <v>80</v>
      </c>
      <c r="D122" s="1">
        <v>58316.32</v>
      </c>
      <c r="E122" s="15">
        <v>46113</v>
      </c>
      <c r="F122" s="14">
        <v>12337653</v>
      </c>
    </row>
    <row r="123" spans="1:6" x14ac:dyDescent="0.3">
      <c r="A123" s="8">
        <v>46133</v>
      </c>
      <c r="B123" t="s">
        <v>35</v>
      </c>
      <c r="C123" t="s">
        <v>95</v>
      </c>
      <c r="D123" s="1">
        <v>363300</v>
      </c>
      <c r="E123" s="15">
        <v>46113</v>
      </c>
      <c r="F123" s="14">
        <v>31470704</v>
      </c>
    </row>
    <row r="124" spans="1:6" x14ac:dyDescent="0.3">
      <c r="A124" s="8">
        <v>46133</v>
      </c>
      <c r="B124" t="s">
        <v>35</v>
      </c>
      <c r="C124" t="s">
        <v>95</v>
      </c>
      <c r="D124" s="1">
        <v>246000</v>
      </c>
      <c r="E124" s="15">
        <v>46113</v>
      </c>
      <c r="F124" s="14">
        <v>31471116</v>
      </c>
    </row>
    <row r="125" spans="1:6" x14ac:dyDescent="0.3">
      <c r="A125" s="8">
        <v>46133</v>
      </c>
      <c r="B125" t="s">
        <v>457</v>
      </c>
      <c r="C125" t="s">
        <v>77</v>
      </c>
      <c r="D125" s="1">
        <v>161603</v>
      </c>
      <c r="E125" s="15">
        <v>46113</v>
      </c>
      <c r="F125" s="14">
        <v>12341624</v>
      </c>
    </row>
    <row r="126" spans="1:6" x14ac:dyDescent="0.3">
      <c r="A126" s="8">
        <v>46133</v>
      </c>
      <c r="B126" t="s">
        <v>424</v>
      </c>
      <c r="C126" t="s">
        <v>80</v>
      </c>
      <c r="D126" s="1">
        <v>15200</v>
      </c>
      <c r="E126" s="15">
        <v>46113</v>
      </c>
      <c r="F126" s="14">
        <v>12341681</v>
      </c>
    </row>
    <row r="127" spans="1:6" x14ac:dyDescent="0.3">
      <c r="A127" s="8">
        <v>46134</v>
      </c>
      <c r="B127" t="s">
        <v>35</v>
      </c>
      <c r="C127" t="s">
        <v>95</v>
      </c>
      <c r="D127" s="1">
        <v>96000</v>
      </c>
      <c r="E127" s="15">
        <v>46113</v>
      </c>
      <c r="F127" s="14">
        <v>31492521</v>
      </c>
    </row>
    <row r="128" spans="1:6" x14ac:dyDescent="0.3">
      <c r="A128" s="8">
        <v>46134</v>
      </c>
      <c r="B128" t="s">
        <v>35</v>
      </c>
      <c r="C128" t="s">
        <v>95</v>
      </c>
      <c r="D128" s="1">
        <v>16000</v>
      </c>
      <c r="E128" s="15">
        <v>46113</v>
      </c>
      <c r="F128" s="14">
        <v>31493093</v>
      </c>
    </row>
    <row r="129" spans="1:6" x14ac:dyDescent="0.3">
      <c r="A129" s="8">
        <v>46134</v>
      </c>
      <c r="B129" t="s">
        <v>35</v>
      </c>
      <c r="C129" t="s">
        <v>95</v>
      </c>
      <c r="D129" s="1">
        <v>350000</v>
      </c>
      <c r="E129" s="15">
        <v>46113</v>
      </c>
      <c r="F129" s="14">
        <v>31508520</v>
      </c>
    </row>
    <row r="130" spans="1:6" x14ac:dyDescent="0.3">
      <c r="A130" s="8">
        <v>46134</v>
      </c>
      <c r="B130" t="s">
        <v>424</v>
      </c>
      <c r="C130" t="s">
        <v>80</v>
      </c>
      <c r="D130" s="1">
        <v>15200</v>
      </c>
      <c r="E130" s="15">
        <v>46113</v>
      </c>
      <c r="F130" s="14">
        <v>12362569</v>
      </c>
    </row>
    <row r="131" spans="1:6" x14ac:dyDescent="0.3">
      <c r="A131" s="8">
        <v>46134</v>
      </c>
      <c r="B131" t="s">
        <v>49</v>
      </c>
      <c r="C131" t="s">
        <v>80</v>
      </c>
      <c r="D131" s="1">
        <v>18237.849999999999</v>
      </c>
      <c r="E131" s="15">
        <v>46113</v>
      </c>
      <c r="F131" s="14">
        <v>12364087</v>
      </c>
    </row>
    <row r="132" spans="1:6" x14ac:dyDescent="0.3">
      <c r="A132" s="8">
        <v>46134</v>
      </c>
      <c r="B132" t="s">
        <v>49</v>
      </c>
      <c r="C132" t="s">
        <v>80</v>
      </c>
      <c r="D132" s="1">
        <v>43150.75</v>
      </c>
      <c r="E132" s="15">
        <v>46113</v>
      </c>
      <c r="F132" s="14">
        <v>12364104</v>
      </c>
    </row>
    <row r="133" spans="1:6" x14ac:dyDescent="0.3">
      <c r="A133" s="8">
        <v>46134</v>
      </c>
      <c r="B133" t="s">
        <v>49</v>
      </c>
      <c r="C133" t="s">
        <v>80</v>
      </c>
      <c r="D133" s="1">
        <v>18237.849999999999</v>
      </c>
      <c r="E133" s="15">
        <v>46113</v>
      </c>
      <c r="F133" s="14">
        <v>12364176</v>
      </c>
    </row>
    <row r="134" spans="1:6" x14ac:dyDescent="0.3">
      <c r="A134" s="8">
        <v>46134</v>
      </c>
      <c r="B134" t="s">
        <v>458</v>
      </c>
      <c r="C134" t="s">
        <v>91</v>
      </c>
      <c r="D134" s="1">
        <v>533399.56000000006</v>
      </c>
      <c r="E134" s="15">
        <v>46113</v>
      </c>
      <c r="F134" s="14">
        <v>12052977</v>
      </c>
    </row>
    <row r="135" spans="1:6" x14ac:dyDescent="0.3">
      <c r="A135" s="8">
        <v>46134</v>
      </c>
      <c r="B135" t="s">
        <v>1189</v>
      </c>
      <c r="C135" t="s">
        <v>1186</v>
      </c>
      <c r="D135" s="1">
        <v>4999999.16</v>
      </c>
      <c r="E135" s="15">
        <v>46113</v>
      </c>
      <c r="F135" s="14">
        <v>12053076</v>
      </c>
    </row>
    <row r="136" spans="1:6" x14ac:dyDescent="0.3">
      <c r="A136" s="8">
        <v>46134</v>
      </c>
      <c r="B136" t="s">
        <v>35</v>
      </c>
      <c r="C136" t="s">
        <v>95</v>
      </c>
      <c r="D136" s="1">
        <v>700000</v>
      </c>
      <c r="E136" s="15">
        <v>46113</v>
      </c>
      <c r="F136" s="14">
        <v>31529259</v>
      </c>
    </row>
    <row r="137" spans="1:6" x14ac:dyDescent="0.3">
      <c r="A137" s="8">
        <v>46134</v>
      </c>
      <c r="B137" t="s">
        <v>35</v>
      </c>
      <c r="C137" t="s">
        <v>95</v>
      </c>
      <c r="D137" s="1">
        <v>272000</v>
      </c>
      <c r="E137" s="15">
        <v>46113</v>
      </c>
      <c r="F137" s="14">
        <v>31529611</v>
      </c>
    </row>
    <row r="138" spans="1:6" x14ac:dyDescent="0.3">
      <c r="A138" s="8">
        <v>46134</v>
      </c>
      <c r="B138" t="s">
        <v>35</v>
      </c>
      <c r="C138" t="s">
        <v>95</v>
      </c>
      <c r="D138" s="1">
        <v>32994</v>
      </c>
      <c r="E138" s="15">
        <v>46113</v>
      </c>
      <c r="F138" s="14">
        <v>31530544</v>
      </c>
    </row>
    <row r="139" spans="1:6" x14ac:dyDescent="0.3">
      <c r="A139" s="8">
        <v>46135</v>
      </c>
      <c r="B139" t="s">
        <v>459</v>
      </c>
      <c r="C139" t="s">
        <v>1182</v>
      </c>
      <c r="D139" s="1">
        <v>18000</v>
      </c>
      <c r="E139" s="15">
        <v>46113</v>
      </c>
      <c r="F139" s="14">
        <v>12378302</v>
      </c>
    </row>
    <row r="140" spans="1:6" x14ac:dyDescent="0.3">
      <c r="A140" s="8">
        <v>46135</v>
      </c>
      <c r="B140" t="s">
        <v>460</v>
      </c>
      <c r="C140" t="s">
        <v>77</v>
      </c>
      <c r="D140" s="1">
        <v>12600</v>
      </c>
      <c r="E140" s="15">
        <v>46113</v>
      </c>
      <c r="F140" s="14">
        <v>12380769</v>
      </c>
    </row>
    <row r="141" spans="1:6" x14ac:dyDescent="0.3">
      <c r="A141" s="8">
        <v>46135</v>
      </c>
      <c r="B141" t="s">
        <v>429</v>
      </c>
      <c r="C141" t="s">
        <v>81</v>
      </c>
      <c r="D141" s="1">
        <v>9800</v>
      </c>
      <c r="E141" s="15">
        <v>46113</v>
      </c>
      <c r="F141" s="14">
        <v>12385634</v>
      </c>
    </row>
    <row r="142" spans="1:6" x14ac:dyDescent="0.3">
      <c r="A142" s="8">
        <v>46135</v>
      </c>
      <c r="B142" t="s">
        <v>429</v>
      </c>
      <c r="C142" t="s">
        <v>81</v>
      </c>
      <c r="D142" s="1">
        <v>29200</v>
      </c>
      <c r="E142" s="15">
        <v>46113</v>
      </c>
      <c r="F142" s="14">
        <v>12386013</v>
      </c>
    </row>
    <row r="143" spans="1:6" x14ac:dyDescent="0.3">
      <c r="A143" s="8">
        <v>46135</v>
      </c>
      <c r="B143" t="s">
        <v>35</v>
      </c>
      <c r="C143" t="s">
        <v>95</v>
      </c>
      <c r="D143" s="1">
        <v>196630</v>
      </c>
      <c r="E143" s="15">
        <v>46113</v>
      </c>
      <c r="F143" s="14">
        <v>31572414</v>
      </c>
    </row>
    <row r="144" spans="1:6" x14ac:dyDescent="0.3">
      <c r="A144" s="8">
        <v>46135</v>
      </c>
      <c r="B144" t="s">
        <v>461</v>
      </c>
      <c r="C144" t="s">
        <v>77</v>
      </c>
      <c r="D144" s="1">
        <v>15200</v>
      </c>
      <c r="E144" s="15">
        <v>46113</v>
      </c>
      <c r="F144" s="14">
        <v>12389311</v>
      </c>
    </row>
    <row r="145" spans="1:6" x14ac:dyDescent="0.3">
      <c r="A145" s="8">
        <v>46135</v>
      </c>
      <c r="B145" t="s">
        <v>35</v>
      </c>
      <c r="C145" t="s">
        <v>95</v>
      </c>
      <c r="D145" s="1">
        <v>20000</v>
      </c>
      <c r="E145" s="15">
        <v>46113</v>
      </c>
      <c r="F145" s="14">
        <v>31572887</v>
      </c>
    </row>
    <row r="146" spans="1:6" x14ac:dyDescent="0.3">
      <c r="A146" s="8">
        <v>46136</v>
      </c>
      <c r="B146" t="s">
        <v>35</v>
      </c>
      <c r="C146" t="s">
        <v>95</v>
      </c>
      <c r="D146" s="1">
        <v>106000</v>
      </c>
      <c r="E146" s="15">
        <v>46113</v>
      </c>
      <c r="F146" s="14">
        <v>31590054</v>
      </c>
    </row>
    <row r="147" spans="1:6" x14ac:dyDescent="0.3">
      <c r="A147" s="8">
        <v>46136</v>
      </c>
      <c r="B147" t="s">
        <v>35</v>
      </c>
      <c r="C147" t="s">
        <v>95</v>
      </c>
      <c r="D147" s="1">
        <v>20000</v>
      </c>
      <c r="E147" s="15">
        <v>46113</v>
      </c>
      <c r="F147" s="14">
        <v>31598816</v>
      </c>
    </row>
    <row r="148" spans="1:6" x14ac:dyDescent="0.3">
      <c r="A148" s="8">
        <v>46136</v>
      </c>
      <c r="B148" t="s">
        <v>461</v>
      </c>
      <c r="C148" t="s">
        <v>77</v>
      </c>
      <c r="D148" s="1">
        <v>15200</v>
      </c>
      <c r="E148" s="15">
        <v>46113</v>
      </c>
      <c r="F148" s="14">
        <v>12405183</v>
      </c>
    </row>
    <row r="149" spans="1:6" x14ac:dyDescent="0.3">
      <c r="A149" s="8">
        <v>46136</v>
      </c>
      <c r="B149" t="s">
        <v>35</v>
      </c>
      <c r="C149" t="s">
        <v>95</v>
      </c>
      <c r="D149" s="1">
        <v>363300</v>
      </c>
      <c r="E149" s="15">
        <v>46113</v>
      </c>
      <c r="F149" s="14">
        <v>31603487</v>
      </c>
    </row>
    <row r="150" spans="1:6" x14ac:dyDescent="0.3">
      <c r="A150" s="8">
        <v>46136</v>
      </c>
      <c r="B150" t="s">
        <v>434</v>
      </c>
      <c r="C150" t="s">
        <v>76</v>
      </c>
      <c r="D150" s="1">
        <v>892885.99</v>
      </c>
      <c r="E150" s="15">
        <v>46113</v>
      </c>
      <c r="F150" s="14">
        <v>12085098</v>
      </c>
    </row>
    <row r="151" spans="1:6" x14ac:dyDescent="0.3">
      <c r="A151" s="8">
        <v>46136</v>
      </c>
      <c r="B151" t="s">
        <v>434</v>
      </c>
      <c r="C151" t="s">
        <v>76</v>
      </c>
      <c r="D151" s="1">
        <v>2776157.9</v>
      </c>
      <c r="E151" s="15">
        <v>46113</v>
      </c>
      <c r="F151" s="14">
        <v>12085206</v>
      </c>
    </row>
    <row r="152" spans="1:6" x14ac:dyDescent="0.3">
      <c r="A152" s="8">
        <v>46136</v>
      </c>
      <c r="B152" t="s">
        <v>35</v>
      </c>
      <c r="C152" t="s">
        <v>95</v>
      </c>
      <c r="D152" s="1">
        <v>80000</v>
      </c>
      <c r="E152" s="15">
        <v>46113</v>
      </c>
      <c r="F152" s="14">
        <v>31621848</v>
      </c>
    </row>
    <row r="153" spans="1:6" x14ac:dyDescent="0.3">
      <c r="A153" s="8">
        <v>46136</v>
      </c>
      <c r="B153" t="s">
        <v>35</v>
      </c>
      <c r="C153" t="s">
        <v>95</v>
      </c>
      <c r="D153" s="1">
        <v>100000</v>
      </c>
      <c r="E153" s="15">
        <v>46113</v>
      </c>
      <c r="F153" s="14">
        <v>31624873</v>
      </c>
    </row>
    <row r="154" spans="1:6" x14ac:dyDescent="0.3">
      <c r="A154" s="8">
        <v>46136</v>
      </c>
      <c r="B154" t="s">
        <v>35</v>
      </c>
      <c r="C154" t="s">
        <v>95</v>
      </c>
      <c r="D154" s="1">
        <v>160770</v>
      </c>
      <c r="E154" s="15">
        <v>46113</v>
      </c>
      <c r="F154" s="14">
        <v>31627533</v>
      </c>
    </row>
    <row r="155" spans="1:6" x14ac:dyDescent="0.3">
      <c r="A155" s="8">
        <v>46136</v>
      </c>
      <c r="B155" t="s">
        <v>35</v>
      </c>
      <c r="C155" t="s">
        <v>95</v>
      </c>
      <c r="D155" s="1">
        <v>191470</v>
      </c>
      <c r="E155" s="15">
        <v>46113</v>
      </c>
      <c r="F155" s="14">
        <v>31627951</v>
      </c>
    </row>
    <row r="156" spans="1:6" x14ac:dyDescent="0.3">
      <c r="A156" s="8">
        <v>46137</v>
      </c>
      <c r="B156" t="s">
        <v>35</v>
      </c>
      <c r="C156" t="s">
        <v>95</v>
      </c>
      <c r="D156" s="1">
        <v>200000</v>
      </c>
      <c r="E156" s="15">
        <v>46113</v>
      </c>
      <c r="F156" s="14">
        <v>31646352</v>
      </c>
    </row>
    <row r="157" spans="1:6" x14ac:dyDescent="0.3">
      <c r="A157" s="8">
        <v>46137</v>
      </c>
      <c r="B157" t="s">
        <v>462</v>
      </c>
      <c r="C157" t="s">
        <v>77</v>
      </c>
      <c r="D157" s="1">
        <v>2900</v>
      </c>
      <c r="E157" s="15">
        <v>46113</v>
      </c>
      <c r="F157" s="14">
        <v>12431251</v>
      </c>
    </row>
    <row r="158" spans="1:6" x14ac:dyDescent="0.3">
      <c r="A158" s="8">
        <v>46137</v>
      </c>
      <c r="B158" t="s">
        <v>35</v>
      </c>
      <c r="C158" t="s">
        <v>95</v>
      </c>
      <c r="D158" s="1">
        <v>363300</v>
      </c>
      <c r="E158" s="15">
        <v>46113</v>
      </c>
      <c r="F158" s="14">
        <v>31651051</v>
      </c>
    </row>
    <row r="159" spans="1:6" x14ac:dyDescent="0.3">
      <c r="A159" s="8">
        <v>46137</v>
      </c>
      <c r="B159" t="s">
        <v>463</v>
      </c>
      <c r="C159" t="s">
        <v>80</v>
      </c>
      <c r="D159" s="1">
        <v>434730.05</v>
      </c>
      <c r="E159" s="15">
        <v>46113</v>
      </c>
      <c r="F159" s="14">
        <v>12433277</v>
      </c>
    </row>
    <row r="160" spans="1:6" x14ac:dyDescent="0.3">
      <c r="A160" s="8">
        <v>46137</v>
      </c>
      <c r="B160" t="s">
        <v>35</v>
      </c>
      <c r="C160" t="s">
        <v>95</v>
      </c>
      <c r="D160" s="1">
        <v>250000</v>
      </c>
      <c r="E160" s="15">
        <v>46113</v>
      </c>
      <c r="F160" s="14">
        <v>31662318</v>
      </c>
    </row>
    <row r="161" spans="1:6" x14ac:dyDescent="0.3">
      <c r="A161" s="8">
        <v>46137</v>
      </c>
      <c r="B161" t="s">
        <v>464</v>
      </c>
      <c r="C161" t="s">
        <v>1182</v>
      </c>
      <c r="D161" s="1">
        <v>69926</v>
      </c>
      <c r="E161" s="15">
        <v>46113</v>
      </c>
      <c r="F161" s="14">
        <v>12443457</v>
      </c>
    </row>
    <row r="162" spans="1:6" x14ac:dyDescent="0.3">
      <c r="A162" s="8">
        <v>46137</v>
      </c>
      <c r="B162" t="s">
        <v>421</v>
      </c>
      <c r="C162" t="s">
        <v>80</v>
      </c>
      <c r="D162" s="1">
        <v>292943.40999999997</v>
      </c>
      <c r="E162" s="15">
        <v>46113</v>
      </c>
      <c r="F162" s="14">
        <v>12450150</v>
      </c>
    </row>
    <row r="163" spans="1:6" x14ac:dyDescent="0.3">
      <c r="A163" s="8">
        <v>46138</v>
      </c>
      <c r="B163" t="s">
        <v>465</v>
      </c>
      <c r="C163" t="s">
        <v>1177</v>
      </c>
      <c r="D163" s="1">
        <v>86700</v>
      </c>
      <c r="E163" s="15">
        <v>46113</v>
      </c>
      <c r="F163" s="14">
        <v>12458313</v>
      </c>
    </row>
    <row r="164" spans="1:6" x14ac:dyDescent="0.3">
      <c r="A164" s="8">
        <v>46138</v>
      </c>
      <c r="B164" t="s">
        <v>49</v>
      </c>
      <c r="C164" t="s">
        <v>80</v>
      </c>
      <c r="D164" s="1">
        <v>42601.37</v>
      </c>
      <c r="E164" s="15">
        <v>46113</v>
      </c>
      <c r="F164" s="14">
        <v>12463741</v>
      </c>
    </row>
    <row r="165" spans="1:6" x14ac:dyDescent="0.3">
      <c r="A165" s="8">
        <v>46138</v>
      </c>
      <c r="B165" t="s">
        <v>49</v>
      </c>
      <c r="C165" t="s">
        <v>80</v>
      </c>
      <c r="D165" s="1">
        <v>36572.53</v>
      </c>
      <c r="E165" s="15">
        <v>46113</v>
      </c>
      <c r="F165" s="14">
        <v>12464065</v>
      </c>
    </row>
    <row r="166" spans="1:6" x14ac:dyDescent="0.3">
      <c r="A166" s="8">
        <v>46138</v>
      </c>
      <c r="B166" t="s">
        <v>49</v>
      </c>
      <c r="C166" t="s">
        <v>80</v>
      </c>
      <c r="D166" s="1">
        <v>46196.88</v>
      </c>
      <c r="E166" s="15">
        <v>46113</v>
      </c>
      <c r="F166" s="14">
        <v>12464366</v>
      </c>
    </row>
    <row r="167" spans="1:6" x14ac:dyDescent="0.3">
      <c r="A167" s="8">
        <v>46138</v>
      </c>
      <c r="B167" t="s">
        <v>466</v>
      </c>
      <c r="C167" t="s">
        <v>1188</v>
      </c>
      <c r="D167" s="1">
        <v>32686.47</v>
      </c>
      <c r="E167" s="15">
        <v>46113</v>
      </c>
      <c r="F167" s="14">
        <v>12465688</v>
      </c>
    </row>
    <row r="168" spans="1:6" x14ac:dyDescent="0.3">
      <c r="A168" s="8">
        <v>46138</v>
      </c>
      <c r="B168" t="s">
        <v>467</v>
      </c>
      <c r="C168" t="s">
        <v>80</v>
      </c>
      <c r="D168" s="1">
        <v>18159.150000000001</v>
      </c>
      <c r="E168" s="15">
        <v>46113</v>
      </c>
      <c r="F168" s="14">
        <v>12467414</v>
      </c>
    </row>
    <row r="169" spans="1:6" x14ac:dyDescent="0.3">
      <c r="A169" s="8">
        <v>46138</v>
      </c>
      <c r="B169" t="s">
        <v>49</v>
      </c>
      <c r="C169" t="s">
        <v>80</v>
      </c>
      <c r="D169" s="1">
        <v>36790.44</v>
      </c>
      <c r="E169" s="15">
        <v>46113</v>
      </c>
      <c r="F169" s="14">
        <v>12467803</v>
      </c>
    </row>
    <row r="170" spans="1:6" x14ac:dyDescent="0.3">
      <c r="A170" s="8">
        <v>46138</v>
      </c>
      <c r="B170" t="s">
        <v>49</v>
      </c>
      <c r="C170" t="s">
        <v>80</v>
      </c>
      <c r="D170" s="1">
        <v>41548.14</v>
      </c>
      <c r="E170" s="15">
        <v>46113</v>
      </c>
      <c r="F170" s="14">
        <v>12468658</v>
      </c>
    </row>
    <row r="171" spans="1:6" x14ac:dyDescent="0.3">
      <c r="A171" s="8">
        <v>46138</v>
      </c>
      <c r="B171" t="s">
        <v>49</v>
      </c>
      <c r="C171" t="s">
        <v>80</v>
      </c>
      <c r="D171" s="1">
        <v>39877.49</v>
      </c>
      <c r="E171" s="15">
        <v>46113</v>
      </c>
      <c r="F171" s="14">
        <v>12469528</v>
      </c>
    </row>
    <row r="172" spans="1:6" x14ac:dyDescent="0.3">
      <c r="A172" s="8">
        <v>46138</v>
      </c>
      <c r="B172" t="s">
        <v>49</v>
      </c>
      <c r="C172" t="s">
        <v>80</v>
      </c>
      <c r="D172" s="1">
        <v>40422.269999999997</v>
      </c>
      <c r="E172" s="15">
        <v>46113</v>
      </c>
      <c r="F172" s="14">
        <v>12470077</v>
      </c>
    </row>
    <row r="173" spans="1:6" x14ac:dyDescent="0.3">
      <c r="A173" s="8">
        <v>46138</v>
      </c>
      <c r="B173" t="s">
        <v>49</v>
      </c>
      <c r="C173" t="s">
        <v>80</v>
      </c>
      <c r="D173" s="1">
        <v>42274.5</v>
      </c>
      <c r="E173" s="15">
        <v>46113</v>
      </c>
      <c r="F173" s="14">
        <v>12470695</v>
      </c>
    </row>
    <row r="174" spans="1:6" x14ac:dyDescent="0.3">
      <c r="A174" s="8">
        <v>46139</v>
      </c>
      <c r="B174" t="s">
        <v>468</v>
      </c>
      <c r="C174" t="s">
        <v>1188</v>
      </c>
      <c r="D174" s="1">
        <v>26222</v>
      </c>
      <c r="E174" s="15">
        <v>46113</v>
      </c>
      <c r="F174" s="14">
        <v>12481116</v>
      </c>
    </row>
    <row r="175" spans="1:6" x14ac:dyDescent="0.3">
      <c r="A175" s="8">
        <v>46139</v>
      </c>
      <c r="B175" t="s">
        <v>459</v>
      </c>
      <c r="C175" t="s">
        <v>1182</v>
      </c>
      <c r="D175" s="1">
        <v>9500</v>
      </c>
      <c r="E175" s="15">
        <v>46113</v>
      </c>
      <c r="F175" s="14">
        <v>12481319</v>
      </c>
    </row>
    <row r="176" spans="1:6" x14ac:dyDescent="0.3">
      <c r="A176" s="8">
        <v>46139</v>
      </c>
      <c r="B176" t="s">
        <v>35</v>
      </c>
      <c r="C176" t="s">
        <v>95</v>
      </c>
      <c r="D176" s="1">
        <v>2300000</v>
      </c>
      <c r="E176" s="15">
        <v>46113</v>
      </c>
      <c r="F176" s="14">
        <v>31738663</v>
      </c>
    </row>
    <row r="177" spans="1:6" x14ac:dyDescent="0.3">
      <c r="A177" s="8">
        <v>46139</v>
      </c>
      <c r="B177" t="s">
        <v>429</v>
      </c>
      <c r="C177" t="s">
        <v>81</v>
      </c>
      <c r="D177" s="1">
        <v>34590</v>
      </c>
      <c r="E177" s="15">
        <v>46113</v>
      </c>
      <c r="F177" s="14">
        <v>12489530</v>
      </c>
    </row>
    <row r="178" spans="1:6" x14ac:dyDescent="0.3">
      <c r="A178" s="8">
        <v>46139</v>
      </c>
      <c r="B178" t="s">
        <v>469</v>
      </c>
      <c r="C178" t="s">
        <v>77</v>
      </c>
      <c r="D178" s="1">
        <v>40000</v>
      </c>
      <c r="E178" s="15">
        <v>46113</v>
      </c>
      <c r="F178" s="14">
        <v>12491042</v>
      </c>
    </row>
    <row r="179" spans="1:6" x14ac:dyDescent="0.3">
      <c r="A179" s="8">
        <v>46139</v>
      </c>
      <c r="B179" t="s">
        <v>35</v>
      </c>
      <c r="C179" t="s">
        <v>95</v>
      </c>
      <c r="D179" s="1">
        <v>150000</v>
      </c>
      <c r="E179" s="15">
        <v>46113</v>
      </c>
      <c r="F179" s="14">
        <v>31753617</v>
      </c>
    </row>
    <row r="180" spans="1:6" x14ac:dyDescent="0.3">
      <c r="A180" s="8">
        <v>46139</v>
      </c>
      <c r="B180" t="s">
        <v>470</v>
      </c>
      <c r="C180" t="s">
        <v>80</v>
      </c>
      <c r="D180" s="1">
        <v>431040.61</v>
      </c>
      <c r="E180" s="15">
        <v>46113</v>
      </c>
      <c r="F180" s="14">
        <v>12495939</v>
      </c>
    </row>
    <row r="181" spans="1:6" x14ac:dyDescent="0.3">
      <c r="A181" s="8">
        <v>46139</v>
      </c>
      <c r="B181" t="s">
        <v>429</v>
      </c>
      <c r="C181" t="s">
        <v>81</v>
      </c>
      <c r="D181" s="1">
        <v>23800</v>
      </c>
      <c r="E181" s="15">
        <v>46113</v>
      </c>
      <c r="F181" s="14">
        <v>12497318</v>
      </c>
    </row>
    <row r="182" spans="1:6" x14ac:dyDescent="0.3">
      <c r="A182" s="8">
        <v>46139</v>
      </c>
      <c r="B182" t="s">
        <v>49</v>
      </c>
      <c r="C182" t="s">
        <v>80</v>
      </c>
      <c r="D182" s="1">
        <v>41981.18</v>
      </c>
      <c r="E182" s="15">
        <v>46113</v>
      </c>
      <c r="F182" s="14">
        <v>12497702</v>
      </c>
    </row>
    <row r="183" spans="1:6" x14ac:dyDescent="0.3">
      <c r="A183" s="8">
        <v>46139</v>
      </c>
      <c r="B183" t="s">
        <v>461</v>
      </c>
      <c r="C183" t="s">
        <v>77</v>
      </c>
      <c r="D183" s="1">
        <v>15200</v>
      </c>
      <c r="E183" s="15">
        <v>46113</v>
      </c>
      <c r="F183" s="14">
        <v>12497939</v>
      </c>
    </row>
    <row r="184" spans="1:6" x14ac:dyDescent="0.3">
      <c r="A184" s="8">
        <v>46140</v>
      </c>
      <c r="B184" t="s">
        <v>35</v>
      </c>
      <c r="C184" t="s">
        <v>95</v>
      </c>
      <c r="D184" s="1">
        <v>1816500</v>
      </c>
      <c r="E184" s="15">
        <v>46113</v>
      </c>
      <c r="F184" s="14">
        <v>31803259</v>
      </c>
    </row>
    <row r="185" spans="1:6" x14ac:dyDescent="0.3">
      <c r="A185" s="8">
        <v>46140</v>
      </c>
      <c r="B185" t="s">
        <v>35</v>
      </c>
      <c r="C185" t="s">
        <v>95</v>
      </c>
      <c r="D185" s="1">
        <v>1820000</v>
      </c>
      <c r="E185" s="15">
        <v>46113</v>
      </c>
      <c r="F185" s="14">
        <v>31804282</v>
      </c>
    </row>
    <row r="186" spans="1:6" x14ac:dyDescent="0.3">
      <c r="A186" s="8">
        <v>46140</v>
      </c>
      <c r="B186" t="s">
        <v>450</v>
      </c>
      <c r="C186" t="s">
        <v>80</v>
      </c>
      <c r="D186" s="1">
        <v>217336.28</v>
      </c>
      <c r="E186" s="15">
        <v>46113</v>
      </c>
      <c r="F186" s="14">
        <v>12517963</v>
      </c>
    </row>
    <row r="187" spans="1:6" x14ac:dyDescent="0.3">
      <c r="A187" s="8">
        <v>46140</v>
      </c>
      <c r="B187" t="s">
        <v>35</v>
      </c>
      <c r="C187" t="s">
        <v>95</v>
      </c>
      <c r="D187" s="1">
        <v>650000</v>
      </c>
      <c r="E187" s="15">
        <v>46113</v>
      </c>
      <c r="F187" s="14">
        <v>31808418</v>
      </c>
    </row>
    <row r="188" spans="1:6" x14ac:dyDescent="0.3">
      <c r="A188" s="8">
        <v>46140</v>
      </c>
      <c r="B188" t="s">
        <v>461</v>
      </c>
      <c r="C188" t="s">
        <v>77</v>
      </c>
      <c r="D188" s="1">
        <v>15200</v>
      </c>
      <c r="E188" s="15">
        <v>46113</v>
      </c>
      <c r="F188" s="14">
        <v>12518501</v>
      </c>
    </row>
    <row r="189" spans="1:6" x14ac:dyDescent="0.3">
      <c r="A189" s="8">
        <v>46140</v>
      </c>
      <c r="B189" t="s">
        <v>35</v>
      </c>
      <c r="C189" t="s">
        <v>95</v>
      </c>
      <c r="D189" s="1">
        <v>15000</v>
      </c>
      <c r="E189" s="15">
        <v>46113</v>
      </c>
      <c r="F189" s="14">
        <v>31814738</v>
      </c>
    </row>
    <row r="190" spans="1:6" x14ac:dyDescent="0.3">
      <c r="A190" s="8">
        <v>46141</v>
      </c>
      <c r="B190" t="s">
        <v>35</v>
      </c>
      <c r="C190" t="s">
        <v>95</v>
      </c>
      <c r="D190" s="1">
        <v>30000</v>
      </c>
      <c r="E190" s="15">
        <v>46113</v>
      </c>
      <c r="F190" s="14">
        <v>31825898</v>
      </c>
    </row>
    <row r="191" spans="1:6" x14ac:dyDescent="0.3">
      <c r="A191" s="8">
        <v>46141</v>
      </c>
      <c r="B191" t="s">
        <v>35</v>
      </c>
      <c r="C191" t="s">
        <v>95</v>
      </c>
      <c r="D191" s="1">
        <v>1300000</v>
      </c>
      <c r="E191" s="15">
        <v>46113</v>
      </c>
      <c r="F191" s="14">
        <v>31847251</v>
      </c>
    </row>
    <row r="192" spans="1:6" x14ac:dyDescent="0.3">
      <c r="A192" s="8">
        <v>46141</v>
      </c>
      <c r="B192" t="s">
        <v>471</v>
      </c>
      <c r="C192" t="s">
        <v>97</v>
      </c>
      <c r="D192" s="1">
        <v>650000</v>
      </c>
      <c r="E192" s="15">
        <v>46113</v>
      </c>
      <c r="F192" s="14"/>
    </row>
    <row r="193" spans="1:6" x14ac:dyDescent="0.3">
      <c r="A193" s="8">
        <v>46141</v>
      </c>
      <c r="B193" t="s">
        <v>35</v>
      </c>
      <c r="C193" t="s">
        <v>95</v>
      </c>
      <c r="D193" s="1">
        <v>331000</v>
      </c>
      <c r="E193" s="15">
        <v>46113</v>
      </c>
      <c r="F193" s="14">
        <v>31856931</v>
      </c>
    </row>
    <row r="194" spans="1:6" x14ac:dyDescent="0.3">
      <c r="A194" s="8">
        <v>46142</v>
      </c>
      <c r="B194" t="s">
        <v>35</v>
      </c>
      <c r="C194" t="s">
        <v>95</v>
      </c>
      <c r="D194" s="1">
        <v>70000</v>
      </c>
      <c r="E194" s="15">
        <v>46113</v>
      </c>
      <c r="F194" s="14">
        <v>31884546</v>
      </c>
    </row>
    <row r="195" spans="1:6" x14ac:dyDescent="0.3">
      <c r="A195" s="8">
        <v>46142</v>
      </c>
      <c r="B195" t="s">
        <v>35</v>
      </c>
      <c r="C195" t="s">
        <v>95</v>
      </c>
      <c r="D195" s="1">
        <v>106000</v>
      </c>
      <c r="E195" s="15">
        <v>46113</v>
      </c>
      <c r="F195" s="14">
        <v>31884729</v>
      </c>
    </row>
    <row r="196" spans="1:6" x14ac:dyDescent="0.3">
      <c r="A196" s="8">
        <v>46142</v>
      </c>
      <c r="B196" t="s">
        <v>35</v>
      </c>
      <c r="C196" t="s">
        <v>95</v>
      </c>
      <c r="D196" s="1">
        <v>262000</v>
      </c>
      <c r="E196" s="15">
        <v>46113</v>
      </c>
      <c r="F196" s="14">
        <v>31903737</v>
      </c>
    </row>
    <row r="197" spans="1:6" x14ac:dyDescent="0.3">
      <c r="A197" s="8">
        <v>46142</v>
      </c>
      <c r="B197" t="s">
        <v>35</v>
      </c>
      <c r="C197" t="s">
        <v>95</v>
      </c>
      <c r="D197" s="1">
        <v>1524700</v>
      </c>
      <c r="E197" s="15">
        <v>46113</v>
      </c>
      <c r="F197" s="14">
        <v>31908464</v>
      </c>
    </row>
    <row r="198" spans="1:6" x14ac:dyDescent="0.3">
      <c r="A198" s="8">
        <v>46142</v>
      </c>
      <c r="B198" t="s">
        <v>472</v>
      </c>
      <c r="C198" t="s">
        <v>97</v>
      </c>
      <c r="D198" s="1">
        <v>2100000</v>
      </c>
      <c r="E198" s="15">
        <v>46113</v>
      </c>
      <c r="F198" s="14"/>
    </row>
    <row r="199" spans="1:6" x14ac:dyDescent="0.3">
      <c r="A199" s="8">
        <v>46142</v>
      </c>
      <c r="B199" t="s">
        <v>35</v>
      </c>
      <c r="C199" t="s">
        <v>95</v>
      </c>
      <c r="D199" s="1">
        <v>3614953</v>
      </c>
      <c r="E199" s="15">
        <v>46113</v>
      </c>
      <c r="F199" s="14">
        <v>31932306</v>
      </c>
    </row>
    <row r="200" spans="1:6" x14ac:dyDescent="0.3">
      <c r="A200" s="8">
        <v>46142</v>
      </c>
      <c r="B200" t="s">
        <v>35</v>
      </c>
      <c r="C200" t="s">
        <v>95</v>
      </c>
      <c r="D200" s="1">
        <v>1631924</v>
      </c>
      <c r="E200" s="15">
        <v>46113</v>
      </c>
      <c r="F200" s="14">
        <v>31933000</v>
      </c>
    </row>
    <row r="201" spans="1:6" x14ac:dyDescent="0.3">
      <c r="A201" s="8">
        <v>46142</v>
      </c>
      <c r="B201" t="s">
        <v>35</v>
      </c>
      <c r="C201" t="s">
        <v>95</v>
      </c>
      <c r="D201" s="1">
        <v>1600000</v>
      </c>
      <c r="E201" s="15">
        <v>46113</v>
      </c>
      <c r="F201" s="14">
        <v>31934142</v>
      </c>
    </row>
    <row r="202" spans="1:6" x14ac:dyDescent="0.3">
      <c r="A202" s="8">
        <v>46142</v>
      </c>
      <c r="B202" t="s">
        <v>473</v>
      </c>
      <c r="C202" t="s">
        <v>91</v>
      </c>
      <c r="D202" s="1">
        <v>1149999</v>
      </c>
      <c r="E202" s="15">
        <v>46113</v>
      </c>
      <c r="F202" s="14">
        <v>12202505</v>
      </c>
    </row>
    <row r="203" spans="1:6" x14ac:dyDescent="0.3">
      <c r="A203" s="8">
        <v>46142</v>
      </c>
      <c r="B203" t="s">
        <v>35</v>
      </c>
      <c r="C203" t="s">
        <v>95</v>
      </c>
      <c r="D203" s="1">
        <v>212000</v>
      </c>
      <c r="E203" s="15">
        <v>46113</v>
      </c>
      <c r="F203" s="14">
        <v>31940883</v>
      </c>
    </row>
    <row r="204" spans="1:6" x14ac:dyDescent="0.3">
      <c r="A204" s="8">
        <v>46142</v>
      </c>
      <c r="B204" t="s">
        <v>474</v>
      </c>
      <c r="C204" t="s">
        <v>1190</v>
      </c>
      <c r="D204" s="1">
        <v>741688.96</v>
      </c>
      <c r="E204" s="15">
        <v>46113</v>
      </c>
      <c r="F204" s="14"/>
    </row>
    <row r="205" spans="1:6" x14ac:dyDescent="0.3">
      <c r="A205" s="8">
        <v>46142</v>
      </c>
      <c r="B205" t="s">
        <v>475</v>
      </c>
      <c r="C205" t="s">
        <v>1190</v>
      </c>
      <c r="D205" s="1">
        <v>4523.5200000000004</v>
      </c>
      <c r="E205" s="15">
        <v>46113</v>
      </c>
      <c r="F205" s="14"/>
    </row>
    <row r="206" spans="1:6" x14ac:dyDescent="0.3">
      <c r="A206" s="8">
        <v>46142</v>
      </c>
      <c r="B206" t="s">
        <v>476</v>
      </c>
      <c r="C206" t="s">
        <v>78</v>
      </c>
      <c r="D206" s="1">
        <v>27457</v>
      </c>
      <c r="E206" s="15">
        <v>46113</v>
      </c>
      <c r="F206" s="14"/>
    </row>
    <row r="207" spans="1:6" x14ac:dyDescent="0.3">
      <c r="A207" s="8">
        <v>46143</v>
      </c>
      <c r="B207" t="s">
        <v>480</v>
      </c>
      <c r="C207" t="s">
        <v>80</v>
      </c>
      <c r="D207" s="1">
        <v>33716</v>
      </c>
      <c r="E207" s="15">
        <v>46143</v>
      </c>
      <c r="F207" s="14" t="s">
        <v>517</v>
      </c>
    </row>
    <row r="208" spans="1:6" x14ac:dyDescent="0.3">
      <c r="A208" s="8">
        <v>46143</v>
      </c>
      <c r="B208" t="s">
        <v>481</v>
      </c>
      <c r="C208" t="s">
        <v>80</v>
      </c>
      <c r="D208" s="1">
        <v>17850</v>
      </c>
      <c r="E208" s="15">
        <v>46143</v>
      </c>
      <c r="F208" s="14" t="s">
        <v>518</v>
      </c>
    </row>
    <row r="209" spans="1:6" x14ac:dyDescent="0.3">
      <c r="A209" s="8">
        <v>46143</v>
      </c>
      <c r="B209" t="s">
        <v>64</v>
      </c>
      <c r="C209" t="s">
        <v>80</v>
      </c>
      <c r="D209" s="1">
        <v>144804</v>
      </c>
      <c r="E209" s="15">
        <v>46143</v>
      </c>
      <c r="F209" s="14" t="s">
        <v>519</v>
      </c>
    </row>
    <row r="210" spans="1:6" x14ac:dyDescent="0.3">
      <c r="A210" s="8">
        <v>46143</v>
      </c>
      <c r="B210" t="s">
        <v>46</v>
      </c>
      <c r="C210" t="s">
        <v>80</v>
      </c>
      <c r="D210" s="1">
        <v>420595.07</v>
      </c>
      <c r="E210" s="15">
        <v>46143</v>
      </c>
      <c r="F210" s="14" t="s">
        <v>520</v>
      </c>
    </row>
    <row r="211" spans="1:6" x14ac:dyDescent="0.3">
      <c r="A211" s="8">
        <v>46145</v>
      </c>
      <c r="B211" t="s">
        <v>482</v>
      </c>
      <c r="C211" t="s">
        <v>1188</v>
      </c>
      <c r="D211" s="1">
        <v>23000</v>
      </c>
      <c r="E211" s="15">
        <v>46143</v>
      </c>
      <c r="F211" s="14" t="s">
        <v>521</v>
      </c>
    </row>
    <row r="212" spans="1:6" x14ac:dyDescent="0.3">
      <c r="A212" s="8">
        <v>46146</v>
      </c>
      <c r="B212" t="s">
        <v>35</v>
      </c>
      <c r="C212" t="s">
        <v>95</v>
      </c>
      <c r="D212" s="1">
        <v>300000</v>
      </c>
      <c r="E212" s="15">
        <v>46143</v>
      </c>
      <c r="F212" s="14" t="s">
        <v>522</v>
      </c>
    </row>
    <row r="213" spans="1:6" x14ac:dyDescent="0.3">
      <c r="A213" s="8">
        <v>46146</v>
      </c>
      <c r="B213" t="s">
        <v>35</v>
      </c>
      <c r="C213" t="s">
        <v>95</v>
      </c>
      <c r="D213" s="1">
        <v>20000</v>
      </c>
      <c r="E213" s="15">
        <v>46143</v>
      </c>
      <c r="F213" s="14" t="s">
        <v>523</v>
      </c>
    </row>
    <row r="214" spans="1:6" x14ac:dyDescent="0.3">
      <c r="A214" s="8">
        <v>46146</v>
      </c>
      <c r="B214" t="s">
        <v>56</v>
      </c>
      <c r="C214" t="s">
        <v>77</v>
      </c>
      <c r="D214" s="1">
        <v>60000</v>
      </c>
      <c r="E214" s="15">
        <v>46143</v>
      </c>
      <c r="F214" s="14" t="s">
        <v>524</v>
      </c>
    </row>
    <row r="215" spans="1:6" x14ac:dyDescent="0.3">
      <c r="A215" s="8">
        <v>46146</v>
      </c>
      <c r="B215" t="s">
        <v>35</v>
      </c>
      <c r="C215" t="s">
        <v>95</v>
      </c>
      <c r="D215" s="1">
        <v>550000</v>
      </c>
      <c r="E215" s="15">
        <v>46143</v>
      </c>
      <c r="F215" s="14" t="s">
        <v>525</v>
      </c>
    </row>
    <row r="216" spans="1:6" x14ac:dyDescent="0.3">
      <c r="A216" s="8">
        <v>46146</v>
      </c>
      <c r="B216" t="s">
        <v>35</v>
      </c>
      <c r="C216" t="s">
        <v>95</v>
      </c>
      <c r="D216" s="1">
        <v>666093</v>
      </c>
      <c r="E216" s="15">
        <v>46143</v>
      </c>
      <c r="F216" s="14" t="s">
        <v>526</v>
      </c>
    </row>
    <row r="217" spans="1:6" x14ac:dyDescent="0.3">
      <c r="A217" s="8">
        <v>46146</v>
      </c>
      <c r="B217" t="s">
        <v>35</v>
      </c>
      <c r="C217" t="s">
        <v>95</v>
      </c>
      <c r="D217" s="1">
        <v>683282</v>
      </c>
      <c r="E217" s="15">
        <v>46143</v>
      </c>
      <c r="F217" s="14" t="s">
        <v>527</v>
      </c>
    </row>
    <row r="218" spans="1:6" x14ac:dyDescent="0.3">
      <c r="A218" s="8">
        <v>46146</v>
      </c>
      <c r="B218" t="s">
        <v>35</v>
      </c>
      <c r="C218" t="s">
        <v>95</v>
      </c>
      <c r="D218" s="1">
        <v>1816500</v>
      </c>
      <c r="E218" s="15">
        <v>46143</v>
      </c>
      <c r="F218" s="14" t="s">
        <v>528</v>
      </c>
    </row>
    <row r="219" spans="1:6" x14ac:dyDescent="0.3">
      <c r="A219" s="8">
        <v>46146</v>
      </c>
      <c r="B219" t="s">
        <v>461</v>
      </c>
      <c r="C219" t="s">
        <v>77</v>
      </c>
      <c r="D219" s="1">
        <v>15200</v>
      </c>
      <c r="E219" s="15">
        <v>46143</v>
      </c>
      <c r="F219" s="14" t="s">
        <v>529</v>
      </c>
    </row>
    <row r="220" spans="1:6" x14ac:dyDescent="0.3">
      <c r="A220" s="8">
        <v>46146</v>
      </c>
      <c r="B220" t="s">
        <v>35</v>
      </c>
      <c r="C220" t="s">
        <v>95</v>
      </c>
      <c r="D220" s="1">
        <v>1257000</v>
      </c>
      <c r="E220" s="15">
        <v>46143</v>
      </c>
      <c r="F220" s="14" t="s">
        <v>530</v>
      </c>
    </row>
    <row r="221" spans="1:6" x14ac:dyDescent="0.3">
      <c r="A221" s="8">
        <v>46146</v>
      </c>
      <c r="B221" t="s">
        <v>35</v>
      </c>
      <c r="C221" t="s">
        <v>95</v>
      </c>
      <c r="D221" s="1">
        <v>1816500</v>
      </c>
      <c r="E221" s="15">
        <v>46143</v>
      </c>
      <c r="F221" s="14" t="s">
        <v>531</v>
      </c>
    </row>
    <row r="222" spans="1:6" x14ac:dyDescent="0.3">
      <c r="A222" s="8">
        <v>46146</v>
      </c>
      <c r="B222" t="s">
        <v>35</v>
      </c>
      <c r="C222" t="s">
        <v>95</v>
      </c>
      <c r="D222" s="1">
        <v>1270000</v>
      </c>
      <c r="E222" s="15">
        <v>46143</v>
      </c>
      <c r="F222" s="14" t="s">
        <v>532</v>
      </c>
    </row>
    <row r="223" spans="1:6" x14ac:dyDescent="0.3">
      <c r="A223" s="8">
        <v>46146</v>
      </c>
      <c r="B223" t="s">
        <v>35</v>
      </c>
      <c r="C223" t="s">
        <v>95</v>
      </c>
      <c r="D223" s="1">
        <v>170000</v>
      </c>
      <c r="E223" s="15">
        <v>46143</v>
      </c>
      <c r="F223" s="14" t="s">
        <v>533</v>
      </c>
    </row>
    <row r="224" spans="1:6" x14ac:dyDescent="0.3">
      <c r="A224" s="8">
        <v>46147</v>
      </c>
      <c r="B224" t="s">
        <v>483</v>
      </c>
      <c r="C224" t="s">
        <v>1177</v>
      </c>
      <c r="D224" s="1">
        <v>164900</v>
      </c>
      <c r="E224" s="15">
        <v>46143</v>
      </c>
      <c r="F224" s="14" t="s">
        <v>534</v>
      </c>
    </row>
    <row r="225" spans="1:6" x14ac:dyDescent="0.3">
      <c r="A225" s="8">
        <v>46147</v>
      </c>
      <c r="B225" t="s">
        <v>484</v>
      </c>
      <c r="C225" t="s">
        <v>81</v>
      </c>
      <c r="D225" s="1">
        <v>34150</v>
      </c>
      <c r="E225" s="15">
        <v>46143</v>
      </c>
      <c r="F225" s="14" t="s">
        <v>535</v>
      </c>
    </row>
    <row r="226" spans="1:6" x14ac:dyDescent="0.3">
      <c r="A226" s="8">
        <v>46147</v>
      </c>
      <c r="B226" t="s">
        <v>41</v>
      </c>
      <c r="C226" t="s">
        <v>97</v>
      </c>
      <c r="D226" s="1">
        <v>1000000</v>
      </c>
      <c r="E226" s="15">
        <v>46143</v>
      </c>
      <c r="F226" s="14" t="s">
        <v>536</v>
      </c>
    </row>
    <row r="227" spans="1:6" x14ac:dyDescent="0.3">
      <c r="A227" s="8">
        <v>46148</v>
      </c>
      <c r="B227" t="s">
        <v>429</v>
      </c>
      <c r="C227" t="s">
        <v>81</v>
      </c>
      <c r="D227" s="1">
        <v>17800</v>
      </c>
      <c r="E227" s="15">
        <v>46143</v>
      </c>
      <c r="F227" s="14" t="s">
        <v>537</v>
      </c>
    </row>
    <row r="228" spans="1:6" x14ac:dyDescent="0.3">
      <c r="A228" s="8">
        <v>46148</v>
      </c>
      <c r="B228" t="s">
        <v>426</v>
      </c>
      <c r="C228" t="s">
        <v>80</v>
      </c>
      <c r="D228" s="1">
        <v>30500</v>
      </c>
      <c r="E228" s="15">
        <v>46143</v>
      </c>
      <c r="F228" s="14" t="s">
        <v>538</v>
      </c>
    </row>
    <row r="229" spans="1:6" x14ac:dyDescent="0.3">
      <c r="A229" s="8">
        <v>46148</v>
      </c>
      <c r="B229" t="s">
        <v>485</v>
      </c>
      <c r="C229" t="s">
        <v>1188</v>
      </c>
      <c r="D229" s="1">
        <v>4709.2700000000004</v>
      </c>
      <c r="E229" s="15">
        <v>46143</v>
      </c>
      <c r="F229" s="14" t="s">
        <v>539</v>
      </c>
    </row>
    <row r="230" spans="1:6" x14ac:dyDescent="0.3">
      <c r="A230" s="8">
        <v>46148</v>
      </c>
      <c r="B230" t="s">
        <v>63</v>
      </c>
      <c r="C230" t="s">
        <v>1188</v>
      </c>
      <c r="D230" s="1">
        <v>201700</v>
      </c>
      <c r="E230" s="15">
        <v>46143</v>
      </c>
      <c r="F230" s="14" t="s">
        <v>540</v>
      </c>
    </row>
    <row r="231" spans="1:6" x14ac:dyDescent="0.3">
      <c r="A231" s="8">
        <v>46148</v>
      </c>
      <c r="B231" t="s">
        <v>35</v>
      </c>
      <c r="C231" t="s">
        <v>95</v>
      </c>
      <c r="D231" s="1">
        <v>30000</v>
      </c>
      <c r="E231" s="15">
        <v>46143</v>
      </c>
      <c r="F231" s="14" t="s">
        <v>541</v>
      </c>
    </row>
    <row r="232" spans="1:6" x14ac:dyDescent="0.3">
      <c r="A232" s="8">
        <v>46149</v>
      </c>
      <c r="B232" t="s">
        <v>1189</v>
      </c>
      <c r="C232" t="s">
        <v>1186</v>
      </c>
      <c r="D232" s="1">
        <v>4499999.97</v>
      </c>
      <c r="E232" s="15">
        <v>46143</v>
      </c>
      <c r="F232" s="14" t="s">
        <v>542</v>
      </c>
    </row>
    <row r="233" spans="1:6" x14ac:dyDescent="0.3">
      <c r="A233" s="8">
        <v>46149</v>
      </c>
      <c r="B233" t="s">
        <v>436</v>
      </c>
      <c r="C233" t="s">
        <v>82</v>
      </c>
      <c r="D233" s="1">
        <v>2043927</v>
      </c>
      <c r="E233" s="15">
        <v>46143</v>
      </c>
      <c r="F233" s="14" t="s">
        <v>543</v>
      </c>
    </row>
    <row r="234" spans="1:6" x14ac:dyDescent="0.3">
      <c r="A234" s="8">
        <v>46149</v>
      </c>
      <c r="B234" t="s">
        <v>434</v>
      </c>
      <c r="C234" t="s">
        <v>76</v>
      </c>
      <c r="D234" s="1">
        <v>1750498</v>
      </c>
      <c r="E234" s="15">
        <v>46143</v>
      </c>
      <c r="F234" s="14" t="s">
        <v>544</v>
      </c>
    </row>
    <row r="235" spans="1:6" x14ac:dyDescent="0.3">
      <c r="A235" s="8">
        <v>46149</v>
      </c>
      <c r="B235" t="s">
        <v>1180</v>
      </c>
      <c r="C235" t="s">
        <v>1186</v>
      </c>
      <c r="D235" s="1">
        <v>2361032</v>
      </c>
      <c r="E235" s="15">
        <v>46143</v>
      </c>
      <c r="F235" s="14" t="s">
        <v>545</v>
      </c>
    </row>
    <row r="236" spans="1:6" x14ac:dyDescent="0.3">
      <c r="A236" s="8">
        <v>46149</v>
      </c>
      <c r="B236" t="s">
        <v>35</v>
      </c>
      <c r="C236" t="s">
        <v>95</v>
      </c>
      <c r="D236" s="1">
        <v>245990.39999999999</v>
      </c>
      <c r="E236" s="15">
        <v>46143</v>
      </c>
      <c r="F236" s="14" t="s">
        <v>546</v>
      </c>
    </row>
    <row r="237" spans="1:6" x14ac:dyDescent="0.3">
      <c r="A237" s="8">
        <v>46149</v>
      </c>
      <c r="B237" t="s">
        <v>35</v>
      </c>
      <c r="C237" t="s">
        <v>95</v>
      </c>
      <c r="D237" s="1">
        <v>495523</v>
      </c>
      <c r="E237" s="15">
        <v>46143</v>
      </c>
      <c r="F237" s="14" t="s">
        <v>547</v>
      </c>
    </row>
    <row r="238" spans="1:6" x14ac:dyDescent="0.3">
      <c r="A238" s="8">
        <v>46149</v>
      </c>
      <c r="B238" t="s">
        <v>35</v>
      </c>
      <c r="C238" t="s">
        <v>95</v>
      </c>
      <c r="D238" s="1">
        <v>80000</v>
      </c>
      <c r="E238" s="15">
        <v>46143</v>
      </c>
      <c r="F238" s="14" t="s">
        <v>548</v>
      </c>
    </row>
    <row r="239" spans="1:6" x14ac:dyDescent="0.3">
      <c r="A239" s="8">
        <v>46149</v>
      </c>
      <c r="B239" t="s">
        <v>35</v>
      </c>
      <c r="C239" t="s">
        <v>95</v>
      </c>
      <c r="D239" s="1">
        <v>141260</v>
      </c>
      <c r="E239" s="15">
        <v>46143</v>
      </c>
      <c r="F239" s="14" t="s">
        <v>549</v>
      </c>
    </row>
    <row r="240" spans="1:6" x14ac:dyDescent="0.3">
      <c r="A240" s="8">
        <v>46149</v>
      </c>
      <c r="B240" t="s">
        <v>51</v>
      </c>
      <c r="C240" t="s">
        <v>77</v>
      </c>
      <c r="D240" s="1">
        <v>17200</v>
      </c>
      <c r="E240" s="15">
        <v>46143</v>
      </c>
      <c r="F240" s="14" t="s">
        <v>550</v>
      </c>
    </row>
    <row r="241" spans="1:6" x14ac:dyDescent="0.3">
      <c r="A241" s="8">
        <v>46149</v>
      </c>
      <c r="B241" t="s">
        <v>35</v>
      </c>
      <c r="C241" t="s">
        <v>95</v>
      </c>
      <c r="D241" s="1">
        <v>726600</v>
      </c>
      <c r="E241" s="15">
        <v>46143</v>
      </c>
      <c r="F241" s="14" t="s">
        <v>551</v>
      </c>
    </row>
    <row r="242" spans="1:6" x14ac:dyDescent="0.3">
      <c r="A242" s="8">
        <v>46149</v>
      </c>
      <c r="B242" t="s">
        <v>429</v>
      </c>
      <c r="C242" t="s">
        <v>81</v>
      </c>
      <c r="D242" s="1">
        <v>12500</v>
      </c>
      <c r="E242" s="15">
        <v>46143</v>
      </c>
      <c r="F242" s="14" t="s">
        <v>552</v>
      </c>
    </row>
    <row r="243" spans="1:6" x14ac:dyDescent="0.3">
      <c r="A243" s="8">
        <v>46149</v>
      </c>
      <c r="B243" t="s">
        <v>51</v>
      </c>
      <c r="C243" t="s">
        <v>77</v>
      </c>
      <c r="D243" s="1">
        <v>13441</v>
      </c>
      <c r="E243" s="15">
        <v>46143</v>
      </c>
      <c r="F243" s="14" t="s">
        <v>553</v>
      </c>
    </row>
    <row r="244" spans="1:6" x14ac:dyDescent="0.3">
      <c r="A244" s="8">
        <v>46149</v>
      </c>
      <c r="B244" t="s">
        <v>35</v>
      </c>
      <c r="C244" t="s">
        <v>95</v>
      </c>
      <c r="D244" s="1">
        <v>340000</v>
      </c>
      <c r="E244" s="15">
        <v>46143</v>
      </c>
      <c r="F244" s="14" t="s">
        <v>554</v>
      </c>
    </row>
    <row r="245" spans="1:6" x14ac:dyDescent="0.3">
      <c r="A245" s="8">
        <v>46149</v>
      </c>
      <c r="B245" t="s">
        <v>35</v>
      </c>
      <c r="C245" t="s">
        <v>95</v>
      </c>
      <c r="D245" s="1">
        <v>12100</v>
      </c>
      <c r="E245" s="15">
        <v>46143</v>
      </c>
      <c r="F245" s="14" t="s">
        <v>555</v>
      </c>
    </row>
    <row r="246" spans="1:6" x14ac:dyDescent="0.3">
      <c r="A246" s="8">
        <v>46150</v>
      </c>
      <c r="B246" t="s">
        <v>35</v>
      </c>
      <c r="C246" t="s">
        <v>95</v>
      </c>
      <c r="D246" s="1">
        <v>106000</v>
      </c>
      <c r="E246" s="15">
        <v>46143</v>
      </c>
      <c r="F246" s="14" t="s">
        <v>556</v>
      </c>
    </row>
    <row r="247" spans="1:6" x14ac:dyDescent="0.3">
      <c r="A247" s="8">
        <v>46150</v>
      </c>
      <c r="B247" t="s">
        <v>53</v>
      </c>
      <c r="C247" t="s">
        <v>80</v>
      </c>
      <c r="D247" s="1">
        <v>3780.57</v>
      </c>
      <c r="E247" s="15">
        <v>46143</v>
      </c>
      <c r="F247" s="14" t="s">
        <v>557</v>
      </c>
    </row>
    <row r="248" spans="1:6" x14ac:dyDescent="0.3">
      <c r="A248" s="8">
        <v>46150</v>
      </c>
      <c r="B248" t="s">
        <v>53</v>
      </c>
      <c r="C248" t="s">
        <v>80</v>
      </c>
      <c r="D248" s="1">
        <v>121847.77</v>
      </c>
      <c r="E248" s="15">
        <v>46143</v>
      </c>
      <c r="F248" s="14" t="s">
        <v>558</v>
      </c>
    </row>
    <row r="249" spans="1:6" x14ac:dyDescent="0.3">
      <c r="A249" s="8">
        <v>46150</v>
      </c>
      <c r="B249" t="s">
        <v>486</v>
      </c>
      <c r="C249" t="s">
        <v>1190</v>
      </c>
      <c r="D249" s="1">
        <v>37805.699999999997</v>
      </c>
      <c r="E249" s="15">
        <v>46143</v>
      </c>
      <c r="F249" s="14" t="s">
        <v>559</v>
      </c>
    </row>
    <row r="250" spans="1:6" x14ac:dyDescent="0.3">
      <c r="A250" s="8">
        <v>46150</v>
      </c>
      <c r="B250" t="s">
        <v>35</v>
      </c>
      <c r="C250" t="s">
        <v>95</v>
      </c>
      <c r="D250" s="1">
        <v>461000</v>
      </c>
      <c r="E250" s="15">
        <v>46143</v>
      </c>
      <c r="F250" s="14" t="s">
        <v>560</v>
      </c>
    </row>
    <row r="251" spans="1:6" x14ac:dyDescent="0.3">
      <c r="A251" s="8">
        <v>46150</v>
      </c>
      <c r="B251" t="s">
        <v>53</v>
      </c>
      <c r="C251" t="s">
        <v>80</v>
      </c>
      <c r="D251" s="1">
        <v>3803.86</v>
      </c>
      <c r="E251" s="15">
        <v>46143</v>
      </c>
      <c r="F251" s="14" t="s">
        <v>561</v>
      </c>
    </row>
    <row r="252" spans="1:6" x14ac:dyDescent="0.3">
      <c r="A252" s="8">
        <v>46150</v>
      </c>
      <c r="B252" t="s">
        <v>53</v>
      </c>
      <c r="C252" t="s">
        <v>80</v>
      </c>
      <c r="D252" s="1">
        <v>29365.8</v>
      </c>
      <c r="E252" s="15">
        <v>46143</v>
      </c>
      <c r="F252" s="14" t="s">
        <v>562</v>
      </c>
    </row>
    <row r="253" spans="1:6" x14ac:dyDescent="0.3">
      <c r="A253" s="8">
        <v>46150</v>
      </c>
      <c r="B253" t="s">
        <v>487</v>
      </c>
      <c r="C253" t="s">
        <v>1178</v>
      </c>
      <c r="D253" s="1">
        <v>3721</v>
      </c>
      <c r="E253" s="15">
        <v>46143</v>
      </c>
      <c r="F253" s="14" t="s">
        <v>563</v>
      </c>
    </row>
    <row r="254" spans="1:6" x14ac:dyDescent="0.3">
      <c r="A254" s="8">
        <v>46150</v>
      </c>
      <c r="B254" t="s">
        <v>461</v>
      </c>
      <c r="C254" t="s">
        <v>77</v>
      </c>
      <c r="D254" s="1">
        <v>15200</v>
      </c>
      <c r="E254" s="15">
        <v>46143</v>
      </c>
      <c r="F254" s="14" t="s">
        <v>564</v>
      </c>
    </row>
    <row r="255" spans="1:6" x14ac:dyDescent="0.3">
      <c r="A255" s="8">
        <v>46151</v>
      </c>
      <c r="B255" t="s">
        <v>41</v>
      </c>
      <c r="C255" t="s">
        <v>97</v>
      </c>
      <c r="D255" s="1">
        <v>249003.96</v>
      </c>
      <c r="E255" s="15">
        <v>46143</v>
      </c>
      <c r="F255" s="14" t="s">
        <v>536</v>
      </c>
    </row>
    <row r="256" spans="1:6" x14ac:dyDescent="0.3">
      <c r="A256" s="8">
        <v>46151</v>
      </c>
      <c r="B256" t="s">
        <v>35</v>
      </c>
      <c r="C256" t="s">
        <v>95</v>
      </c>
      <c r="D256" s="1">
        <v>130000</v>
      </c>
      <c r="E256" s="15">
        <v>46143</v>
      </c>
      <c r="F256" s="14" t="s">
        <v>565</v>
      </c>
    </row>
    <row r="257" spans="1:6" x14ac:dyDescent="0.3">
      <c r="A257" s="8">
        <v>46151</v>
      </c>
      <c r="B257" t="s">
        <v>35</v>
      </c>
      <c r="C257" t="s">
        <v>95</v>
      </c>
      <c r="D257" s="1">
        <v>100000</v>
      </c>
      <c r="E257" s="15">
        <v>46143</v>
      </c>
      <c r="F257" s="14" t="s">
        <v>566</v>
      </c>
    </row>
    <row r="258" spans="1:6" x14ac:dyDescent="0.3">
      <c r="A258" s="8">
        <v>46151</v>
      </c>
      <c r="B258" t="s">
        <v>35</v>
      </c>
      <c r="C258" t="s">
        <v>95</v>
      </c>
      <c r="D258" s="1">
        <v>111000</v>
      </c>
      <c r="E258" s="15">
        <v>46143</v>
      </c>
      <c r="F258" s="14" t="s">
        <v>567</v>
      </c>
    </row>
    <row r="259" spans="1:6" x14ac:dyDescent="0.3">
      <c r="A259" s="8">
        <v>46152</v>
      </c>
      <c r="B259" t="s">
        <v>488</v>
      </c>
      <c r="C259" t="s">
        <v>1188</v>
      </c>
      <c r="D259" s="1">
        <v>72500</v>
      </c>
      <c r="E259" s="15">
        <v>46143</v>
      </c>
      <c r="F259" s="14" t="s">
        <v>568</v>
      </c>
    </row>
    <row r="260" spans="1:6" x14ac:dyDescent="0.3">
      <c r="A260" s="8">
        <v>46152</v>
      </c>
      <c r="B260" t="s">
        <v>51</v>
      </c>
      <c r="C260" t="s">
        <v>77</v>
      </c>
      <c r="D260" s="1">
        <v>68423</v>
      </c>
      <c r="E260" s="15">
        <v>46143</v>
      </c>
      <c r="F260" s="14" t="s">
        <v>569</v>
      </c>
    </row>
    <row r="261" spans="1:6" x14ac:dyDescent="0.3">
      <c r="A261" s="8">
        <v>46152</v>
      </c>
      <c r="B261" t="s">
        <v>51</v>
      </c>
      <c r="C261" t="s">
        <v>77</v>
      </c>
      <c r="D261" s="1">
        <v>24973</v>
      </c>
      <c r="E261" s="15">
        <v>46143</v>
      </c>
      <c r="F261" s="14" t="s">
        <v>570</v>
      </c>
    </row>
    <row r="262" spans="1:6" x14ac:dyDescent="0.3">
      <c r="A262" s="8">
        <v>46152</v>
      </c>
      <c r="B262" t="s">
        <v>51</v>
      </c>
      <c r="C262" t="s">
        <v>77</v>
      </c>
      <c r="D262" s="1">
        <v>28175</v>
      </c>
      <c r="E262" s="15">
        <v>46143</v>
      </c>
      <c r="F262" s="14" t="s">
        <v>571</v>
      </c>
    </row>
    <row r="263" spans="1:6" x14ac:dyDescent="0.3">
      <c r="A263" s="8">
        <v>46152</v>
      </c>
      <c r="B263" t="s">
        <v>51</v>
      </c>
      <c r="C263" t="s">
        <v>77</v>
      </c>
      <c r="D263" s="1">
        <v>75974</v>
      </c>
      <c r="E263" s="15">
        <v>46143</v>
      </c>
      <c r="F263" s="14" t="s">
        <v>572</v>
      </c>
    </row>
    <row r="264" spans="1:6" x14ac:dyDescent="0.3">
      <c r="A264" s="8">
        <v>46152</v>
      </c>
      <c r="B264" t="s">
        <v>489</v>
      </c>
      <c r="C264" t="s">
        <v>1182</v>
      </c>
      <c r="D264" s="1">
        <v>35400</v>
      </c>
      <c r="E264" s="15">
        <v>46143</v>
      </c>
      <c r="F264" s="14" t="s">
        <v>573</v>
      </c>
    </row>
    <row r="265" spans="1:6" x14ac:dyDescent="0.3">
      <c r="A265" s="8">
        <v>46152</v>
      </c>
      <c r="B265" t="s">
        <v>51</v>
      </c>
      <c r="C265" t="s">
        <v>77</v>
      </c>
      <c r="D265" s="1">
        <v>19762</v>
      </c>
      <c r="E265" s="15">
        <v>46143</v>
      </c>
      <c r="F265" s="14" t="s">
        <v>574</v>
      </c>
    </row>
    <row r="266" spans="1:6" x14ac:dyDescent="0.3">
      <c r="A266" s="8">
        <v>46152</v>
      </c>
      <c r="B266" t="s">
        <v>51</v>
      </c>
      <c r="C266" t="s">
        <v>77</v>
      </c>
      <c r="D266" s="1">
        <v>20793</v>
      </c>
      <c r="E266" s="15">
        <v>46143</v>
      </c>
      <c r="F266" s="14" t="s">
        <v>575</v>
      </c>
    </row>
    <row r="267" spans="1:6" x14ac:dyDescent="0.3">
      <c r="A267" s="8">
        <v>46152</v>
      </c>
      <c r="B267" t="s">
        <v>490</v>
      </c>
      <c r="C267" t="s">
        <v>1188</v>
      </c>
      <c r="D267" s="1">
        <v>50700</v>
      </c>
      <c r="E267" s="15">
        <v>46143</v>
      </c>
      <c r="F267" s="14" t="s">
        <v>576</v>
      </c>
    </row>
    <row r="268" spans="1:6" x14ac:dyDescent="0.3">
      <c r="A268" s="8">
        <v>46152</v>
      </c>
      <c r="B268" t="s">
        <v>485</v>
      </c>
      <c r="C268" t="s">
        <v>1188</v>
      </c>
      <c r="D268" s="1">
        <v>5401.48</v>
      </c>
      <c r="E268" s="15">
        <v>46143</v>
      </c>
      <c r="F268" s="14" t="s">
        <v>577</v>
      </c>
    </row>
    <row r="269" spans="1:6" x14ac:dyDescent="0.3">
      <c r="A269" s="8">
        <v>46152</v>
      </c>
      <c r="B269" t="s">
        <v>63</v>
      </c>
      <c r="C269" t="s">
        <v>1188</v>
      </c>
      <c r="D269" s="1">
        <v>13100</v>
      </c>
      <c r="E269" s="15">
        <v>46143</v>
      </c>
      <c r="F269" s="14" t="s">
        <v>578</v>
      </c>
    </row>
    <row r="270" spans="1:6" x14ac:dyDescent="0.3">
      <c r="A270" s="8">
        <v>46152</v>
      </c>
      <c r="B270" t="s">
        <v>491</v>
      </c>
      <c r="C270" t="s">
        <v>1182</v>
      </c>
      <c r="D270" s="1">
        <v>231500</v>
      </c>
      <c r="E270" s="15">
        <v>46143</v>
      </c>
      <c r="F270" s="14" t="s">
        <v>579</v>
      </c>
    </row>
    <row r="271" spans="1:6" x14ac:dyDescent="0.3">
      <c r="A271" s="8">
        <v>46153</v>
      </c>
      <c r="B271" t="s">
        <v>492</v>
      </c>
      <c r="C271" t="s">
        <v>81</v>
      </c>
      <c r="D271" s="1">
        <v>86940</v>
      </c>
      <c r="E271" s="15">
        <v>46143</v>
      </c>
      <c r="F271" s="14" t="s">
        <v>580</v>
      </c>
    </row>
    <row r="272" spans="1:6" x14ac:dyDescent="0.3">
      <c r="A272" s="8">
        <v>46153</v>
      </c>
      <c r="B272" t="s">
        <v>35</v>
      </c>
      <c r="C272" t="s">
        <v>95</v>
      </c>
      <c r="D272" s="1">
        <v>76470</v>
      </c>
      <c r="E272" s="15">
        <v>46143</v>
      </c>
      <c r="F272" s="14" t="s">
        <v>581</v>
      </c>
    </row>
    <row r="273" spans="1:6" x14ac:dyDescent="0.3">
      <c r="A273" s="8">
        <v>46153</v>
      </c>
      <c r="B273" t="s">
        <v>493</v>
      </c>
      <c r="C273" t="s">
        <v>1182</v>
      </c>
      <c r="D273" s="1">
        <v>135000</v>
      </c>
      <c r="E273" s="15">
        <v>46143</v>
      </c>
      <c r="F273" s="14" t="s">
        <v>582</v>
      </c>
    </row>
    <row r="274" spans="1:6" x14ac:dyDescent="0.3">
      <c r="A274" s="8">
        <v>46153</v>
      </c>
      <c r="B274" t="s">
        <v>431</v>
      </c>
      <c r="C274" t="s">
        <v>1182</v>
      </c>
      <c r="D274" s="1">
        <v>160000</v>
      </c>
      <c r="E274" s="15">
        <v>46143</v>
      </c>
      <c r="F274" s="14" t="s">
        <v>583</v>
      </c>
    </row>
    <row r="275" spans="1:6" x14ac:dyDescent="0.3">
      <c r="A275" s="8">
        <v>46153</v>
      </c>
      <c r="B275" t="s">
        <v>41</v>
      </c>
      <c r="C275" t="s">
        <v>97</v>
      </c>
      <c r="D275" s="1">
        <v>607569.72</v>
      </c>
      <c r="E275" s="15">
        <v>46143</v>
      </c>
      <c r="F275" s="14" t="s">
        <v>536</v>
      </c>
    </row>
    <row r="276" spans="1:6" x14ac:dyDescent="0.3">
      <c r="A276" s="8">
        <v>46153</v>
      </c>
      <c r="B276" t="s">
        <v>469</v>
      </c>
      <c r="C276" t="s">
        <v>77</v>
      </c>
      <c r="D276" s="1">
        <v>40000</v>
      </c>
      <c r="E276" s="15">
        <v>46143</v>
      </c>
      <c r="F276" s="14" t="s">
        <v>584</v>
      </c>
    </row>
    <row r="277" spans="1:6" x14ac:dyDescent="0.3">
      <c r="A277" s="8">
        <v>46153</v>
      </c>
      <c r="B277" t="s">
        <v>461</v>
      </c>
      <c r="C277" t="s">
        <v>77</v>
      </c>
      <c r="D277" s="1">
        <v>15200</v>
      </c>
      <c r="E277" s="15">
        <v>46143</v>
      </c>
      <c r="F277" s="14" t="s">
        <v>585</v>
      </c>
    </row>
    <row r="278" spans="1:6" x14ac:dyDescent="0.3">
      <c r="A278" s="8">
        <v>46153</v>
      </c>
      <c r="B278" t="s">
        <v>35</v>
      </c>
      <c r="C278" t="s">
        <v>95</v>
      </c>
      <c r="D278" s="1">
        <v>585000</v>
      </c>
      <c r="E278" s="15">
        <v>46143</v>
      </c>
      <c r="F278" s="14" t="s">
        <v>586</v>
      </c>
    </row>
    <row r="279" spans="1:6" x14ac:dyDescent="0.3">
      <c r="A279" s="8">
        <v>46153</v>
      </c>
      <c r="B279" t="s">
        <v>458</v>
      </c>
      <c r="C279" t="s">
        <v>91</v>
      </c>
      <c r="D279" s="1">
        <v>533399.56999999995</v>
      </c>
      <c r="E279" s="15">
        <v>46143</v>
      </c>
      <c r="F279" s="14" t="s">
        <v>587</v>
      </c>
    </row>
    <row r="280" spans="1:6" x14ac:dyDescent="0.3">
      <c r="A280" s="8">
        <v>46154</v>
      </c>
      <c r="B280" t="s">
        <v>35</v>
      </c>
      <c r="C280" t="s">
        <v>95</v>
      </c>
      <c r="D280" s="1">
        <v>220000</v>
      </c>
      <c r="E280" s="15">
        <v>46143</v>
      </c>
      <c r="F280" s="14" t="s">
        <v>588</v>
      </c>
    </row>
    <row r="281" spans="1:6" x14ac:dyDescent="0.3">
      <c r="A281" s="8">
        <v>46154</v>
      </c>
      <c r="B281" t="s">
        <v>35</v>
      </c>
      <c r="C281" t="s">
        <v>95</v>
      </c>
      <c r="D281" s="1">
        <v>30000</v>
      </c>
      <c r="E281" s="15">
        <v>46143</v>
      </c>
      <c r="F281" s="14" t="s">
        <v>589</v>
      </c>
    </row>
    <row r="282" spans="1:6" x14ac:dyDescent="0.3">
      <c r="A282" s="8">
        <v>46154</v>
      </c>
      <c r="B282" t="s">
        <v>494</v>
      </c>
      <c r="C282" t="s">
        <v>1178</v>
      </c>
      <c r="D282" s="1">
        <v>210000</v>
      </c>
      <c r="E282" s="15">
        <v>46143</v>
      </c>
      <c r="F282" s="14" t="s">
        <v>590</v>
      </c>
    </row>
    <row r="283" spans="1:6" x14ac:dyDescent="0.3">
      <c r="A283" s="8">
        <v>46155</v>
      </c>
      <c r="B283" t="s">
        <v>64</v>
      </c>
      <c r="C283" t="s">
        <v>80</v>
      </c>
      <c r="D283" s="1">
        <v>154012</v>
      </c>
      <c r="E283" s="15">
        <v>46143</v>
      </c>
      <c r="F283" s="14" t="s">
        <v>591</v>
      </c>
    </row>
    <row r="284" spans="1:6" x14ac:dyDescent="0.3">
      <c r="A284" s="8">
        <v>46155</v>
      </c>
      <c r="B284" t="s">
        <v>51</v>
      </c>
      <c r="C284" t="s">
        <v>77</v>
      </c>
      <c r="D284" s="1">
        <v>24879</v>
      </c>
      <c r="E284" s="15">
        <v>46143</v>
      </c>
      <c r="F284" s="14" t="s">
        <v>592</v>
      </c>
    </row>
    <row r="285" spans="1:6" x14ac:dyDescent="0.3">
      <c r="A285" s="8">
        <v>46155</v>
      </c>
      <c r="B285" t="s">
        <v>35</v>
      </c>
      <c r="C285" t="s">
        <v>95</v>
      </c>
      <c r="D285" s="1">
        <v>50000</v>
      </c>
      <c r="E285" s="15">
        <v>46143</v>
      </c>
      <c r="F285" s="14" t="s">
        <v>593</v>
      </c>
    </row>
    <row r="286" spans="1:6" x14ac:dyDescent="0.3">
      <c r="A286" s="8">
        <v>46155</v>
      </c>
      <c r="B286" t="s">
        <v>492</v>
      </c>
      <c r="C286" t="s">
        <v>81</v>
      </c>
      <c r="D286" s="1">
        <v>4400</v>
      </c>
      <c r="E286" s="15">
        <v>46143</v>
      </c>
      <c r="F286" s="14" t="s">
        <v>594</v>
      </c>
    </row>
    <row r="287" spans="1:6" x14ac:dyDescent="0.3">
      <c r="A287" s="8">
        <v>46155</v>
      </c>
      <c r="B287" t="s">
        <v>35</v>
      </c>
      <c r="C287" t="s">
        <v>95</v>
      </c>
      <c r="D287" s="1">
        <v>350000</v>
      </c>
      <c r="E287" s="15">
        <v>46143</v>
      </c>
      <c r="F287" s="14" t="s">
        <v>595</v>
      </c>
    </row>
    <row r="288" spans="1:6" x14ac:dyDescent="0.3">
      <c r="A288" s="8">
        <v>46155</v>
      </c>
      <c r="B288" t="s">
        <v>495</v>
      </c>
      <c r="C288" t="s">
        <v>80</v>
      </c>
      <c r="D288" s="1">
        <v>154417.81</v>
      </c>
      <c r="E288" s="15">
        <v>46143</v>
      </c>
      <c r="F288" s="14" t="s">
        <v>596</v>
      </c>
    </row>
    <row r="289" spans="1:6" x14ac:dyDescent="0.3">
      <c r="A289" s="8">
        <v>46155</v>
      </c>
      <c r="B289" t="s">
        <v>49</v>
      </c>
      <c r="C289" t="s">
        <v>80</v>
      </c>
      <c r="D289" s="1">
        <v>19170.900000000001</v>
      </c>
      <c r="E289" s="15">
        <v>46143</v>
      </c>
      <c r="F289" s="14" t="s">
        <v>597</v>
      </c>
    </row>
    <row r="290" spans="1:6" x14ac:dyDescent="0.3">
      <c r="A290" s="8">
        <v>46155</v>
      </c>
      <c r="B290" t="s">
        <v>35</v>
      </c>
      <c r="C290" t="s">
        <v>95</v>
      </c>
      <c r="D290" s="1">
        <v>110600</v>
      </c>
      <c r="E290" s="15">
        <v>46143</v>
      </c>
      <c r="F290" s="14" t="s">
        <v>598</v>
      </c>
    </row>
    <row r="291" spans="1:6" x14ac:dyDescent="0.3">
      <c r="A291" s="8">
        <v>46155</v>
      </c>
      <c r="B291" t="s">
        <v>461</v>
      </c>
      <c r="C291" t="s">
        <v>77</v>
      </c>
      <c r="D291" s="1">
        <v>15200</v>
      </c>
      <c r="E291" s="15">
        <v>46143</v>
      </c>
      <c r="F291" s="14" t="s">
        <v>599</v>
      </c>
    </row>
    <row r="292" spans="1:6" x14ac:dyDescent="0.3">
      <c r="A292" s="8">
        <v>46155</v>
      </c>
      <c r="B292" t="s">
        <v>35</v>
      </c>
      <c r="C292" t="s">
        <v>95</v>
      </c>
      <c r="D292" s="1">
        <v>170000</v>
      </c>
      <c r="E292" s="15">
        <v>46143</v>
      </c>
      <c r="F292" s="14" t="s">
        <v>600</v>
      </c>
    </row>
    <row r="293" spans="1:6" x14ac:dyDescent="0.3">
      <c r="A293" s="8">
        <v>46156</v>
      </c>
      <c r="B293" t="s">
        <v>63</v>
      </c>
      <c r="C293" t="s">
        <v>1188</v>
      </c>
      <c r="D293" s="1">
        <v>30400</v>
      </c>
      <c r="E293" s="15">
        <v>46143</v>
      </c>
      <c r="F293" s="14" t="s">
        <v>601</v>
      </c>
    </row>
    <row r="294" spans="1:6" x14ac:dyDescent="0.3">
      <c r="A294" s="8">
        <v>46156</v>
      </c>
      <c r="B294" t="s">
        <v>51</v>
      </c>
      <c r="C294" t="s">
        <v>77</v>
      </c>
      <c r="D294" s="1">
        <v>9008</v>
      </c>
      <c r="E294" s="15">
        <v>46143</v>
      </c>
      <c r="F294" s="14" t="s">
        <v>602</v>
      </c>
    </row>
    <row r="295" spans="1:6" x14ac:dyDescent="0.3">
      <c r="A295" s="8">
        <v>46156</v>
      </c>
      <c r="B295" t="s">
        <v>63</v>
      </c>
      <c r="C295" t="s">
        <v>1188</v>
      </c>
      <c r="D295" s="1">
        <v>100500</v>
      </c>
      <c r="E295" s="15">
        <v>46143</v>
      </c>
      <c r="F295" s="14" t="s">
        <v>603</v>
      </c>
    </row>
    <row r="296" spans="1:6" x14ac:dyDescent="0.3">
      <c r="A296" s="8">
        <v>46156</v>
      </c>
      <c r="B296" t="s">
        <v>63</v>
      </c>
      <c r="C296" t="s">
        <v>1188</v>
      </c>
      <c r="D296" s="1">
        <v>21400</v>
      </c>
      <c r="E296" s="15">
        <v>46143</v>
      </c>
      <c r="F296" s="14" t="s">
        <v>604</v>
      </c>
    </row>
    <row r="297" spans="1:6" x14ac:dyDescent="0.3">
      <c r="A297" s="8">
        <v>46156</v>
      </c>
      <c r="B297" t="s">
        <v>51</v>
      </c>
      <c r="C297" t="s">
        <v>77</v>
      </c>
      <c r="D297" s="1">
        <v>13461</v>
      </c>
      <c r="E297" s="15">
        <v>46143</v>
      </c>
      <c r="F297" s="14" t="s">
        <v>605</v>
      </c>
    </row>
    <row r="298" spans="1:6" x14ac:dyDescent="0.3">
      <c r="A298" s="8">
        <v>46156</v>
      </c>
      <c r="B298" t="s">
        <v>51</v>
      </c>
      <c r="C298" t="s">
        <v>77</v>
      </c>
      <c r="D298" s="1">
        <v>97484</v>
      </c>
      <c r="E298" s="15">
        <v>46143</v>
      </c>
      <c r="F298" s="14" t="s">
        <v>606</v>
      </c>
    </row>
    <row r="299" spans="1:6" x14ac:dyDescent="0.3">
      <c r="A299" s="8">
        <v>46156</v>
      </c>
      <c r="B299" t="s">
        <v>35</v>
      </c>
      <c r="C299" t="s">
        <v>95</v>
      </c>
      <c r="D299" s="1">
        <v>50000</v>
      </c>
      <c r="E299" s="15">
        <v>46143</v>
      </c>
      <c r="F299" s="14" t="s">
        <v>607</v>
      </c>
    </row>
    <row r="300" spans="1:6" x14ac:dyDescent="0.3">
      <c r="A300" s="8">
        <v>46156</v>
      </c>
      <c r="B300" t="s">
        <v>51</v>
      </c>
      <c r="C300" t="s">
        <v>77</v>
      </c>
      <c r="D300" s="1">
        <v>102081</v>
      </c>
      <c r="E300" s="15">
        <v>46143</v>
      </c>
      <c r="F300" s="14" t="s">
        <v>608</v>
      </c>
    </row>
    <row r="301" spans="1:6" x14ac:dyDescent="0.3">
      <c r="A301" s="8">
        <v>46156</v>
      </c>
      <c r="B301" t="s">
        <v>429</v>
      </c>
      <c r="C301" t="s">
        <v>81</v>
      </c>
      <c r="D301" s="1">
        <v>23690</v>
      </c>
      <c r="E301" s="15">
        <v>46143</v>
      </c>
      <c r="F301" s="14" t="s">
        <v>609</v>
      </c>
    </row>
    <row r="302" spans="1:6" x14ac:dyDescent="0.3">
      <c r="A302" s="8">
        <v>46156</v>
      </c>
      <c r="B302" t="s">
        <v>51</v>
      </c>
      <c r="C302" t="s">
        <v>77</v>
      </c>
      <c r="D302" s="1">
        <v>54556</v>
      </c>
      <c r="E302" s="15">
        <v>46143</v>
      </c>
      <c r="F302" s="14" t="s">
        <v>610</v>
      </c>
    </row>
    <row r="303" spans="1:6" x14ac:dyDescent="0.3">
      <c r="A303" s="8">
        <v>46156</v>
      </c>
      <c r="B303" t="s">
        <v>51</v>
      </c>
      <c r="C303" t="s">
        <v>77</v>
      </c>
      <c r="D303" s="1">
        <v>56038</v>
      </c>
      <c r="E303" s="15">
        <v>46143</v>
      </c>
      <c r="F303" s="14" t="s">
        <v>611</v>
      </c>
    </row>
    <row r="304" spans="1:6" x14ac:dyDescent="0.3">
      <c r="A304" s="8">
        <v>46156</v>
      </c>
      <c r="B304" t="s">
        <v>51</v>
      </c>
      <c r="C304" t="s">
        <v>77</v>
      </c>
      <c r="D304" s="1">
        <v>56384</v>
      </c>
      <c r="E304" s="15">
        <v>46143</v>
      </c>
      <c r="F304" s="14" t="s">
        <v>612</v>
      </c>
    </row>
    <row r="305" spans="1:6" x14ac:dyDescent="0.3">
      <c r="A305" s="8">
        <v>46156</v>
      </c>
      <c r="B305" t="s">
        <v>36</v>
      </c>
      <c r="C305" t="s">
        <v>77</v>
      </c>
      <c r="D305" s="1">
        <v>15200</v>
      </c>
      <c r="E305" s="15">
        <v>46143</v>
      </c>
      <c r="F305" s="14" t="s">
        <v>613</v>
      </c>
    </row>
    <row r="306" spans="1:6" x14ac:dyDescent="0.3">
      <c r="A306" s="8">
        <v>46156</v>
      </c>
      <c r="B306" t="s">
        <v>63</v>
      </c>
      <c r="C306" t="s">
        <v>1188</v>
      </c>
      <c r="D306" s="1">
        <v>90000</v>
      </c>
      <c r="E306" s="15">
        <v>46143</v>
      </c>
      <c r="F306" s="14" t="s">
        <v>614</v>
      </c>
    </row>
    <row r="307" spans="1:6" x14ac:dyDescent="0.3">
      <c r="A307" s="8">
        <v>46157</v>
      </c>
      <c r="B307" t="s">
        <v>35</v>
      </c>
      <c r="C307" t="s">
        <v>95</v>
      </c>
      <c r="D307" s="1">
        <v>30000</v>
      </c>
      <c r="E307" s="15">
        <v>46143</v>
      </c>
      <c r="F307" s="14" t="s">
        <v>615</v>
      </c>
    </row>
    <row r="308" spans="1:6" x14ac:dyDescent="0.3">
      <c r="A308" s="8">
        <v>46157</v>
      </c>
      <c r="B308" t="s">
        <v>51</v>
      </c>
      <c r="C308" t="s">
        <v>77</v>
      </c>
      <c r="D308" s="1">
        <v>13159</v>
      </c>
      <c r="E308" s="15">
        <v>46143</v>
      </c>
      <c r="F308" s="14" t="s">
        <v>616</v>
      </c>
    </row>
    <row r="309" spans="1:6" x14ac:dyDescent="0.3">
      <c r="A309" s="8">
        <v>46157</v>
      </c>
      <c r="B309" t="s">
        <v>63</v>
      </c>
      <c r="C309" t="s">
        <v>1188</v>
      </c>
      <c r="D309" s="1">
        <v>31200</v>
      </c>
      <c r="E309" s="15">
        <v>46143</v>
      </c>
      <c r="F309" s="14" t="s">
        <v>617</v>
      </c>
    </row>
    <row r="310" spans="1:6" x14ac:dyDescent="0.3">
      <c r="A310" s="8">
        <v>46157</v>
      </c>
      <c r="B310" t="s">
        <v>35</v>
      </c>
      <c r="C310" t="s">
        <v>95</v>
      </c>
      <c r="D310" s="1">
        <v>50000</v>
      </c>
      <c r="E310" s="15">
        <v>46143</v>
      </c>
      <c r="F310" s="14" t="s">
        <v>618</v>
      </c>
    </row>
    <row r="311" spans="1:6" x14ac:dyDescent="0.3">
      <c r="A311" s="8">
        <v>46157</v>
      </c>
      <c r="B311" t="s">
        <v>35</v>
      </c>
      <c r="C311" t="s">
        <v>95</v>
      </c>
      <c r="D311" s="1">
        <v>1000000</v>
      </c>
      <c r="E311" s="15">
        <v>46143</v>
      </c>
      <c r="F311" s="14" t="s">
        <v>619</v>
      </c>
    </row>
    <row r="312" spans="1:6" x14ac:dyDescent="0.3">
      <c r="A312" s="8">
        <v>46157</v>
      </c>
      <c r="B312" t="s">
        <v>35</v>
      </c>
      <c r="C312" t="s">
        <v>95</v>
      </c>
      <c r="D312" s="1">
        <v>178912</v>
      </c>
      <c r="E312" s="15">
        <v>46143</v>
      </c>
      <c r="F312" s="14" t="s">
        <v>620</v>
      </c>
    </row>
    <row r="313" spans="1:6" x14ac:dyDescent="0.3">
      <c r="A313" s="8">
        <v>46157</v>
      </c>
      <c r="B313" t="s">
        <v>51</v>
      </c>
      <c r="C313" t="s">
        <v>77</v>
      </c>
      <c r="D313" s="1">
        <v>13108</v>
      </c>
      <c r="E313" s="15">
        <v>46143</v>
      </c>
      <c r="F313" s="14" t="s">
        <v>621</v>
      </c>
    </row>
    <row r="314" spans="1:6" x14ac:dyDescent="0.3">
      <c r="A314" s="8">
        <v>46157</v>
      </c>
      <c r="B314" t="s">
        <v>51</v>
      </c>
      <c r="C314" t="s">
        <v>77</v>
      </c>
      <c r="D314" s="1">
        <v>13788</v>
      </c>
      <c r="E314" s="15">
        <v>46143</v>
      </c>
      <c r="F314" s="14" t="s">
        <v>622</v>
      </c>
    </row>
    <row r="315" spans="1:6" x14ac:dyDescent="0.3">
      <c r="A315" s="8">
        <v>46157</v>
      </c>
      <c r="B315" t="s">
        <v>461</v>
      </c>
      <c r="C315" t="s">
        <v>77</v>
      </c>
      <c r="D315" s="1">
        <v>15200</v>
      </c>
      <c r="E315" s="15">
        <v>46143</v>
      </c>
      <c r="F315" s="14" t="s">
        <v>623</v>
      </c>
    </row>
    <row r="316" spans="1:6" x14ac:dyDescent="0.3">
      <c r="A316" s="8">
        <v>46157</v>
      </c>
      <c r="B316" t="s">
        <v>491</v>
      </c>
      <c r="C316" t="s">
        <v>1188</v>
      </c>
      <c r="D316" s="1">
        <v>17130</v>
      </c>
      <c r="E316" s="15">
        <v>46143</v>
      </c>
      <c r="F316" s="14" t="s">
        <v>624</v>
      </c>
    </row>
    <row r="317" spans="1:6" x14ac:dyDescent="0.3">
      <c r="A317" s="8">
        <v>46158</v>
      </c>
      <c r="B317" t="s">
        <v>51</v>
      </c>
      <c r="C317" t="s">
        <v>77</v>
      </c>
      <c r="D317" s="1">
        <v>9437</v>
      </c>
      <c r="E317" s="15">
        <v>46143</v>
      </c>
      <c r="F317" s="14" t="s">
        <v>625</v>
      </c>
    </row>
    <row r="318" spans="1:6" x14ac:dyDescent="0.3">
      <c r="A318" s="8">
        <v>46158</v>
      </c>
      <c r="B318" t="s">
        <v>51</v>
      </c>
      <c r="C318" t="s">
        <v>77</v>
      </c>
      <c r="D318" s="1">
        <v>9800</v>
      </c>
      <c r="E318" s="15">
        <v>46143</v>
      </c>
      <c r="F318" s="14" t="s">
        <v>626</v>
      </c>
    </row>
    <row r="319" spans="1:6" x14ac:dyDescent="0.3">
      <c r="A319" s="8">
        <v>46158</v>
      </c>
      <c r="B319" t="s">
        <v>35</v>
      </c>
      <c r="C319" t="s">
        <v>95</v>
      </c>
      <c r="D319" s="1">
        <v>200000</v>
      </c>
      <c r="E319" s="15">
        <v>46143</v>
      </c>
      <c r="F319" s="14" t="s">
        <v>627</v>
      </c>
    </row>
    <row r="320" spans="1:6" x14ac:dyDescent="0.3">
      <c r="A320" s="8">
        <v>46158</v>
      </c>
      <c r="B320" t="s">
        <v>450</v>
      </c>
      <c r="C320" t="s">
        <v>80</v>
      </c>
      <c r="D320" s="1">
        <v>1254626.75</v>
      </c>
      <c r="E320" s="15">
        <v>46143</v>
      </c>
      <c r="F320" s="14" t="s">
        <v>628</v>
      </c>
    </row>
    <row r="321" spans="1:6" x14ac:dyDescent="0.3">
      <c r="A321" s="8">
        <v>46158</v>
      </c>
      <c r="B321" t="s">
        <v>35</v>
      </c>
      <c r="C321" t="s">
        <v>95</v>
      </c>
      <c r="D321" s="1">
        <v>800000</v>
      </c>
      <c r="E321" s="15">
        <v>46143</v>
      </c>
      <c r="F321" s="14" t="s">
        <v>629</v>
      </c>
    </row>
    <row r="322" spans="1:6" x14ac:dyDescent="0.3">
      <c r="A322" s="8">
        <v>46158</v>
      </c>
      <c r="B322" t="s">
        <v>36</v>
      </c>
      <c r="C322" t="s">
        <v>77</v>
      </c>
      <c r="D322" s="1">
        <v>15200</v>
      </c>
      <c r="E322" s="15">
        <v>46143</v>
      </c>
      <c r="F322" s="14" t="s">
        <v>630</v>
      </c>
    </row>
    <row r="323" spans="1:6" x14ac:dyDescent="0.3">
      <c r="A323" s="8">
        <v>46158</v>
      </c>
      <c r="B323" t="s">
        <v>63</v>
      </c>
      <c r="C323" t="s">
        <v>1188</v>
      </c>
      <c r="D323" s="1">
        <v>26950</v>
      </c>
      <c r="E323" s="15">
        <v>46143</v>
      </c>
      <c r="F323" s="14" t="s">
        <v>631</v>
      </c>
    </row>
    <row r="324" spans="1:6" x14ac:dyDescent="0.3">
      <c r="A324" s="8">
        <v>46159</v>
      </c>
      <c r="B324" t="s">
        <v>35</v>
      </c>
      <c r="C324" t="s">
        <v>95</v>
      </c>
      <c r="D324" s="1">
        <v>560000</v>
      </c>
      <c r="E324" s="15">
        <v>46143</v>
      </c>
      <c r="F324" s="14" t="s">
        <v>632</v>
      </c>
    </row>
    <row r="325" spans="1:6" x14ac:dyDescent="0.3">
      <c r="A325" s="8">
        <v>46159</v>
      </c>
      <c r="B325" t="s">
        <v>35</v>
      </c>
      <c r="C325" t="s">
        <v>95</v>
      </c>
      <c r="D325" s="1">
        <v>20000</v>
      </c>
      <c r="E325" s="15">
        <v>46143</v>
      </c>
      <c r="F325" s="14" t="s">
        <v>633</v>
      </c>
    </row>
    <row r="326" spans="1:6" x14ac:dyDescent="0.3">
      <c r="A326" s="8">
        <v>46159</v>
      </c>
      <c r="B326" t="s">
        <v>63</v>
      </c>
      <c r="C326" t="s">
        <v>1188</v>
      </c>
      <c r="D326" s="1">
        <v>57450</v>
      </c>
      <c r="E326" s="15">
        <v>46143</v>
      </c>
      <c r="F326" s="14" t="s">
        <v>634</v>
      </c>
    </row>
    <row r="327" spans="1:6" x14ac:dyDescent="0.3">
      <c r="A327" s="8">
        <v>46160</v>
      </c>
      <c r="B327" t="s">
        <v>496</v>
      </c>
      <c r="C327" t="s">
        <v>1188</v>
      </c>
      <c r="D327" s="1">
        <v>29900</v>
      </c>
      <c r="E327" s="15">
        <v>46143</v>
      </c>
      <c r="F327" s="14" t="s">
        <v>635</v>
      </c>
    </row>
    <row r="328" spans="1:6" x14ac:dyDescent="0.3">
      <c r="A328" s="8">
        <v>46161</v>
      </c>
      <c r="B328" t="s">
        <v>41</v>
      </c>
      <c r="C328" t="s">
        <v>97</v>
      </c>
      <c r="D328" s="1">
        <v>160059.76</v>
      </c>
      <c r="E328" s="15">
        <v>46143</v>
      </c>
      <c r="F328" s="14" t="s">
        <v>536</v>
      </c>
    </row>
    <row r="329" spans="1:6" x14ac:dyDescent="0.3">
      <c r="A329" s="8">
        <v>46161</v>
      </c>
      <c r="B329" t="s">
        <v>49</v>
      </c>
      <c r="C329" t="s">
        <v>80</v>
      </c>
      <c r="D329" s="1">
        <v>58090.8</v>
      </c>
      <c r="E329" s="15">
        <v>46143</v>
      </c>
      <c r="F329" s="14" t="s">
        <v>636</v>
      </c>
    </row>
    <row r="330" spans="1:6" x14ac:dyDescent="0.3">
      <c r="A330" s="8">
        <v>46161</v>
      </c>
      <c r="B330" t="s">
        <v>49</v>
      </c>
      <c r="C330" t="s">
        <v>80</v>
      </c>
      <c r="D330" s="1">
        <v>44691.19</v>
      </c>
      <c r="E330" s="15">
        <v>46143</v>
      </c>
      <c r="F330" s="14" t="s">
        <v>637</v>
      </c>
    </row>
    <row r="331" spans="1:6" x14ac:dyDescent="0.3">
      <c r="A331" s="8">
        <v>46161</v>
      </c>
      <c r="B331" t="s">
        <v>461</v>
      </c>
      <c r="C331" t="s">
        <v>77</v>
      </c>
      <c r="D331" s="1">
        <v>15200</v>
      </c>
      <c r="E331" s="15">
        <v>46143</v>
      </c>
      <c r="F331" s="14" t="s">
        <v>638</v>
      </c>
    </row>
    <row r="332" spans="1:6" x14ac:dyDescent="0.3">
      <c r="A332" s="8">
        <v>46161</v>
      </c>
      <c r="B332" t="s">
        <v>444</v>
      </c>
      <c r="C332" t="s">
        <v>1188</v>
      </c>
      <c r="D332" s="1">
        <v>41000</v>
      </c>
      <c r="E332" s="15">
        <v>46143</v>
      </c>
      <c r="F332" s="14" t="s">
        <v>639</v>
      </c>
    </row>
    <row r="333" spans="1:6" x14ac:dyDescent="0.3">
      <c r="A333" s="8">
        <v>46161</v>
      </c>
      <c r="B333" t="s">
        <v>497</v>
      </c>
      <c r="C333" t="s">
        <v>1188</v>
      </c>
      <c r="D333" s="1">
        <v>8000</v>
      </c>
      <c r="E333" s="15">
        <v>46143</v>
      </c>
      <c r="F333" s="14" t="s">
        <v>640</v>
      </c>
    </row>
    <row r="334" spans="1:6" x14ac:dyDescent="0.3">
      <c r="A334" s="8">
        <v>46161</v>
      </c>
      <c r="B334" t="s">
        <v>498</v>
      </c>
      <c r="C334" t="s">
        <v>77</v>
      </c>
      <c r="D334" s="1">
        <v>7400</v>
      </c>
      <c r="E334" s="15">
        <v>46143</v>
      </c>
      <c r="F334" s="14" t="s">
        <v>641</v>
      </c>
    </row>
    <row r="335" spans="1:6" x14ac:dyDescent="0.3">
      <c r="A335" s="8">
        <v>46162</v>
      </c>
      <c r="B335" t="s">
        <v>63</v>
      </c>
      <c r="C335" t="s">
        <v>1188</v>
      </c>
      <c r="D335" s="1">
        <v>39400</v>
      </c>
      <c r="E335" s="15">
        <v>46143</v>
      </c>
      <c r="F335" s="14" t="s">
        <v>642</v>
      </c>
    </row>
    <row r="336" spans="1:6" x14ac:dyDescent="0.3">
      <c r="A336" s="8">
        <v>46162</v>
      </c>
      <c r="B336" t="s">
        <v>49</v>
      </c>
      <c r="C336" t="s">
        <v>80</v>
      </c>
      <c r="D336" s="1">
        <v>55960.800000000003</v>
      </c>
      <c r="E336" s="15">
        <v>46143</v>
      </c>
      <c r="F336" s="14" t="s">
        <v>643</v>
      </c>
    </row>
    <row r="337" spans="1:6" x14ac:dyDescent="0.3">
      <c r="A337" s="8">
        <v>46162</v>
      </c>
      <c r="B337" t="s">
        <v>499</v>
      </c>
      <c r="C337" t="s">
        <v>80</v>
      </c>
      <c r="D337" s="1">
        <v>69999</v>
      </c>
      <c r="E337" s="15">
        <v>46143</v>
      </c>
      <c r="F337" s="14" t="s">
        <v>644</v>
      </c>
    </row>
    <row r="338" spans="1:6" x14ac:dyDescent="0.3">
      <c r="A338" s="8">
        <v>46162</v>
      </c>
      <c r="B338" t="s">
        <v>500</v>
      </c>
      <c r="C338" t="s">
        <v>80</v>
      </c>
      <c r="D338" s="1">
        <v>189863.04000000001</v>
      </c>
      <c r="E338" s="15">
        <v>46143</v>
      </c>
      <c r="F338" s="14" t="s">
        <v>645</v>
      </c>
    </row>
    <row r="339" spans="1:6" x14ac:dyDescent="0.3">
      <c r="A339" s="8">
        <v>46162</v>
      </c>
      <c r="B339" t="s">
        <v>51</v>
      </c>
      <c r="C339" t="s">
        <v>77</v>
      </c>
      <c r="D339" s="1">
        <v>23589</v>
      </c>
      <c r="E339" s="15">
        <v>46143</v>
      </c>
      <c r="F339" s="14" t="s">
        <v>646</v>
      </c>
    </row>
    <row r="340" spans="1:6" x14ac:dyDescent="0.3">
      <c r="A340" s="8">
        <v>46162</v>
      </c>
      <c r="B340" t="s">
        <v>51</v>
      </c>
      <c r="C340" t="s">
        <v>77</v>
      </c>
      <c r="D340" s="1">
        <v>26165</v>
      </c>
      <c r="E340" s="15">
        <v>46143</v>
      </c>
      <c r="F340" s="14" t="s">
        <v>647</v>
      </c>
    </row>
    <row r="341" spans="1:6" x14ac:dyDescent="0.3">
      <c r="A341" s="8">
        <v>46162</v>
      </c>
      <c r="B341" t="s">
        <v>35</v>
      </c>
      <c r="C341" t="s">
        <v>95</v>
      </c>
      <c r="D341" s="1">
        <v>100000</v>
      </c>
      <c r="E341" s="15">
        <v>46143</v>
      </c>
      <c r="F341" s="14" t="s">
        <v>648</v>
      </c>
    </row>
    <row r="342" spans="1:6" x14ac:dyDescent="0.3">
      <c r="A342" s="8">
        <v>46162</v>
      </c>
      <c r="B342" t="s">
        <v>35</v>
      </c>
      <c r="C342" t="s">
        <v>95</v>
      </c>
      <c r="D342" s="1">
        <v>89900</v>
      </c>
      <c r="E342" s="15">
        <v>46143</v>
      </c>
      <c r="F342" s="14" t="s">
        <v>649</v>
      </c>
    </row>
    <row r="343" spans="1:6" x14ac:dyDescent="0.3">
      <c r="A343" s="8">
        <v>46162</v>
      </c>
      <c r="B343" t="s">
        <v>434</v>
      </c>
      <c r="C343" t="s">
        <v>76</v>
      </c>
      <c r="D343" s="1">
        <v>4999999.1100000003</v>
      </c>
      <c r="E343" s="15">
        <v>46143</v>
      </c>
      <c r="F343" s="14" t="s">
        <v>650</v>
      </c>
    </row>
    <row r="344" spans="1:6" x14ac:dyDescent="0.3">
      <c r="A344" s="8">
        <v>46162</v>
      </c>
      <c r="B344" t="s">
        <v>461</v>
      </c>
      <c r="C344" t="s">
        <v>77</v>
      </c>
      <c r="D344" s="1">
        <v>15200</v>
      </c>
      <c r="E344" s="15">
        <v>46143</v>
      </c>
      <c r="F344" s="14" t="s">
        <v>651</v>
      </c>
    </row>
    <row r="345" spans="1:6" x14ac:dyDescent="0.3">
      <c r="A345" s="8">
        <v>46163</v>
      </c>
      <c r="B345" t="s">
        <v>49</v>
      </c>
      <c r="C345" t="s">
        <v>80</v>
      </c>
      <c r="D345" s="1">
        <v>77456.2</v>
      </c>
      <c r="E345" s="15">
        <v>46143</v>
      </c>
      <c r="F345" s="14" t="s">
        <v>652</v>
      </c>
    </row>
    <row r="346" spans="1:6" x14ac:dyDescent="0.3">
      <c r="A346" s="8">
        <v>46163</v>
      </c>
      <c r="B346" t="s">
        <v>35</v>
      </c>
      <c r="C346" t="s">
        <v>95</v>
      </c>
      <c r="D346" s="1">
        <v>82000</v>
      </c>
      <c r="E346" s="15">
        <v>46143</v>
      </c>
      <c r="F346" s="14" t="s">
        <v>653</v>
      </c>
    </row>
    <row r="347" spans="1:6" x14ac:dyDescent="0.3">
      <c r="A347" s="8">
        <v>46163</v>
      </c>
      <c r="B347" t="s">
        <v>35</v>
      </c>
      <c r="C347" t="s">
        <v>95</v>
      </c>
      <c r="D347" s="1">
        <v>150240</v>
      </c>
      <c r="E347" s="15">
        <v>46143</v>
      </c>
      <c r="F347" s="14" t="s">
        <v>654</v>
      </c>
    </row>
    <row r="348" spans="1:6" x14ac:dyDescent="0.3">
      <c r="A348" s="8">
        <v>46163</v>
      </c>
      <c r="B348" t="s">
        <v>35</v>
      </c>
      <c r="C348" t="s">
        <v>95</v>
      </c>
      <c r="D348" s="1">
        <v>154520</v>
      </c>
      <c r="E348" s="15">
        <v>46143</v>
      </c>
      <c r="F348" s="14" t="s">
        <v>655</v>
      </c>
    </row>
    <row r="349" spans="1:6" x14ac:dyDescent="0.3">
      <c r="A349" s="8">
        <v>46163</v>
      </c>
      <c r="B349" t="s">
        <v>35</v>
      </c>
      <c r="C349" t="s">
        <v>95</v>
      </c>
      <c r="D349" s="1">
        <v>99470</v>
      </c>
      <c r="E349" s="15">
        <v>46143</v>
      </c>
      <c r="F349" s="14" t="s">
        <v>656</v>
      </c>
    </row>
    <row r="350" spans="1:6" x14ac:dyDescent="0.3">
      <c r="A350" s="8">
        <v>46163</v>
      </c>
      <c r="B350" t="s">
        <v>501</v>
      </c>
      <c r="C350" t="s">
        <v>76</v>
      </c>
      <c r="D350" s="1">
        <v>337820</v>
      </c>
      <c r="E350" s="15">
        <v>46143</v>
      </c>
      <c r="F350" s="14" t="s">
        <v>657</v>
      </c>
    </row>
    <row r="351" spans="1:6" x14ac:dyDescent="0.3">
      <c r="A351" s="8">
        <v>46163</v>
      </c>
      <c r="B351" t="s">
        <v>51</v>
      </c>
      <c r="C351" t="s">
        <v>77</v>
      </c>
      <c r="D351" s="1">
        <v>15819</v>
      </c>
      <c r="E351" s="15">
        <v>46143</v>
      </c>
      <c r="F351" s="14" t="s">
        <v>658</v>
      </c>
    </row>
    <row r="352" spans="1:6" x14ac:dyDescent="0.3">
      <c r="A352" s="8">
        <v>46163</v>
      </c>
      <c r="B352" t="s">
        <v>500</v>
      </c>
      <c r="C352" t="s">
        <v>76</v>
      </c>
      <c r="D352" s="1">
        <v>98932.6</v>
      </c>
      <c r="E352" s="15">
        <v>46143</v>
      </c>
      <c r="F352" s="14" t="s">
        <v>659</v>
      </c>
    </row>
    <row r="353" spans="1:6" x14ac:dyDescent="0.3">
      <c r="A353" s="8">
        <v>46163</v>
      </c>
      <c r="B353" t="s">
        <v>461</v>
      </c>
      <c r="C353" t="s">
        <v>77</v>
      </c>
      <c r="D353" s="1">
        <v>15200</v>
      </c>
      <c r="E353" s="15">
        <v>46143</v>
      </c>
      <c r="F353" s="14" t="s">
        <v>660</v>
      </c>
    </row>
    <row r="354" spans="1:6" x14ac:dyDescent="0.3">
      <c r="A354" s="8">
        <v>46163</v>
      </c>
      <c r="B354" t="s">
        <v>502</v>
      </c>
      <c r="C354" t="s">
        <v>1177</v>
      </c>
      <c r="D354" s="1">
        <v>55400</v>
      </c>
      <c r="E354" s="15">
        <v>46143</v>
      </c>
      <c r="F354" s="14" t="s">
        <v>661</v>
      </c>
    </row>
    <row r="355" spans="1:6" x14ac:dyDescent="0.3">
      <c r="A355" s="8">
        <v>46163</v>
      </c>
      <c r="B355" t="s">
        <v>497</v>
      </c>
      <c r="C355" t="s">
        <v>76</v>
      </c>
      <c r="D355" s="1">
        <v>51500</v>
      </c>
      <c r="E355" s="15">
        <v>46143</v>
      </c>
      <c r="F355" s="14" t="s">
        <v>662</v>
      </c>
    </row>
    <row r="356" spans="1:6" x14ac:dyDescent="0.3">
      <c r="A356" s="8">
        <v>46164</v>
      </c>
      <c r="B356" t="s">
        <v>35</v>
      </c>
      <c r="C356" t="s">
        <v>95</v>
      </c>
      <c r="D356" s="1">
        <v>106000</v>
      </c>
      <c r="E356" s="15">
        <v>46143</v>
      </c>
      <c r="F356" s="14" t="s">
        <v>663</v>
      </c>
    </row>
    <row r="357" spans="1:6" x14ac:dyDescent="0.3">
      <c r="A357" s="8">
        <v>46164</v>
      </c>
      <c r="B357" t="s">
        <v>51</v>
      </c>
      <c r="C357" t="s">
        <v>77</v>
      </c>
      <c r="D357" s="1">
        <v>42069</v>
      </c>
      <c r="E357" s="15">
        <v>46143</v>
      </c>
      <c r="F357" s="14" t="s">
        <v>664</v>
      </c>
    </row>
    <row r="358" spans="1:6" x14ac:dyDescent="0.3">
      <c r="A358" s="8">
        <v>46164</v>
      </c>
      <c r="B358" t="s">
        <v>41</v>
      </c>
      <c r="C358" t="s">
        <v>97</v>
      </c>
      <c r="D358" s="1">
        <v>400398.4</v>
      </c>
      <c r="E358" s="15">
        <v>46143</v>
      </c>
      <c r="F358" s="14" t="s">
        <v>536</v>
      </c>
    </row>
    <row r="359" spans="1:6" x14ac:dyDescent="0.3">
      <c r="A359" s="8">
        <v>46164</v>
      </c>
      <c r="B359" t="s">
        <v>51</v>
      </c>
      <c r="C359" t="s">
        <v>77</v>
      </c>
      <c r="D359" s="1">
        <v>27169</v>
      </c>
      <c r="E359" s="15">
        <v>46143</v>
      </c>
      <c r="F359" s="14" t="s">
        <v>665</v>
      </c>
    </row>
    <row r="360" spans="1:6" x14ac:dyDescent="0.3">
      <c r="A360" s="8">
        <v>46164</v>
      </c>
      <c r="B360" t="s">
        <v>51</v>
      </c>
      <c r="C360" t="s">
        <v>77</v>
      </c>
      <c r="D360" s="1">
        <v>13558</v>
      </c>
      <c r="E360" s="15">
        <v>46143</v>
      </c>
      <c r="F360" s="14" t="s">
        <v>666</v>
      </c>
    </row>
    <row r="361" spans="1:6" x14ac:dyDescent="0.3">
      <c r="A361" s="8">
        <v>46164</v>
      </c>
      <c r="B361" t="s">
        <v>51</v>
      </c>
      <c r="C361" t="s">
        <v>77</v>
      </c>
      <c r="D361" s="1">
        <v>15411</v>
      </c>
      <c r="E361" s="15">
        <v>46143</v>
      </c>
      <c r="F361" s="14" t="s">
        <v>667</v>
      </c>
    </row>
    <row r="362" spans="1:6" x14ac:dyDescent="0.3">
      <c r="A362" s="8">
        <v>46164</v>
      </c>
      <c r="B362" t="s">
        <v>63</v>
      </c>
      <c r="C362" t="s">
        <v>1188</v>
      </c>
      <c r="D362" s="1">
        <v>116700</v>
      </c>
      <c r="E362" s="15">
        <v>46143</v>
      </c>
      <c r="F362" s="14" t="s">
        <v>668</v>
      </c>
    </row>
    <row r="363" spans="1:6" x14ac:dyDescent="0.3">
      <c r="A363" s="8">
        <v>46164</v>
      </c>
      <c r="B363" t="s">
        <v>35</v>
      </c>
      <c r="C363" t="s">
        <v>95</v>
      </c>
      <c r="D363" s="1">
        <v>200000</v>
      </c>
      <c r="E363" s="15">
        <v>46143</v>
      </c>
      <c r="F363" s="14" t="s">
        <v>669</v>
      </c>
    </row>
    <row r="364" spans="1:6" x14ac:dyDescent="0.3">
      <c r="A364" s="8">
        <v>46164</v>
      </c>
      <c r="B364" t="s">
        <v>51</v>
      </c>
      <c r="C364" t="s">
        <v>77</v>
      </c>
      <c r="D364" s="1">
        <v>14799</v>
      </c>
      <c r="E364" s="15">
        <v>46143</v>
      </c>
      <c r="F364" s="14" t="s">
        <v>670</v>
      </c>
    </row>
    <row r="365" spans="1:6" x14ac:dyDescent="0.3">
      <c r="A365" s="8">
        <v>46164</v>
      </c>
      <c r="B365" t="s">
        <v>51</v>
      </c>
      <c r="C365" t="s">
        <v>77</v>
      </c>
      <c r="D365" s="1">
        <v>15349</v>
      </c>
      <c r="E365" s="15">
        <v>46143</v>
      </c>
      <c r="F365" s="14" t="s">
        <v>671</v>
      </c>
    </row>
    <row r="366" spans="1:6" x14ac:dyDescent="0.3">
      <c r="A366" s="8">
        <v>46164</v>
      </c>
      <c r="B366" t="s">
        <v>51</v>
      </c>
      <c r="C366" t="s">
        <v>77</v>
      </c>
      <c r="D366" s="1">
        <v>16886</v>
      </c>
      <c r="E366" s="15">
        <v>46143</v>
      </c>
      <c r="F366" s="14" t="s">
        <v>672</v>
      </c>
    </row>
    <row r="367" spans="1:6" x14ac:dyDescent="0.3">
      <c r="A367" s="8">
        <v>46164</v>
      </c>
      <c r="B367" t="s">
        <v>41</v>
      </c>
      <c r="C367" t="s">
        <v>97</v>
      </c>
      <c r="D367" s="1">
        <v>300000</v>
      </c>
      <c r="E367" s="15">
        <v>46143</v>
      </c>
      <c r="F367" s="14" t="s">
        <v>536</v>
      </c>
    </row>
    <row r="368" spans="1:6" x14ac:dyDescent="0.3">
      <c r="A368" s="8">
        <v>46164</v>
      </c>
      <c r="B368" t="s">
        <v>35</v>
      </c>
      <c r="C368" t="s">
        <v>95</v>
      </c>
      <c r="D368" s="1">
        <v>80000</v>
      </c>
      <c r="E368" s="15">
        <v>46143</v>
      </c>
      <c r="F368" s="14" t="s">
        <v>673</v>
      </c>
    </row>
    <row r="369" spans="1:6" x14ac:dyDescent="0.3">
      <c r="A369" s="8">
        <v>46164</v>
      </c>
      <c r="B369" t="s">
        <v>461</v>
      </c>
      <c r="C369" t="s">
        <v>77</v>
      </c>
      <c r="D369" s="1">
        <v>15200</v>
      </c>
      <c r="E369" s="15">
        <v>46143</v>
      </c>
      <c r="F369" s="14" t="s">
        <v>674</v>
      </c>
    </row>
    <row r="370" spans="1:6" x14ac:dyDescent="0.3">
      <c r="A370" s="8">
        <v>46164</v>
      </c>
      <c r="B370" t="s">
        <v>63</v>
      </c>
      <c r="C370" t="s">
        <v>1188</v>
      </c>
      <c r="D370" s="1">
        <v>103200</v>
      </c>
      <c r="E370" s="15">
        <v>46143</v>
      </c>
      <c r="F370" s="14" t="s">
        <v>675</v>
      </c>
    </row>
    <row r="371" spans="1:6" x14ac:dyDescent="0.3">
      <c r="A371" s="8">
        <v>46165</v>
      </c>
      <c r="B371" t="s">
        <v>51</v>
      </c>
      <c r="C371" t="s">
        <v>77</v>
      </c>
      <c r="D371" s="1">
        <v>8765</v>
      </c>
      <c r="E371" s="15">
        <v>46143</v>
      </c>
      <c r="F371" s="14" t="s">
        <v>676</v>
      </c>
    </row>
    <row r="372" spans="1:6" x14ac:dyDescent="0.3">
      <c r="A372" s="8">
        <v>46165</v>
      </c>
      <c r="B372" t="s">
        <v>35</v>
      </c>
      <c r="C372" t="s">
        <v>95</v>
      </c>
      <c r="D372" s="1">
        <v>580000</v>
      </c>
      <c r="E372" s="15">
        <v>46143</v>
      </c>
      <c r="F372" s="14" t="s">
        <v>677</v>
      </c>
    </row>
    <row r="373" spans="1:6" x14ac:dyDescent="0.3">
      <c r="A373" s="8">
        <v>46165</v>
      </c>
      <c r="B373" t="s">
        <v>51</v>
      </c>
      <c r="C373" t="s">
        <v>77</v>
      </c>
      <c r="D373" s="1">
        <v>11787</v>
      </c>
      <c r="E373" s="15">
        <v>46143</v>
      </c>
      <c r="F373" s="14" t="s">
        <v>678</v>
      </c>
    </row>
    <row r="374" spans="1:6" x14ac:dyDescent="0.3">
      <c r="A374" s="8">
        <v>46165</v>
      </c>
      <c r="B374" t="s">
        <v>503</v>
      </c>
      <c r="C374" t="s">
        <v>77</v>
      </c>
      <c r="D374" s="1">
        <v>20000</v>
      </c>
      <c r="E374" s="15">
        <v>46143</v>
      </c>
      <c r="F374" s="14" t="s">
        <v>679</v>
      </c>
    </row>
    <row r="375" spans="1:6" x14ac:dyDescent="0.3">
      <c r="A375" s="8">
        <v>46165</v>
      </c>
      <c r="B375" t="s">
        <v>63</v>
      </c>
      <c r="C375" t="s">
        <v>1188</v>
      </c>
      <c r="D375" s="1">
        <v>45150</v>
      </c>
      <c r="E375" s="15">
        <v>46143</v>
      </c>
      <c r="F375" s="14" t="s">
        <v>680</v>
      </c>
    </row>
    <row r="376" spans="1:6" x14ac:dyDescent="0.3">
      <c r="A376" s="8">
        <v>46165</v>
      </c>
      <c r="B376" t="s">
        <v>51</v>
      </c>
      <c r="C376" t="s">
        <v>77</v>
      </c>
      <c r="D376" s="1">
        <v>9697</v>
      </c>
      <c r="E376" s="15">
        <v>46143</v>
      </c>
      <c r="F376" s="14" t="s">
        <v>681</v>
      </c>
    </row>
    <row r="377" spans="1:6" x14ac:dyDescent="0.3">
      <c r="A377" s="8">
        <v>46165</v>
      </c>
      <c r="B377" t="s">
        <v>489</v>
      </c>
      <c r="C377" t="s">
        <v>76</v>
      </c>
      <c r="D377" s="1">
        <v>70800</v>
      </c>
      <c r="E377" s="15">
        <v>46143</v>
      </c>
      <c r="F377" s="14" t="s">
        <v>682</v>
      </c>
    </row>
    <row r="378" spans="1:6" x14ac:dyDescent="0.3">
      <c r="A378" s="8">
        <v>46165</v>
      </c>
      <c r="B378" t="s">
        <v>461</v>
      </c>
      <c r="C378" t="s">
        <v>77</v>
      </c>
      <c r="D378" s="1">
        <v>15200</v>
      </c>
      <c r="E378" s="15">
        <v>46143</v>
      </c>
      <c r="F378" s="14" t="s">
        <v>683</v>
      </c>
    </row>
    <row r="379" spans="1:6" x14ac:dyDescent="0.3">
      <c r="A379" s="8">
        <v>46165</v>
      </c>
      <c r="B379" t="s">
        <v>51</v>
      </c>
      <c r="C379" t="s">
        <v>77</v>
      </c>
      <c r="D379" s="1">
        <v>11062</v>
      </c>
      <c r="E379" s="15">
        <v>46143</v>
      </c>
      <c r="F379" s="14" t="s">
        <v>684</v>
      </c>
    </row>
    <row r="380" spans="1:6" x14ac:dyDescent="0.3">
      <c r="A380" s="8">
        <v>46165</v>
      </c>
      <c r="B380" t="s">
        <v>51</v>
      </c>
      <c r="C380" t="s">
        <v>77</v>
      </c>
      <c r="D380" s="1">
        <v>14065</v>
      </c>
      <c r="E380" s="15">
        <v>46143</v>
      </c>
      <c r="F380" s="14" t="s">
        <v>685</v>
      </c>
    </row>
    <row r="381" spans="1:6" x14ac:dyDescent="0.3">
      <c r="A381" s="8">
        <v>46166</v>
      </c>
      <c r="B381" t="s">
        <v>51</v>
      </c>
      <c r="C381" t="s">
        <v>77</v>
      </c>
      <c r="D381" s="1">
        <v>19243</v>
      </c>
      <c r="E381" s="15">
        <v>46143</v>
      </c>
      <c r="F381" s="14" t="s">
        <v>686</v>
      </c>
    </row>
    <row r="382" spans="1:6" x14ac:dyDescent="0.3">
      <c r="A382" s="8">
        <v>46166</v>
      </c>
      <c r="B382" t="s">
        <v>504</v>
      </c>
      <c r="C382" t="s">
        <v>76</v>
      </c>
      <c r="D382" s="1">
        <v>373157</v>
      </c>
      <c r="E382" s="15">
        <v>46143</v>
      </c>
      <c r="F382" s="14" t="s">
        <v>687</v>
      </c>
    </row>
    <row r="383" spans="1:6" x14ac:dyDescent="0.3">
      <c r="A383" s="8">
        <v>46166</v>
      </c>
      <c r="B383" t="s">
        <v>449</v>
      </c>
      <c r="C383" t="s">
        <v>76</v>
      </c>
      <c r="D383" s="1">
        <v>115733</v>
      </c>
      <c r="E383" s="15">
        <v>46143</v>
      </c>
      <c r="F383" s="14" t="s">
        <v>688</v>
      </c>
    </row>
    <row r="384" spans="1:6" x14ac:dyDescent="0.3">
      <c r="A384" s="8">
        <v>46166</v>
      </c>
      <c r="B384" t="s">
        <v>51</v>
      </c>
      <c r="C384" t="s">
        <v>77</v>
      </c>
      <c r="D384" s="1">
        <v>21260</v>
      </c>
      <c r="E384" s="15">
        <v>46143</v>
      </c>
      <c r="F384" s="14" t="s">
        <v>689</v>
      </c>
    </row>
    <row r="385" spans="1:6" x14ac:dyDescent="0.3">
      <c r="A385" s="8">
        <v>46166</v>
      </c>
      <c r="B385" t="s">
        <v>51</v>
      </c>
      <c r="C385" t="s">
        <v>77</v>
      </c>
      <c r="D385" s="1">
        <v>21712</v>
      </c>
      <c r="E385" s="15">
        <v>46143</v>
      </c>
      <c r="F385" s="14" t="s">
        <v>690</v>
      </c>
    </row>
    <row r="386" spans="1:6" x14ac:dyDescent="0.3">
      <c r="A386" s="8">
        <v>46166</v>
      </c>
      <c r="B386" t="s">
        <v>430</v>
      </c>
      <c r="C386" t="s">
        <v>77</v>
      </c>
      <c r="D386" s="1">
        <v>166366</v>
      </c>
      <c r="E386" s="15">
        <v>46143</v>
      </c>
      <c r="F386" s="14" t="s">
        <v>691</v>
      </c>
    </row>
    <row r="387" spans="1:6" x14ac:dyDescent="0.3">
      <c r="A387" s="8">
        <v>46167</v>
      </c>
      <c r="B387" t="s">
        <v>495</v>
      </c>
      <c r="C387" t="s">
        <v>80</v>
      </c>
      <c r="D387" s="1">
        <v>375230.97</v>
      </c>
      <c r="E387" s="15">
        <v>46143</v>
      </c>
      <c r="F387" s="14" t="s">
        <v>692</v>
      </c>
    </row>
    <row r="388" spans="1:6" x14ac:dyDescent="0.3">
      <c r="A388" s="8">
        <v>46167</v>
      </c>
      <c r="B388" t="s">
        <v>35</v>
      </c>
      <c r="C388" t="s">
        <v>95</v>
      </c>
      <c r="D388" s="1">
        <v>3976451</v>
      </c>
      <c r="E388" s="15">
        <v>46143</v>
      </c>
      <c r="F388" s="14" t="s">
        <v>693</v>
      </c>
    </row>
    <row r="389" spans="1:6" x14ac:dyDescent="0.3">
      <c r="A389" s="8">
        <v>46167</v>
      </c>
      <c r="B389" t="s">
        <v>35</v>
      </c>
      <c r="C389" t="s">
        <v>95</v>
      </c>
      <c r="D389" s="1">
        <v>4393676</v>
      </c>
      <c r="E389" s="15">
        <v>46143</v>
      </c>
      <c r="F389" s="14" t="s">
        <v>694</v>
      </c>
    </row>
    <row r="390" spans="1:6" x14ac:dyDescent="0.3">
      <c r="A390" s="8">
        <v>46167</v>
      </c>
      <c r="B390" t="s">
        <v>49</v>
      </c>
      <c r="C390" t="s">
        <v>80</v>
      </c>
      <c r="D390" s="1">
        <v>112212</v>
      </c>
      <c r="E390" s="15">
        <v>46143</v>
      </c>
      <c r="F390" s="14" t="s">
        <v>695</v>
      </c>
    </row>
    <row r="391" spans="1:6" x14ac:dyDescent="0.3">
      <c r="A391" s="8">
        <v>46167</v>
      </c>
      <c r="B391" t="s">
        <v>35</v>
      </c>
      <c r="C391" t="s">
        <v>95</v>
      </c>
      <c r="D391" s="1">
        <v>190190</v>
      </c>
      <c r="E391" s="15">
        <v>46143</v>
      </c>
      <c r="F391" s="14" t="s">
        <v>696</v>
      </c>
    </row>
    <row r="392" spans="1:6" x14ac:dyDescent="0.3">
      <c r="A392" s="8">
        <v>46167</v>
      </c>
      <c r="B392" t="s">
        <v>35</v>
      </c>
      <c r="C392" t="s">
        <v>95</v>
      </c>
      <c r="D392" s="1">
        <v>175000</v>
      </c>
      <c r="E392" s="15">
        <v>46143</v>
      </c>
      <c r="F392" s="14" t="s">
        <v>697</v>
      </c>
    </row>
    <row r="393" spans="1:6" x14ac:dyDescent="0.3">
      <c r="A393" s="8">
        <v>46167</v>
      </c>
      <c r="B393" t="s">
        <v>461</v>
      </c>
      <c r="C393" t="s">
        <v>77</v>
      </c>
      <c r="D393" s="1">
        <v>15200</v>
      </c>
      <c r="E393" s="15">
        <v>46143</v>
      </c>
      <c r="F393" s="14" t="s">
        <v>698</v>
      </c>
    </row>
    <row r="394" spans="1:6" x14ac:dyDescent="0.3">
      <c r="A394" s="8">
        <v>46167</v>
      </c>
      <c r="B394" t="s">
        <v>63</v>
      </c>
      <c r="C394" t="s">
        <v>1188</v>
      </c>
      <c r="D394" s="1">
        <v>28600</v>
      </c>
      <c r="E394" s="15">
        <v>46143</v>
      </c>
      <c r="F394" s="14" t="s">
        <v>699</v>
      </c>
    </row>
    <row r="395" spans="1:6" x14ac:dyDescent="0.3">
      <c r="A395" s="8">
        <v>46167</v>
      </c>
      <c r="B395" t="s">
        <v>63</v>
      </c>
      <c r="C395" t="s">
        <v>1188</v>
      </c>
      <c r="D395" s="1">
        <v>14800</v>
      </c>
      <c r="E395" s="15">
        <v>46143</v>
      </c>
      <c r="F395" s="14" t="s">
        <v>700</v>
      </c>
    </row>
    <row r="396" spans="1:6" x14ac:dyDescent="0.3">
      <c r="A396" s="8">
        <v>46168</v>
      </c>
      <c r="B396" t="s">
        <v>505</v>
      </c>
      <c r="C396" t="s">
        <v>80</v>
      </c>
      <c r="D396" s="1">
        <v>447725.88</v>
      </c>
      <c r="E396" s="15">
        <v>46143</v>
      </c>
      <c r="F396" s="14" t="s">
        <v>701</v>
      </c>
    </row>
    <row r="397" spans="1:6" x14ac:dyDescent="0.3">
      <c r="A397" s="8">
        <v>46168</v>
      </c>
      <c r="B397" t="s">
        <v>506</v>
      </c>
      <c r="C397" t="s">
        <v>1182</v>
      </c>
      <c r="D397" s="1">
        <v>82490</v>
      </c>
      <c r="E397" s="15">
        <v>46143</v>
      </c>
      <c r="F397" s="14" t="s">
        <v>702</v>
      </c>
    </row>
    <row r="398" spans="1:6" x14ac:dyDescent="0.3">
      <c r="A398" s="8">
        <v>46168</v>
      </c>
      <c r="B398" t="s">
        <v>63</v>
      </c>
      <c r="C398" t="s">
        <v>1188</v>
      </c>
      <c r="D398" s="1">
        <v>14400</v>
      </c>
      <c r="E398" s="15">
        <v>46143</v>
      </c>
      <c r="F398" s="14" t="s">
        <v>703</v>
      </c>
    </row>
    <row r="399" spans="1:6" x14ac:dyDescent="0.3">
      <c r="A399" s="8">
        <v>46168</v>
      </c>
      <c r="B399" t="s">
        <v>35</v>
      </c>
      <c r="C399" t="s">
        <v>95</v>
      </c>
      <c r="D399" s="1">
        <v>50000</v>
      </c>
      <c r="E399" s="15">
        <v>46143</v>
      </c>
      <c r="F399" s="14" t="s">
        <v>704</v>
      </c>
    </row>
    <row r="400" spans="1:6" x14ac:dyDescent="0.3">
      <c r="A400" s="8">
        <v>46168</v>
      </c>
      <c r="B400" t="s">
        <v>35</v>
      </c>
      <c r="C400" t="s">
        <v>95</v>
      </c>
      <c r="D400" s="1">
        <v>175000</v>
      </c>
      <c r="E400" s="15">
        <v>46143</v>
      </c>
      <c r="F400" s="14" t="s">
        <v>705</v>
      </c>
    </row>
    <row r="401" spans="1:6" x14ac:dyDescent="0.3">
      <c r="A401" s="8">
        <v>46168</v>
      </c>
      <c r="B401" t="s">
        <v>498</v>
      </c>
      <c r="C401" t="s">
        <v>76</v>
      </c>
      <c r="D401" s="1">
        <v>10000</v>
      </c>
      <c r="E401" s="15">
        <v>46143</v>
      </c>
      <c r="F401" s="14" t="s">
        <v>706</v>
      </c>
    </row>
    <row r="402" spans="1:6" x14ac:dyDescent="0.3">
      <c r="A402" s="8">
        <v>46169</v>
      </c>
      <c r="B402" t="s">
        <v>35</v>
      </c>
      <c r="C402" t="s">
        <v>95</v>
      </c>
      <c r="D402" s="1">
        <v>12000</v>
      </c>
      <c r="E402" s="15">
        <v>46143</v>
      </c>
      <c r="F402" s="14" t="s">
        <v>707</v>
      </c>
    </row>
    <row r="403" spans="1:6" x14ac:dyDescent="0.3">
      <c r="A403" s="8">
        <v>46169</v>
      </c>
      <c r="B403" t="s">
        <v>48</v>
      </c>
      <c r="C403" t="s">
        <v>77</v>
      </c>
      <c r="D403" s="1">
        <v>9524</v>
      </c>
      <c r="E403" s="15">
        <v>46143</v>
      </c>
      <c r="F403" s="14" t="s">
        <v>708</v>
      </c>
    </row>
    <row r="404" spans="1:6" x14ac:dyDescent="0.3">
      <c r="A404" s="8">
        <v>46169</v>
      </c>
      <c r="B404" t="s">
        <v>63</v>
      </c>
      <c r="C404" t="s">
        <v>1188</v>
      </c>
      <c r="D404" s="1">
        <v>66900</v>
      </c>
      <c r="E404" s="15">
        <v>46143</v>
      </c>
      <c r="F404" s="14" t="s">
        <v>709</v>
      </c>
    </row>
    <row r="405" spans="1:6" x14ac:dyDescent="0.3">
      <c r="A405" s="8">
        <v>46169</v>
      </c>
      <c r="B405" t="s">
        <v>442</v>
      </c>
      <c r="C405" t="s">
        <v>80</v>
      </c>
      <c r="D405" s="1">
        <v>250900</v>
      </c>
      <c r="E405" s="15">
        <v>46143</v>
      </c>
      <c r="F405" s="14" t="s">
        <v>710</v>
      </c>
    </row>
    <row r="406" spans="1:6" x14ac:dyDescent="0.3">
      <c r="A406" s="8">
        <v>46169</v>
      </c>
      <c r="B406" t="s">
        <v>35</v>
      </c>
      <c r="C406" t="s">
        <v>95</v>
      </c>
      <c r="D406" s="1">
        <v>1750000</v>
      </c>
      <c r="E406" s="15">
        <v>46143</v>
      </c>
      <c r="F406" s="14" t="s">
        <v>711</v>
      </c>
    </row>
    <row r="407" spans="1:6" x14ac:dyDescent="0.3">
      <c r="A407" s="8">
        <v>46169</v>
      </c>
      <c r="B407" t="s">
        <v>51</v>
      </c>
      <c r="C407" t="s">
        <v>77</v>
      </c>
      <c r="D407" s="1">
        <v>10159</v>
      </c>
      <c r="E407" s="15">
        <v>46143</v>
      </c>
      <c r="F407" s="14" t="s">
        <v>712</v>
      </c>
    </row>
    <row r="408" spans="1:6" x14ac:dyDescent="0.3">
      <c r="A408" s="8">
        <v>46169</v>
      </c>
      <c r="B408" t="s">
        <v>434</v>
      </c>
      <c r="C408" t="s">
        <v>76</v>
      </c>
      <c r="D408" s="1">
        <v>1499999.13</v>
      </c>
      <c r="E408" s="15">
        <v>46143</v>
      </c>
      <c r="F408" s="14" t="s">
        <v>713</v>
      </c>
    </row>
    <row r="409" spans="1:6" x14ac:dyDescent="0.3">
      <c r="A409" s="8">
        <v>46169</v>
      </c>
      <c r="B409" t="s">
        <v>35</v>
      </c>
      <c r="C409" t="s">
        <v>95</v>
      </c>
      <c r="D409" s="1">
        <v>2620000</v>
      </c>
      <c r="E409" s="15">
        <v>46143</v>
      </c>
      <c r="F409" s="14" t="s">
        <v>714</v>
      </c>
    </row>
    <row r="410" spans="1:6" x14ac:dyDescent="0.3">
      <c r="A410" s="8">
        <v>46169</v>
      </c>
      <c r="B410" t="s">
        <v>36</v>
      </c>
      <c r="C410" t="s">
        <v>77</v>
      </c>
      <c r="D410" s="1">
        <v>15200</v>
      </c>
      <c r="E410" s="15">
        <v>46143</v>
      </c>
      <c r="F410" s="14" t="s">
        <v>715</v>
      </c>
    </row>
    <row r="411" spans="1:6" x14ac:dyDescent="0.3">
      <c r="A411" s="8">
        <v>46169</v>
      </c>
      <c r="B411" t="s">
        <v>51</v>
      </c>
      <c r="C411" t="s">
        <v>77</v>
      </c>
      <c r="D411" s="1">
        <v>12967</v>
      </c>
      <c r="E411" s="15">
        <v>46143</v>
      </c>
      <c r="F411" s="14" t="s">
        <v>716</v>
      </c>
    </row>
    <row r="412" spans="1:6" x14ac:dyDescent="0.3">
      <c r="A412" s="8">
        <v>46169</v>
      </c>
      <c r="B412" t="s">
        <v>470</v>
      </c>
      <c r="C412" t="s">
        <v>76</v>
      </c>
      <c r="D412" s="1">
        <v>442365.84</v>
      </c>
      <c r="E412" s="15">
        <v>46143</v>
      </c>
      <c r="F412" s="14" t="s">
        <v>717</v>
      </c>
    </row>
    <row r="413" spans="1:6" x14ac:dyDescent="0.3">
      <c r="A413" s="8">
        <v>46170</v>
      </c>
      <c r="B413" t="s">
        <v>51</v>
      </c>
      <c r="C413" t="s">
        <v>77</v>
      </c>
      <c r="D413" s="1">
        <v>10417</v>
      </c>
      <c r="E413" s="15">
        <v>46143</v>
      </c>
      <c r="F413" s="14" t="s">
        <v>718</v>
      </c>
    </row>
    <row r="414" spans="1:6" x14ac:dyDescent="0.3">
      <c r="A414" s="8">
        <v>46170</v>
      </c>
      <c r="B414" t="s">
        <v>63</v>
      </c>
      <c r="C414" t="s">
        <v>1188</v>
      </c>
      <c r="D414" s="1">
        <v>28700</v>
      </c>
      <c r="E414" s="15">
        <v>46143</v>
      </c>
      <c r="F414" s="14" t="s">
        <v>719</v>
      </c>
    </row>
    <row r="415" spans="1:6" x14ac:dyDescent="0.3">
      <c r="A415" s="8">
        <v>46170</v>
      </c>
      <c r="B415" t="s">
        <v>35</v>
      </c>
      <c r="C415" t="s">
        <v>95</v>
      </c>
      <c r="D415" s="1">
        <v>131090</v>
      </c>
      <c r="E415" s="15">
        <v>46143</v>
      </c>
      <c r="F415" s="14" t="s">
        <v>720</v>
      </c>
    </row>
    <row r="416" spans="1:6" x14ac:dyDescent="0.3">
      <c r="A416" s="8">
        <v>46170</v>
      </c>
      <c r="B416" t="s">
        <v>429</v>
      </c>
      <c r="C416" t="s">
        <v>81</v>
      </c>
      <c r="D416" s="1">
        <v>32900</v>
      </c>
      <c r="E416" s="15">
        <v>46143</v>
      </c>
      <c r="F416" s="14" t="s">
        <v>721</v>
      </c>
    </row>
    <row r="417" spans="1:6" x14ac:dyDescent="0.3">
      <c r="A417" s="8">
        <v>46170</v>
      </c>
      <c r="B417" t="s">
        <v>35</v>
      </c>
      <c r="C417" t="s">
        <v>95</v>
      </c>
      <c r="D417" s="1">
        <v>490000</v>
      </c>
      <c r="E417" s="15">
        <v>46143</v>
      </c>
      <c r="F417" s="14" t="s">
        <v>722</v>
      </c>
    </row>
    <row r="418" spans="1:6" x14ac:dyDescent="0.3">
      <c r="A418" s="8">
        <v>46170</v>
      </c>
      <c r="B418" t="s">
        <v>35</v>
      </c>
      <c r="C418" t="s">
        <v>95</v>
      </c>
      <c r="D418" s="1">
        <v>200000</v>
      </c>
      <c r="E418" s="15">
        <v>46143</v>
      </c>
      <c r="F418" s="14" t="s">
        <v>723</v>
      </c>
    </row>
    <row r="419" spans="1:6" x14ac:dyDescent="0.3">
      <c r="A419" s="8">
        <v>46170</v>
      </c>
      <c r="B419" t="s">
        <v>49</v>
      </c>
      <c r="C419" t="s">
        <v>80</v>
      </c>
      <c r="D419" s="1">
        <v>166689</v>
      </c>
      <c r="E419" s="15">
        <v>46143</v>
      </c>
      <c r="F419" s="14" t="s">
        <v>724</v>
      </c>
    </row>
    <row r="420" spans="1:6" x14ac:dyDescent="0.3">
      <c r="A420" s="8">
        <v>46170</v>
      </c>
      <c r="B420" t="s">
        <v>35</v>
      </c>
      <c r="C420" t="s">
        <v>95</v>
      </c>
      <c r="D420" s="1">
        <v>200000</v>
      </c>
      <c r="E420" s="15">
        <v>46143</v>
      </c>
      <c r="F420" s="14" t="s">
        <v>725</v>
      </c>
    </row>
    <row r="421" spans="1:6" x14ac:dyDescent="0.3">
      <c r="A421" s="8">
        <v>46170</v>
      </c>
      <c r="B421" t="s">
        <v>35</v>
      </c>
      <c r="C421" t="s">
        <v>95</v>
      </c>
      <c r="D421" s="1">
        <v>816000</v>
      </c>
      <c r="E421" s="15">
        <v>46143</v>
      </c>
      <c r="F421" s="14" t="s">
        <v>726</v>
      </c>
    </row>
    <row r="422" spans="1:6" x14ac:dyDescent="0.3">
      <c r="A422" s="8">
        <v>46170</v>
      </c>
      <c r="B422" t="s">
        <v>461</v>
      </c>
      <c r="C422" t="s">
        <v>77</v>
      </c>
      <c r="D422" s="1">
        <v>15200</v>
      </c>
      <c r="E422" s="15">
        <v>46143</v>
      </c>
      <c r="F422" s="14" t="s">
        <v>727</v>
      </c>
    </row>
    <row r="423" spans="1:6" x14ac:dyDescent="0.3">
      <c r="A423" s="8">
        <v>46170</v>
      </c>
      <c r="B423" t="s">
        <v>35</v>
      </c>
      <c r="C423" t="s">
        <v>95</v>
      </c>
      <c r="D423" s="1">
        <v>600000</v>
      </c>
      <c r="E423" s="15">
        <v>46143</v>
      </c>
      <c r="F423" s="14" t="s">
        <v>728</v>
      </c>
    </row>
    <row r="424" spans="1:6" x14ac:dyDescent="0.3">
      <c r="A424" s="8">
        <v>46170</v>
      </c>
      <c r="B424" t="s">
        <v>507</v>
      </c>
      <c r="C424" t="s">
        <v>91</v>
      </c>
      <c r="D424" s="1">
        <v>1999999.85</v>
      </c>
      <c r="E424" s="15">
        <v>46143</v>
      </c>
      <c r="F424" s="14" t="s">
        <v>729</v>
      </c>
    </row>
    <row r="425" spans="1:6" x14ac:dyDescent="0.3">
      <c r="A425" s="8">
        <v>46170</v>
      </c>
      <c r="B425" t="s">
        <v>464</v>
      </c>
      <c r="C425" t="s">
        <v>1182</v>
      </c>
      <c r="D425" s="1">
        <v>129909</v>
      </c>
      <c r="E425" s="15">
        <v>46143</v>
      </c>
      <c r="F425" s="14" t="s">
        <v>730</v>
      </c>
    </row>
    <row r="426" spans="1:6" x14ac:dyDescent="0.3">
      <c r="A426" s="8">
        <v>46171</v>
      </c>
      <c r="B426" t="s">
        <v>444</v>
      </c>
      <c r="C426" t="s">
        <v>1188</v>
      </c>
      <c r="D426" s="1">
        <v>37000</v>
      </c>
      <c r="E426" s="15">
        <v>46143</v>
      </c>
      <c r="F426" s="14" t="s">
        <v>731</v>
      </c>
    </row>
    <row r="427" spans="1:6" x14ac:dyDescent="0.3">
      <c r="A427" s="8">
        <v>46171</v>
      </c>
      <c r="B427" t="s">
        <v>35</v>
      </c>
      <c r="C427" t="s">
        <v>95</v>
      </c>
      <c r="D427" s="1">
        <v>3916640</v>
      </c>
      <c r="E427" s="15">
        <v>46143</v>
      </c>
      <c r="F427" s="14" t="s">
        <v>732</v>
      </c>
    </row>
    <row r="428" spans="1:6" x14ac:dyDescent="0.3">
      <c r="A428" s="8">
        <v>46171</v>
      </c>
      <c r="B428" t="s">
        <v>35</v>
      </c>
      <c r="C428" t="s">
        <v>95</v>
      </c>
      <c r="D428" s="1">
        <v>3976451</v>
      </c>
      <c r="E428" s="15">
        <v>46143</v>
      </c>
      <c r="F428" s="14" t="s">
        <v>733</v>
      </c>
    </row>
    <row r="429" spans="1:6" x14ac:dyDescent="0.3">
      <c r="A429" s="8">
        <v>46171</v>
      </c>
      <c r="B429" t="s">
        <v>35</v>
      </c>
      <c r="C429" t="s">
        <v>95</v>
      </c>
      <c r="D429" s="1">
        <v>102000</v>
      </c>
      <c r="E429" s="15">
        <v>46143</v>
      </c>
      <c r="F429" s="14" t="s">
        <v>734</v>
      </c>
    </row>
    <row r="430" spans="1:6" x14ac:dyDescent="0.3">
      <c r="A430" s="8">
        <v>46171</v>
      </c>
      <c r="B430" t="s">
        <v>63</v>
      </c>
      <c r="C430" t="s">
        <v>1188</v>
      </c>
      <c r="D430" s="1">
        <v>41050</v>
      </c>
      <c r="E430" s="15">
        <v>46143</v>
      </c>
      <c r="F430" s="14" t="s">
        <v>735</v>
      </c>
    </row>
    <row r="431" spans="1:6" x14ac:dyDescent="0.3">
      <c r="A431" s="8">
        <v>46171</v>
      </c>
      <c r="B431" t="s">
        <v>434</v>
      </c>
      <c r="C431" t="s">
        <v>76</v>
      </c>
      <c r="D431" s="1">
        <v>1757429.9</v>
      </c>
      <c r="E431" s="15">
        <v>46143</v>
      </c>
      <c r="F431" s="14" t="s">
        <v>736</v>
      </c>
    </row>
    <row r="432" spans="1:6" x14ac:dyDescent="0.3">
      <c r="A432" s="8">
        <v>46171</v>
      </c>
      <c r="B432" t="s">
        <v>35</v>
      </c>
      <c r="C432" t="s">
        <v>95</v>
      </c>
      <c r="D432" s="1">
        <v>1500000</v>
      </c>
      <c r="E432" s="15">
        <v>46143</v>
      </c>
      <c r="F432" s="14" t="s">
        <v>737</v>
      </c>
    </row>
    <row r="433" spans="1:6" x14ac:dyDescent="0.3">
      <c r="A433" s="8">
        <v>46171</v>
      </c>
      <c r="B433" t="s">
        <v>461</v>
      </c>
      <c r="C433" t="s">
        <v>77</v>
      </c>
      <c r="D433" s="1">
        <v>15200</v>
      </c>
      <c r="E433" s="15">
        <v>46143</v>
      </c>
      <c r="F433" s="14" t="s">
        <v>738</v>
      </c>
    </row>
    <row r="434" spans="1:6" x14ac:dyDescent="0.3">
      <c r="A434" s="8">
        <v>46171</v>
      </c>
      <c r="B434" t="s">
        <v>491</v>
      </c>
      <c r="C434" t="s">
        <v>1188</v>
      </c>
      <c r="D434" s="1">
        <v>14080</v>
      </c>
      <c r="E434" s="15">
        <v>46143</v>
      </c>
      <c r="F434" s="14" t="s">
        <v>739</v>
      </c>
    </row>
    <row r="435" spans="1:6" x14ac:dyDescent="0.3">
      <c r="A435" s="8">
        <v>46172</v>
      </c>
      <c r="B435" t="s">
        <v>35</v>
      </c>
      <c r="C435" t="s">
        <v>95</v>
      </c>
      <c r="D435" s="1">
        <v>580000</v>
      </c>
      <c r="E435" s="15">
        <v>46143</v>
      </c>
      <c r="F435" s="14" t="s">
        <v>740</v>
      </c>
    </row>
    <row r="436" spans="1:6" x14ac:dyDescent="0.3">
      <c r="A436" s="8">
        <v>46172</v>
      </c>
      <c r="B436" t="s">
        <v>35</v>
      </c>
      <c r="C436" t="s">
        <v>95</v>
      </c>
      <c r="D436" s="1">
        <v>510000</v>
      </c>
      <c r="E436" s="15">
        <v>46143</v>
      </c>
      <c r="F436" s="14" t="s">
        <v>741</v>
      </c>
    </row>
    <row r="437" spans="1:6" x14ac:dyDescent="0.3">
      <c r="A437" s="8">
        <v>46172</v>
      </c>
      <c r="B437" t="s">
        <v>41</v>
      </c>
      <c r="C437" t="s">
        <v>97</v>
      </c>
      <c r="D437" s="1">
        <v>3000000</v>
      </c>
      <c r="E437" s="15">
        <v>46143</v>
      </c>
      <c r="F437" s="14" t="s">
        <v>536</v>
      </c>
    </row>
    <row r="438" spans="1:6" x14ac:dyDescent="0.3">
      <c r="A438" s="8">
        <v>46172</v>
      </c>
      <c r="B438" t="s">
        <v>63</v>
      </c>
      <c r="C438" t="s">
        <v>1188</v>
      </c>
      <c r="D438" s="1">
        <v>54000</v>
      </c>
      <c r="E438" s="15">
        <v>46143</v>
      </c>
      <c r="F438" s="14" t="s">
        <v>742</v>
      </c>
    </row>
    <row r="439" spans="1:6" x14ac:dyDescent="0.3">
      <c r="A439" s="8">
        <v>46172</v>
      </c>
      <c r="B439" t="s">
        <v>35</v>
      </c>
      <c r="C439" t="s">
        <v>95</v>
      </c>
      <c r="D439" s="1">
        <v>438100</v>
      </c>
      <c r="E439" s="15">
        <v>46143</v>
      </c>
      <c r="F439" s="14" t="s">
        <v>743</v>
      </c>
    </row>
    <row r="440" spans="1:6" x14ac:dyDescent="0.3">
      <c r="A440" s="8">
        <v>46172</v>
      </c>
      <c r="B440" t="s">
        <v>508</v>
      </c>
      <c r="C440" t="s">
        <v>76</v>
      </c>
      <c r="D440" s="1">
        <v>24900</v>
      </c>
      <c r="E440" s="15">
        <v>46143</v>
      </c>
      <c r="F440" s="14" t="s">
        <v>744</v>
      </c>
    </row>
    <row r="441" spans="1:6" x14ac:dyDescent="0.3">
      <c r="A441" s="8">
        <v>46172</v>
      </c>
      <c r="B441" t="s">
        <v>509</v>
      </c>
      <c r="C441" t="s">
        <v>76</v>
      </c>
      <c r="D441" s="1">
        <v>13000</v>
      </c>
      <c r="E441" s="15">
        <v>46143</v>
      </c>
      <c r="F441" s="14" t="s">
        <v>745</v>
      </c>
    </row>
    <row r="442" spans="1:6" x14ac:dyDescent="0.3">
      <c r="A442" s="8">
        <v>46172</v>
      </c>
      <c r="B442" t="s">
        <v>510</v>
      </c>
      <c r="C442" t="s">
        <v>76</v>
      </c>
      <c r="D442" s="1">
        <v>53500</v>
      </c>
      <c r="E442" s="15">
        <v>46143</v>
      </c>
      <c r="F442" s="14" t="s">
        <v>746</v>
      </c>
    </row>
    <row r="443" spans="1:6" x14ac:dyDescent="0.3">
      <c r="A443" s="8">
        <v>46172</v>
      </c>
      <c r="B443" t="s">
        <v>510</v>
      </c>
      <c r="C443" t="s">
        <v>76</v>
      </c>
      <c r="D443" s="1">
        <v>12900</v>
      </c>
      <c r="E443" s="15">
        <v>46143</v>
      </c>
      <c r="F443" s="14" t="s">
        <v>747</v>
      </c>
    </row>
    <row r="444" spans="1:6" x14ac:dyDescent="0.3">
      <c r="A444" s="8">
        <v>46172</v>
      </c>
      <c r="B444" t="s">
        <v>510</v>
      </c>
      <c r="C444" t="s">
        <v>76</v>
      </c>
      <c r="D444" s="1">
        <v>29900</v>
      </c>
      <c r="E444" s="15">
        <v>46143</v>
      </c>
      <c r="F444" s="14" t="s">
        <v>748</v>
      </c>
    </row>
    <row r="445" spans="1:6" x14ac:dyDescent="0.3">
      <c r="A445" s="8">
        <v>46172</v>
      </c>
      <c r="B445" t="s">
        <v>510</v>
      </c>
      <c r="C445" t="s">
        <v>76</v>
      </c>
      <c r="D445" s="1">
        <v>53500</v>
      </c>
      <c r="E445" s="15">
        <v>46143</v>
      </c>
      <c r="F445" s="14" t="s">
        <v>749</v>
      </c>
    </row>
    <row r="446" spans="1:6" x14ac:dyDescent="0.3">
      <c r="A446" s="8">
        <v>46173</v>
      </c>
      <c r="B446" t="s">
        <v>51</v>
      </c>
      <c r="C446" t="s">
        <v>77</v>
      </c>
      <c r="D446" s="1">
        <v>19937</v>
      </c>
      <c r="E446" s="15">
        <v>46143</v>
      </c>
      <c r="F446" s="14" t="s">
        <v>750</v>
      </c>
    </row>
    <row r="447" spans="1:6" x14ac:dyDescent="0.3">
      <c r="A447" s="8">
        <v>46173</v>
      </c>
      <c r="B447" t="s">
        <v>51</v>
      </c>
      <c r="C447" t="s">
        <v>77</v>
      </c>
      <c r="D447" s="1">
        <v>22943</v>
      </c>
      <c r="E447" s="15">
        <v>46143</v>
      </c>
      <c r="F447" s="14" t="s">
        <v>751</v>
      </c>
    </row>
    <row r="448" spans="1:6" x14ac:dyDescent="0.3">
      <c r="A448" s="8">
        <v>46173</v>
      </c>
      <c r="B448" t="s">
        <v>511</v>
      </c>
      <c r="C448" t="s">
        <v>1188</v>
      </c>
      <c r="D448" s="1">
        <v>52600</v>
      </c>
      <c r="E448" s="15">
        <v>46143</v>
      </c>
      <c r="F448" s="14" t="s">
        <v>752</v>
      </c>
    </row>
    <row r="449" spans="1:6" x14ac:dyDescent="0.3">
      <c r="A449" s="8">
        <v>46173</v>
      </c>
      <c r="B449" t="s">
        <v>512</v>
      </c>
      <c r="C449" t="s">
        <v>76</v>
      </c>
      <c r="D449" s="1">
        <v>35000</v>
      </c>
      <c r="E449" s="15">
        <v>46143</v>
      </c>
      <c r="F449" s="14" t="s">
        <v>753</v>
      </c>
    </row>
    <row r="450" spans="1:6" x14ac:dyDescent="0.3">
      <c r="A450" s="8">
        <v>46173</v>
      </c>
      <c r="B450" t="s">
        <v>513</v>
      </c>
      <c r="C450" t="s">
        <v>76</v>
      </c>
      <c r="D450" s="1">
        <v>189550</v>
      </c>
      <c r="E450" s="15">
        <v>46143</v>
      </c>
      <c r="F450" s="14" t="s">
        <v>754</v>
      </c>
    </row>
    <row r="451" spans="1:6" x14ac:dyDescent="0.3">
      <c r="A451" s="8">
        <v>46173</v>
      </c>
      <c r="B451" t="s">
        <v>37</v>
      </c>
      <c r="C451" t="s">
        <v>1188</v>
      </c>
      <c r="D451" s="1">
        <v>34900</v>
      </c>
      <c r="E451" s="15">
        <v>46143</v>
      </c>
      <c r="F451" s="14" t="s">
        <v>755</v>
      </c>
    </row>
    <row r="452" spans="1:6" x14ac:dyDescent="0.3">
      <c r="A452" s="8">
        <v>46173</v>
      </c>
      <c r="B452" t="s">
        <v>514</v>
      </c>
      <c r="C452" t="s">
        <v>1190</v>
      </c>
      <c r="D452" s="1">
        <v>316127.27</v>
      </c>
      <c r="E452" s="15">
        <v>46143</v>
      </c>
      <c r="F452" s="14" t="s">
        <v>536</v>
      </c>
    </row>
    <row r="453" spans="1:6" x14ac:dyDescent="0.3">
      <c r="A453" s="8">
        <v>46173</v>
      </c>
      <c r="B453" t="s">
        <v>515</v>
      </c>
      <c r="C453" t="s">
        <v>1190</v>
      </c>
      <c r="D453" s="1">
        <v>3799.24</v>
      </c>
      <c r="E453" s="15">
        <v>46143</v>
      </c>
      <c r="F453" s="14" t="s">
        <v>536</v>
      </c>
    </row>
    <row r="454" spans="1:6" x14ac:dyDescent="0.3">
      <c r="A454" s="8">
        <v>46173</v>
      </c>
      <c r="B454" t="s">
        <v>516</v>
      </c>
      <c r="C454" t="s">
        <v>78</v>
      </c>
      <c r="D454" s="1">
        <v>19996</v>
      </c>
      <c r="E454" s="15">
        <v>46143</v>
      </c>
      <c r="F454" s="14" t="s">
        <v>536</v>
      </c>
    </row>
    <row r="455" spans="1:6" x14ac:dyDescent="0.3">
      <c r="A455" s="8">
        <v>46174</v>
      </c>
      <c r="B455" t="s">
        <v>799</v>
      </c>
      <c r="C455" t="s">
        <v>76</v>
      </c>
      <c r="D455" s="1">
        <v>12000</v>
      </c>
      <c r="E455" s="15">
        <v>46174</v>
      </c>
      <c r="F455" s="14" t="s">
        <v>859</v>
      </c>
    </row>
    <row r="456" spans="1:6" x14ac:dyDescent="0.3">
      <c r="A456" s="8">
        <v>46174</v>
      </c>
      <c r="B456" t="s">
        <v>56</v>
      </c>
      <c r="C456" t="s">
        <v>77</v>
      </c>
      <c r="D456" s="1">
        <v>61756</v>
      </c>
      <c r="E456" s="15">
        <v>46174</v>
      </c>
      <c r="F456" s="14" t="s">
        <v>860</v>
      </c>
    </row>
    <row r="457" spans="1:6" x14ac:dyDescent="0.3">
      <c r="A457" s="8">
        <v>46174</v>
      </c>
      <c r="B457" t="s">
        <v>429</v>
      </c>
      <c r="C457" t="s">
        <v>81</v>
      </c>
      <c r="D457" s="1">
        <v>8800</v>
      </c>
      <c r="E457" s="15">
        <v>46174</v>
      </c>
      <c r="F457" s="14" t="s">
        <v>861</v>
      </c>
    </row>
    <row r="458" spans="1:6" x14ac:dyDescent="0.3">
      <c r="A458" s="8">
        <v>46174</v>
      </c>
      <c r="B458" t="s">
        <v>51</v>
      </c>
      <c r="C458" t="s">
        <v>77</v>
      </c>
      <c r="D458" s="1">
        <v>18949</v>
      </c>
      <c r="E458" s="15">
        <v>46174</v>
      </c>
      <c r="F458" s="14" t="s">
        <v>862</v>
      </c>
    </row>
    <row r="459" spans="1:6" x14ac:dyDescent="0.3">
      <c r="A459" s="8">
        <v>46174</v>
      </c>
      <c r="B459" t="s">
        <v>800</v>
      </c>
      <c r="C459" t="s">
        <v>1188</v>
      </c>
      <c r="D459" s="1">
        <v>25500</v>
      </c>
      <c r="E459" s="15">
        <v>46174</v>
      </c>
      <c r="F459" s="14" t="s">
        <v>863</v>
      </c>
    </row>
    <row r="460" spans="1:6" x14ac:dyDescent="0.3">
      <c r="A460" s="8">
        <v>46174</v>
      </c>
      <c r="B460" t="s">
        <v>51</v>
      </c>
      <c r="C460" t="s">
        <v>77</v>
      </c>
      <c r="D460" s="1">
        <v>19294</v>
      </c>
      <c r="E460" s="15">
        <v>46174</v>
      </c>
      <c r="F460" s="14" t="s">
        <v>864</v>
      </c>
    </row>
    <row r="461" spans="1:6" x14ac:dyDescent="0.3">
      <c r="A461" s="8">
        <v>46174</v>
      </c>
      <c r="B461" t="s">
        <v>429</v>
      </c>
      <c r="C461" t="s">
        <v>81</v>
      </c>
      <c r="D461" s="1">
        <v>9190</v>
      </c>
      <c r="E461" s="15">
        <v>46174</v>
      </c>
      <c r="F461" s="14" t="s">
        <v>865</v>
      </c>
    </row>
    <row r="462" spans="1:6" x14ac:dyDescent="0.3">
      <c r="A462" s="8">
        <v>46174</v>
      </c>
      <c r="B462" t="s">
        <v>429</v>
      </c>
      <c r="C462" t="s">
        <v>81</v>
      </c>
      <c r="D462" s="1">
        <v>12400</v>
      </c>
      <c r="E462" s="15">
        <v>46174</v>
      </c>
      <c r="F462" s="14" t="s">
        <v>866</v>
      </c>
    </row>
    <row r="463" spans="1:6" x14ac:dyDescent="0.3">
      <c r="A463" s="8">
        <v>46174</v>
      </c>
      <c r="B463" t="s">
        <v>51</v>
      </c>
      <c r="C463" t="s">
        <v>77</v>
      </c>
      <c r="D463" s="1">
        <v>13461</v>
      </c>
      <c r="E463" s="15">
        <v>46174</v>
      </c>
      <c r="F463" s="14" t="s">
        <v>867</v>
      </c>
    </row>
    <row r="464" spans="1:6" x14ac:dyDescent="0.3">
      <c r="A464" s="8">
        <v>46174</v>
      </c>
      <c r="B464" t="s">
        <v>51</v>
      </c>
      <c r="C464" t="s">
        <v>77</v>
      </c>
      <c r="D464" s="1">
        <v>13492</v>
      </c>
      <c r="E464" s="15">
        <v>46174</v>
      </c>
      <c r="F464" s="14" t="s">
        <v>868</v>
      </c>
    </row>
    <row r="465" spans="1:6" x14ac:dyDescent="0.3">
      <c r="A465" s="8">
        <v>46174</v>
      </c>
      <c r="B465" t="s">
        <v>51</v>
      </c>
      <c r="C465" t="s">
        <v>77</v>
      </c>
      <c r="D465" s="1">
        <v>13576</v>
      </c>
      <c r="E465" s="15">
        <v>46174</v>
      </c>
      <c r="F465" s="14" t="s">
        <v>869</v>
      </c>
    </row>
    <row r="466" spans="1:6" x14ac:dyDescent="0.3">
      <c r="A466" s="8">
        <v>46174</v>
      </c>
      <c r="B466" t="s">
        <v>35</v>
      </c>
      <c r="C466" t="s">
        <v>95</v>
      </c>
      <c r="D466" s="1">
        <v>20000</v>
      </c>
      <c r="E466" s="15">
        <v>46174</v>
      </c>
      <c r="F466" s="14" t="s">
        <v>870</v>
      </c>
    </row>
    <row r="467" spans="1:6" x14ac:dyDescent="0.3">
      <c r="A467" s="8">
        <v>46174</v>
      </c>
      <c r="B467" t="s">
        <v>473</v>
      </c>
      <c r="C467" t="s">
        <v>76</v>
      </c>
      <c r="D467" s="1">
        <v>1149999.1100000001</v>
      </c>
      <c r="E467" s="15">
        <v>46174</v>
      </c>
      <c r="F467" s="14" t="s">
        <v>871</v>
      </c>
    </row>
    <row r="468" spans="1:6" x14ac:dyDescent="0.3">
      <c r="A468" s="8">
        <v>46174</v>
      </c>
      <c r="B468" t="s">
        <v>801</v>
      </c>
      <c r="C468" t="s">
        <v>76</v>
      </c>
      <c r="D468" s="1">
        <v>599999.11</v>
      </c>
      <c r="E468" s="15">
        <v>46174</v>
      </c>
      <c r="F468" s="14" t="s">
        <v>872</v>
      </c>
    </row>
    <row r="469" spans="1:6" x14ac:dyDescent="0.3">
      <c r="A469" s="8">
        <v>46174</v>
      </c>
      <c r="B469" t="s">
        <v>802</v>
      </c>
      <c r="C469" t="s">
        <v>1185</v>
      </c>
      <c r="D469" s="1">
        <v>3499999.29</v>
      </c>
      <c r="E469" s="15">
        <v>46174</v>
      </c>
      <c r="F469" s="14" t="s">
        <v>873</v>
      </c>
    </row>
    <row r="470" spans="1:6" x14ac:dyDescent="0.3">
      <c r="A470" s="8">
        <v>46174</v>
      </c>
      <c r="B470" t="s">
        <v>434</v>
      </c>
      <c r="C470" t="s">
        <v>76</v>
      </c>
      <c r="D470" s="1">
        <v>4722899.51</v>
      </c>
      <c r="E470" s="15">
        <v>46174</v>
      </c>
      <c r="F470" s="14" t="s">
        <v>874</v>
      </c>
    </row>
    <row r="471" spans="1:6" x14ac:dyDescent="0.3">
      <c r="A471" s="8">
        <v>46174</v>
      </c>
      <c r="B471" t="s">
        <v>35</v>
      </c>
      <c r="C471" t="s">
        <v>95</v>
      </c>
      <c r="D471" s="1">
        <v>257682.34</v>
      </c>
      <c r="E471" s="15">
        <v>46174</v>
      </c>
      <c r="F471" s="14" t="s">
        <v>875</v>
      </c>
    </row>
    <row r="472" spans="1:6" x14ac:dyDescent="0.3">
      <c r="A472" s="8">
        <v>46174</v>
      </c>
      <c r="B472" t="s">
        <v>35</v>
      </c>
      <c r="C472" t="s">
        <v>95</v>
      </c>
      <c r="D472" s="1">
        <v>495523</v>
      </c>
      <c r="E472" s="15">
        <v>46174</v>
      </c>
      <c r="F472" s="14" t="s">
        <v>876</v>
      </c>
    </row>
    <row r="473" spans="1:6" x14ac:dyDescent="0.3">
      <c r="A473" s="8">
        <v>46174</v>
      </c>
      <c r="B473" t="s">
        <v>35</v>
      </c>
      <c r="C473" t="s">
        <v>95</v>
      </c>
      <c r="D473" s="1">
        <v>64990</v>
      </c>
      <c r="E473" s="15">
        <v>46174</v>
      </c>
      <c r="F473" s="14" t="s">
        <v>877</v>
      </c>
    </row>
    <row r="474" spans="1:6" x14ac:dyDescent="0.3">
      <c r="A474" s="8">
        <v>46174</v>
      </c>
      <c r="B474" t="s">
        <v>35</v>
      </c>
      <c r="C474" t="s">
        <v>95</v>
      </c>
      <c r="D474" s="1">
        <v>460000</v>
      </c>
      <c r="E474" s="15">
        <v>46174</v>
      </c>
      <c r="F474" s="14" t="s">
        <v>878</v>
      </c>
    </row>
    <row r="475" spans="1:6" x14ac:dyDescent="0.3">
      <c r="A475" s="8">
        <v>46175</v>
      </c>
      <c r="B475" t="s">
        <v>442</v>
      </c>
      <c r="C475" t="s">
        <v>80</v>
      </c>
      <c r="D475" s="1">
        <v>55870</v>
      </c>
      <c r="E475" s="15">
        <v>46174</v>
      </c>
      <c r="F475" s="14" t="s">
        <v>879</v>
      </c>
    </row>
    <row r="476" spans="1:6" x14ac:dyDescent="0.3">
      <c r="A476" s="8">
        <v>46175</v>
      </c>
      <c r="B476" t="s">
        <v>802</v>
      </c>
      <c r="C476" t="s">
        <v>1185</v>
      </c>
      <c r="D476" s="1">
        <v>499999.07</v>
      </c>
      <c r="E476" s="15">
        <v>46174</v>
      </c>
      <c r="F476" s="14" t="s">
        <v>880</v>
      </c>
    </row>
    <row r="477" spans="1:6" x14ac:dyDescent="0.3">
      <c r="A477" s="8">
        <v>46175</v>
      </c>
      <c r="B477" t="s">
        <v>434</v>
      </c>
      <c r="C477" t="s">
        <v>76</v>
      </c>
      <c r="D477" s="1">
        <v>726599.67</v>
      </c>
      <c r="E477" s="15">
        <v>46174</v>
      </c>
      <c r="F477" s="14" t="s">
        <v>881</v>
      </c>
    </row>
    <row r="478" spans="1:6" x14ac:dyDescent="0.3">
      <c r="A478" s="8">
        <v>46175</v>
      </c>
      <c r="B478" t="s">
        <v>35</v>
      </c>
      <c r="C478" t="s">
        <v>95</v>
      </c>
      <c r="D478" s="1">
        <v>1320000</v>
      </c>
      <c r="E478" s="15">
        <v>46174</v>
      </c>
      <c r="F478" s="14" t="s">
        <v>882</v>
      </c>
    </row>
    <row r="479" spans="1:6" x14ac:dyDescent="0.3">
      <c r="A479" s="8">
        <v>46175</v>
      </c>
      <c r="B479" t="s">
        <v>803</v>
      </c>
      <c r="C479" t="s">
        <v>76</v>
      </c>
      <c r="D479" s="1">
        <v>215000</v>
      </c>
      <c r="E479" s="15">
        <v>46174</v>
      </c>
      <c r="F479" s="14" t="s">
        <v>883</v>
      </c>
    </row>
    <row r="480" spans="1:6" x14ac:dyDescent="0.3">
      <c r="A480" s="8">
        <v>46176</v>
      </c>
      <c r="B480" t="s">
        <v>804</v>
      </c>
      <c r="C480" t="s">
        <v>1178</v>
      </c>
      <c r="D480" s="1">
        <v>180000</v>
      </c>
      <c r="E480" s="15">
        <v>46174</v>
      </c>
      <c r="F480" s="14" t="s">
        <v>884</v>
      </c>
    </row>
    <row r="481" spans="1:6" x14ac:dyDescent="0.3">
      <c r="A481" s="8">
        <v>46176</v>
      </c>
      <c r="B481" t="s">
        <v>429</v>
      </c>
      <c r="C481" t="s">
        <v>81</v>
      </c>
      <c r="D481" s="1">
        <v>12930</v>
      </c>
      <c r="E481" s="15">
        <v>46174</v>
      </c>
      <c r="F481" s="14" t="s">
        <v>885</v>
      </c>
    </row>
    <row r="482" spans="1:6" x14ac:dyDescent="0.3">
      <c r="A482" s="8">
        <v>46176</v>
      </c>
      <c r="B482" t="s">
        <v>805</v>
      </c>
      <c r="C482" t="s">
        <v>76</v>
      </c>
      <c r="D482" s="1">
        <v>749999.45</v>
      </c>
      <c r="E482" s="15">
        <v>46174</v>
      </c>
      <c r="F482" s="14" t="s">
        <v>886</v>
      </c>
    </row>
    <row r="483" spans="1:6" x14ac:dyDescent="0.3">
      <c r="A483" s="8">
        <v>46176</v>
      </c>
      <c r="B483" t="s">
        <v>35</v>
      </c>
      <c r="C483" t="s">
        <v>95</v>
      </c>
      <c r="D483" s="1">
        <v>1000000</v>
      </c>
      <c r="E483" s="15">
        <v>46174</v>
      </c>
      <c r="F483" s="14" t="s">
        <v>887</v>
      </c>
    </row>
    <row r="484" spans="1:6" x14ac:dyDescent="0.3">
      <c r="A484" s="8">
        <v>46176</v>
      </c>
      <c r="B484" t="s">
        <v>501</v>
      </c>
      <c r="C484" t="s">
        <v>76</v>
      </c>
      <c r="D484" s="1">
        <v>892420</v>
      </c>
      <c r="E484" s="15">
        <v>46174</v>
      </c>
      <c r="F484" s="14" t="s">
        <v>888</v>
      </c>
    </row>
    <row r="485" spans="1:6" x14ac:dyDescent="0.3">
      <c r="A485" s="8">
        <v>46176</v>
      </c>
      <c r="B485" t="s">
        <v>806</v>
      </c>
      <c r="C485" t="s">
        <v>76</v>
      </c>
      <c r="D485" s="1">
        <v>167993</v>
      </c>
      <c r="E485" s="15">
        <v>46174</v>
      </c>
      <c r="F485" s="14" t="s">
        <v>889</v>
      </c>
    </row>
    <row r="486" spans="1:6" x14ac:dyDescent="0.3">
      <c r="A486" s="8">
        <v>46176</v>
      </c>
      <c r="B486" t="s">
        <v>461</v>
      </c>
      <c r="C486" t="s">
        <v>77</v>
      </c>
      <c r="D486" s="1">
        <v>15200</v>
      </c>
      <c r="E486" s="15">
        <v>46174</v>
      </c>
      <c r="F486" s="14" t="s">
        <v>890</v>
      </c>
    </row>
    <row r="487" spans="1:6" x14ac:dyDescent="0.3">
      <c r="A487" s="8">
        <v>46177</v>
      </c>
      <c r="B487" t="s">
        <v>35</v>
      </c>
      <c r="C487" t="s">
        <v>95</v>
      </c>
      <c r="D487" s="1">
        <v>300000</v>
      </c>
      <c r="E487" s="15">
        <v>46174</v>
      </c>
      <c r="F487" s="14" t="s">
        <v>891</v>
      </c>
    </row>
    <row r="488" spans="1:6" x14ac:dyDescent="0.3">
      <c r="A488" s="8">
        <v>46177</v>
      </c>
      <c r="B488" t="s">
        <v>429</v>
      </c>
      <c r="C488" t="s">
        <v>81</v>
      </c>
      <c r="D488" s="1">
        <v>33530</v>
      </c>
      <c r="E488" s="15">
        <v>46174</v>
      </c>
      <c r="F488" s="14" t="s">
        <v>892</v>
      </c>
    </row>
    <row r="489" spans="1:6" x14ac:dyDescent="0.3">
      <c r="A489" s="8">
        <v>46177</v>
      </c>
      <c r="B489" t="s">
        <v>51</v>
      </c>
      <c r="C489" t="s">
        <v>77</v>
      </c>
      <c r="D489" s="1">
        <v>80937</v>
      </c>
      <c r="E489" s="15">
        <v>46174</v>
      </c>
      <c r="F489" s="14" t="s">
        <v>893</v>
      </c>
    </row>
    <row r="490" spans="1:6" x14ac:dyDescent="0.3">
      <c r="A490" s="8">
        <v>46177</v>
      </c>
      <c r="B490" t="s">
        <v>51</v>
      </c>
      <c r="C490" t="s">
        <v>77</v>
      </c>
      <c r="D490" s="1">
        <v>87667</v>
      </c>
      <c r="E490" s="15">
        <v>46174</v>
      </c>
      <c r="F490" s="14" t="s">
        <v>894</v>
      </c>
    </row>
    <row r="491" spans="1:6" x14ac:dyDescent="0.3">
      <c r="A491" s="8">
        <v>46177</v>
      </c>
      <c r="B491" t="s">
        <v>434</v>
      </c>
      <c r="C491" t="s">
        <v>76</v>
      </c>
      <c r="D491" s="1">
        <v>2543099.5699999998</v>
      </c>
      <c r="E491" s="15">
        <v>46174</v>
      </c>
      <c r="F491" s="14" t="s">
        <v>895</v>
      </c>
    </row>
    <row r="492" spans="1:6" x14ac:dyDescent="0.3">
      <c r="A492" s="8">
        <v>46177</v>
      </c>
      <c r="B492" t="s">
        <v>802</v>
      </c>
      <c r="C492" t="s">
        <v>1185</v>
      </c>
      <c r="D492" s="1">
        <v>815999.9</v>
      </c>
      <c r="E492" s="15">
        <v>46174</v>
      </c>
      <c r="F492" s="14" t="s">
        <v>896</v>
      </c>
    </row>
    <row r="493" spans="1:6" x14ac:dyDescent="0.3">
      <c r="A493" s="8">
        <v>46177</v>
      </c>
      <c r="B493" t="s">
        <v>35</v>
      </c>
      <c r="C493" t="s">
        <v>95</v>
      </c>
      <c r="D493" s="1">
        <v>580000</v>
      </c>
      <c r="E493" s="15">
        <v>46174</v>
      </c>
      <c r="F493" s="14" t="s">
        <v>897</v>
      </c>
    </row>
    <row r="494" spans="1:6" x14ac:dyDescent="0.3">
      <c r="A494" s="8">
        <v>46177</v>
      </c>
      <c r="B494" t="s">
        <v>807</v>
      </c>
      <c r="C494" t="s">
        <v>97</v>
      </c>
      <c r="D494" s="1">
        <v>1199203</v>
      </c>
      <c r="E494" s="15">
        <v>46174</v>
      </c>
      <c r="F494" s="14" t="s">
        <v>536</v>
      </c>
    </row>
    <row r="495" spans="1:6" x14ac:dyDescent="0.3">
      <c r="A495" s="8">
        <v>46177</v>
      </c>
      <c r="B495" t="s">
        <v>35</v>
      </c>
      <c r="C495" t="s">
        <v>95</v>
      </c>
      <c r="D495" s="1">
        <v>300000</v>
      </c>
      <c r="E495" s="15">
        <v>46174</v>
      </c>
      <c r="F495" s="14" t="s">
        <v>898</v>
      </c>
    </row>
    <row r="496" spans="1:6" x14ac:dyDescent="0.3">
      <c r="A496" s="8">
        <v>46178</v>
      </c>
      <c r="B496" t="s">
        <v>53</v>
      </c>
      <c r="C496" t="s">
        <v>80</v>
      </c>
      <c r="D496" s="1">
        <v>172193.6</v>
      </c>
      <c r="E496" s="15">
        <v>46174</v>
      </c>
      <c r="F496" s="14" t="s">
        <v>899</v>
      </c>
    </row>
    <row r="497" spans="1:6" x14ac:dyDescent="0.3">
      <c r="A497" s="8">
        <v>46178</v>
      </c>
      <c r="B497" t="s">
        <v>53</v>
      </c>
      <c r="C497" t="s">
        <v>80</v>
      </c>
      <c r="D497" s="1">
        <v>51020.34</v>
      </c>
      <c r="E497" s="15">
        <v>46174</v>
      </c>
      <c r="F497" s="14" t="s">
        <v>900</v>
      </c>
    </row>
    <row r="498" spans="1:6" x14ac:dyDescent="0.3">
      <c r="A498" s="8">
        <v>46178</v>
      </c>
      <c r="B498" t="s">
        <v>35</v>
      </c>
      <c r="C498" t="s">
        <v>95</v>
      </c>
      <c r="D498" s="1">
        <v>55760</v>
      </c>
      <c r="E498" s="15">
        <v>46174</v>
      </c>
      <c r="F498" s="14" t="s">
        <v>901</v>
      </c>
    </row>
    <row r="499" spans="1:6" x14ac:dyDescent="0.3">
      <c r="A499" s="8">
        <v>46178</v>
      </c>
      <c r="B499" t="s">
        <v>35</v>
      </c>
      <c r="C499" t="s">
        <v>95</v>
      </c>
      <c r="D499" s="1">
        <v>48000</v>
      </c>
      <c r="E499" s="15">
        <v>46174</v>
      </c>
      <c r="F499" s="14" t="s">
        <v>902</v>
      </c>
    </row>
    <row r="500" spans="1:6" x14ac:dyDescent="0.3">
      <c r="A500" s="8">
        <v>46178</v>
      </c>
      <c r="B500" t="s">
        <v>35</v>
      </c>
      <c r="C500" t="s">
        <v>95</v>
      </c>
      <c r="D500" s="1">
        <v>215904</v>
      </c>
      <c r="E500" s="15">
        <v>46174</v>
      </c>
      <c r="F500" s="14" t="s">
        <v>903</v>
      </c>
    </row>
    <row r="501" spans="1:6" x14ac:dyDescent="0.3">
      <c r="A501" s="8">
        <v>46178</v>
      </c>
      <c r="B501" t="s">
        <v>434</v>
      </c>
      <c r="C501" t="s">
        <v>76</v>
      </c>
      <c r="D501" s="1">
        <v>363299.5</v>
      </c>
      <c r="E501" s="15">
        <v>46174</v>
      </c>
      <c r="F501" s="14" t="s">
        <v>904</v>
      </c>
    </row>
    <row r="502" spans="1:6" x14ac:dyDescent="0.3">
      <c r="A502" s="8">
        <v>46178</v>
      </c>
      <c r="B502" t="s">
        <v>802</v>
      </c>
      <c r="C502" t="s">
        <v>1185</v>
      </c>
      <c r="D502" s="1">
        <v>279999.7</v>
      </c>
      <c r="E502" s="15">
        <v>46174</v>
      </c>
      <c r="F502" s="14" t="s">
        <v>905</v>
      </c>
    </row>
    <row r="503" spans="1:6" x14ac:dyDescent="0.3">
      <c r="A503" s="8">
        <v>46178</v>
      </c>
      <c r="B503" t="s">
        <v>35</v>
      </c>
      <c r="C503" t="s">
        <v>95</v>
      </c>
      <c r="D503" s="1">
        <v>80000</v>
      </c>
      <c r="E503" s="15">
        <v>46174</v>
      </c>
      <c r="F503" s="14" t="s">
        <v>906</v>
      </c>
    </row>
    <row r="504" spans="1:6" x14ac:dyDescent="0.3">
      <c r="A504" s="8">
        <v>46178</v>
      </c>
      <c r="B504" t="s">
        <v>51</v>
      </c>
      <c r="C504" t="s">
        <v>77</v>
      </c>
      <c r="D504" s="1">
        <v>8995</v>
      </c>
      <c r="E504" s="15">
        <v>46174</v>
      </c>
      <c r="F504" s="14" t="s">
        <v>907</v>
      </c>
    </row>
    <row r="505" spans="1:6" x14ac:dyDescent="0.3">
      <c r="A505" s="8">
        <v>46178</v>
      </c>
      <c r="B505" t="s">
        <v>51</v>
      </c>
      <c r="C505" t="s">
        <v>77</v>
      </c>
      <c r="D505" s="1">
        <v>10492</v>
      </c>
      <c r="E505" s="15">
        <v>46174</v>
      </c>
      <c r="F505" s="14" t="s">
        <v>908</v>
      </c>
    </row>
    <row r="506" spans="1:6" x14ac:dyDescent="0.3">
      <c r="A506" s="8">
        <v>46179</v>
      </c>
      <c r="B506" t="s">
        <v>808</v>
      </c>
      <c r="C506" t="s">
        <v>80</v>
      </c>
      <c r="D506" s="1">
        <v>30500</v>
      </c>
      <c r="E506" s="15">
        <v>46174</v>
      </c>
      <c r="F506" s="14" t="s">
        <v>909</v>
      </c>
    </row>
    <row r="507" spans="1:6" x14ac:dyDescent="0.3">
      <c r="A507" s="8">
        <v>46180</v>
      </c>
      <c r="B507" t="s">
        <v>51</v>
      </c>
      <c r="C507" t="s">
        <v>77</v>
      </c>
      <c r="D507" s="1">
        <v>85132</v>
      </c>
      <c r="E507" s="15">
        <v>46174</v>
      </c>
      <c r="F507" s="14" t="s">
        <v>910</v>
      </c>
    </row>
    <row r="508" spans="1:6" x14ac:dyDescent="0.3">
      <c r="A508" s="8">
        <v>46180</v>
      </c>
      <c r="B508" t="s">
        <v>51</v>
      </c>
      <c r="C508" t="s">
        <v>77</v>
      </c>
      <c r="D508" s="1">
        <v>85172</v>
      </c>
      <c r="E508" s="15">
        <v>46174</v>
      </c>
      <c r="F508" s="14" t="s">
        <v>911</v>
      </c>
    </row>
    <row r="509" spans="1:6" x14ac:dyDescent="0.3">
      <c r="A509" s="8">
        <v>46181</v>
      </c>
      <c r="B509" t="s">
        <v>51</v>
      </c>
      <c r="C509" t="s">
        <v>77</v>
      </c>
      <c r="D509" s="1">
        <v>43948</v>
      </c>
      <c r="E509" s="15">
        <v>46174</v>
      </c>
      <c r="F509" s="14" t="s">
        <v>912</v>
      </c>
    </row>
    <row r="510" spans="1:6" x14ac:dyDescent="0.3">
      <c r="A510" s="8">
        <v>46181</v>
      </c>
      <c r="B510" t="s">
        <v>51</v>
      </c>
      <c r="C510" t="s">
        <v>77</v>
      </c>
      <c r="D510" s="1">
        <v>45941</v>
      </c>
      <c r="E510" s="15">
        <v>46174</v>
      </c>
      <c r="F510" s="14" t="s">
        <v>913</v>
      </c>
    </row>
    <row r="511" spans="1:6" x14ac:dyDescent="0.3">
      <c r="A511" s="8">
        <v>46181</v>
      </c>
      <c r="B511" t="s">
        <v>51</v>
      </c>
      <c r="C511" t="s">
        <v>77</v>
      </c>
      <c r="D511" s="1">
        <v>46190</v>
      </c>
      <c r="E511" s="15">
        <v>46174</v>
      </c>
      <c r="F511" s="14" t="s">
        <v>914</v>
      </c>
    </row>
    <row r="512" spans="1:6" x14ac:dyDescent="0.3">
      <c r="A512" s="8">
        <v>46181</v>
      </c>
      <c r="B512" t="s">
        <v>63</v>
      </c>
      <c r="C512" t="s">
        <v>1188</v>
      </c>
      <c r="D512" s="1">
        <v>61700</v>
      </c>
      <c r="E512" s="15">
        <v>46174</v>
      </c>
      <c r="F512" s="14" t="s">
        <v>915</v>
      </c>
    </row>
    <row r="513" spans="1:6" x14ac:dyDescent="0.3">
      <c r="A513" s="8">
        <v>46182</v>
      </c>
      <c r="B513" t="s">
        <v>35</v>
      </c>
      <c r="C513" t="s">
        <v>95</v>
      </c>
      <c r="D513" s="1">
        <v>40000</v>
      </c>
      <c r="E513" s="15">
        <v>46174</v>
      </c>
      <c r="F513" s="14" t="s">
        <v>916</v>
      </c>
    </row>
    <row r="514" spans="1:6" x14ac:dyDescent="0.3">
      <c r="A514" s="8">
        <v>46182</v>
      </c>
      <c r="B514" t="s">
        <v>51</v>
      </c>
      <c r="C514" t="s">
        <v>77</v>
      </c>
      <c r="D514" s="1">
        <v>22943</v>
      </c>
      <c r="E514" s="15">
        <v>46174</v>
      </c>
      <c r="F514" s="14" t="s">
        <v>917</v>
      </c>
    </row>
    <row r="515" spans="1:6" x14ac:dyDescent="0.3">
      <c r="A515" s="8">
        <v>46182</v>
      </c>
      <c r="B515" t="s">
        <v>51</v>
      </c>
      <c r="C515" t="s">
        <v>77</v>
      </c>
      <c r="D515" s="1">
        <v>26974</v>
      </c>
      <c r="E515" s="15">
        <v>46174</v>
      </c>
      <c r="F515" s="14" t="s">
        <v>918</v>
      </c>
    </row>
    <row r="516" spans="1:6" x14ac:dyDescent="0.3">
      <c r="A516" s="8">
        <v>46182</v>
      </c>
      <c r="B516" t="s">
        <v>35</v>
      </c>
      <c r="C516" t="s">
        <v>95</v>
      </c>
      <c r="D516" s="1">
        <v>80000</v>
      </c>
      <c r="E516" s="15">
        <v>46174</v>
      </c>
      <c r="F516" s="14" t="s">
        <v>919</v>
      </c>
    </row>
    <row r="517" spans="1:6" x14ac:dyDescent="0.3">
      <c r="A517" s="8">
        <v>46182</v>
      </c>
      <c r="B517" t="s">
        <v>51</v>
      </c>
      <c r="C517" t="s">
        <v>77</v>
      </c>
      <c r="D517" s="1">
        <v>20935</v>
      </c>
      <c r="E517" s="15">
        <v>46174</v>
      </c>
      <c r="F517" s="14" t="s">
        <v>920</v>
      </c>
    </row>
    <row r="518" spans="1:6" x14ac:dyDescent="0.3">
      <c r="A518" s="8">
        <v>46182</v>
      </c>
      <c r="B518" t="s">
        <v>63</v>
      </c>
      <c r="C518" t="s">
        <v>1188</v>
      </c>
      <c r="D518" s="1">
        <v>89200</v>
      </c>
      <c r="E518" s="15">
        <v>46174</v>
      </c>
      <c r="F518" s="14" t="s">
        <v>921</v>
      </c>
    </row>
    <row r="519" spans="1:6" x14ac:dyDescent="0.3">
      <c r="A519" s="8">
        <v>46182</v>
      </c>
      <c r="B519" t="s">
        <v>809</v>
      </c>
      <c r="C519" t="s">
        <v>76</v>
      </c>
      <c r="D519" s="1">
        <v>125500</v>
      </c>
      <c r="E519" s="15">
        <v>46174</v>
      </c>
      <c r="F519" s="14" t="s">
        <v>922</v>
      </c>
    </row>
    <row r="520" spans="1:6" x14ac:dyDescent="0.3">
      <c r="A520" s="8">
        <v>46182</v>
      </c>
      <c r="B520" t="s">
        <v>63</v>
      </c>
      <c r="C520" t="s">
        <v>1188</v>
      </c>
      <c r="D520" s="1">
        <v>73098</v>
      </c>
      <c r="E520" s="15">
        <v>46174</v>
      </c>
      <c r="F520" s="14" t="s">
        <v>923</v>
      </c>
    </row>
    <row r="521" spans="1:6" x14ac:dyDescent="0.3">
      <c r="A521" s="8">
        <v>46182</v>
      </c>
      <c r="B521" t="s">
        <v>63</v>
      </c>
      <c r="C521" t="s">
        <v>1188</v>
      </c>
      <c r="D521" s="1">
        <v>17500</v>
      </c>
      <c r="E521" s="15">
        <v>46174</v>
      </c>
      <c r="F521" s="14" t="s">
        <v>924</v>
      </c>
    </row>
    <row r="522" spans="1:6" x14ac:dyDescent="0.3">
      <c r="A522" s="8">
        <v>46182</v>
      </c>
      <c r="B522" t="s">
        <v>421</v>
      </c>
      <c r="C522" t="s">
        <v>80</v>
      </c>
      <c r="D522" s="1">
        <v>73197</v>
      </c>
      <c r="E522" s="15">
        <v>46174</v>
      </c>
      <c r="F522" s="14" t="s">
        <v>925</v>
      </c>
    </row>
    <row r="523" spans="1:6" x14ac:dyDescent="0.3">
      <c r="A523" s="8">
        <v>46182</v>
      </c>
      <c r="B523" t="s">
        <v>1200</v>
      </c>
      <c r="C523" t="s">
        <v>82</v>
      </c>
      <c r="D523" s="1">
        <v>4499999.0199999996</v>
      </c>
      <c r="E523" s="15">
        <v>46174</v>
      </c>
      <c r="F523" s="14" t="s">
        <v>926</v>
      </c>
    </row>
    <row r="524" spans="1:6" x14ac:dyDescent="0.3">
      <c r="A524" s="8">
        <v>46182</v>
      </c>
      <c r="B524" t="s">
        <v>436</v>
      </c>
      <c r="C524" t="s">
        <v>82</v>
      </c>
      <c r="D524" s="1">
        <v>1843927.3</v>
      </c>
      <c r="E524" s="15">
        <v>46174</v>
      </c>
      <c r="F524" s="14" t="s">
        <v>927</v>
      </c>
    </row>
    <row r="525" spans="1:6" x14ac:dyDescent="0.3">
      <c r="A525" s="8">
        <v>46182</v>
      </c>
      <c r="B525" t="s">
        <v>63</v>
      </c>
      <c r="C525" t="s">
        <v>1188</v>
      </c>
      <c r="D525" s="1">
        <v>14600</v>
      </c>
      <c r="E525" s="15">
        <v>46174</v>
      </c>
      <c r="F525" s="14" t="s">
        <v>928</v>
      </c>
    </row>
    <row r="526" spans="1:6" x14ac:dyDescent="0.3">
      <c r="A526" s="8">
        <v>46183</v>
      </c>
      <c r="B526" t="s">
        <v>810</v>
      </c>
      <c r="C526" t="s">
        <v>1188</v>
      </c>
      <c r="D526" s="1">
        <v>26200</v>
      </c>
      <c r="E526" s="15">
        <v>46174</v>
      </c>
      <c r="F526" s="14" t="s">
        <v>929</v>
      </c>
    </row>
    <row r="527" spans="1:6" x14ac:dyDescent="0.3">
      <c r="A527" s="8">
        <v>46183</v>
      </c>
      <c r="B527" t="s">
        <v>35</v>
      </c>
      <c r="C527" t="s">
        <v>95</v>
      </c>
      <c r="D527" s="1">
        <v>60000</v>
      </c>
      <c r="E527" s="15">
        <v>46174</v>
      </c>
      <c r="F527" s="14" t="s">
        <v>930</v>
      </c>
    </row>
    <row r="528" spans="1:6" x14ac:dyDescent="0.3">
      <c r="A528" s="8">
        <v>46183</v>
      </c>
      <c r="B528" t="s">
        <v>35</v>
      </c>
      <c r="C528" t="s">
        <v>95</v>
      </c>
      <c r="D528" s="1">
        <v>1300000</v>
      </c>
      <c r="E528" s="15">
        <v>46174</v>
      </c>
      <c r="F528" s="14" t="s">
        <v>931</v>
      </c>
    </row>
    <row r="529" spans="1:6" x14ac:dyDescent="0.3">
      <c r="A529" s="8">
        <v>46183</v>
      </c>
      <c r="B529" t="s">
        <v>63</v>
      </c>
      <c r="C529" t="s">
        <v>1188</v>
      </c>
      <c r="D529" s="1">
        <v>57600</v>
      </c>
      <c r="E529" s="15">
        <v>46174</v>
      </c>
      <c r="F529" s="14" t="s">
        <v>932</v>
      </c>
    </row>
    <row r="530" spans="1:6" x14ac:dyDescent="0.3">
      <c r="A530" s="8">
        <v>46183</v>
      </c>
      <c r="B530" t="s">
        <v>35</v>
      </c>
      <c r="C530" t="s">
        <v>95</v>
      </c>
      <c r="D530" s="1">
        <v>10000</v>
      </c>
      <c r="E530" s="15">
        <v>46174</v>
      </c>
      <c r="F530" s="14" t="s">
        <v>933</v>
      </c>
    </row>
    <row r="531" spans="1:6" x14ac:dyDescent="0.3">
      <c r="A531" s="8">
        <v>46183</v>
      </c>
      <c r="B531" t="s">
        <v>429</v>
      </c>
      <c r="C531" t="s">
        <v>81</v>
      </c>
      <c r="D531" s="1">
        <v>57344</v>
      </c>
      <c r="E531" s="15">
        <v>46174</v>
      </c>
      <c r="F531" s="14" t="s">
        <v>934</v>
      </c>
    </row>
    <row r="532" spans="1:6" x14ac:dyDescent="0.3">
      <c r="A532" s="8">
        <v>46183</v>
      </c>
      <c r="B532" t="s">
        <v>35</v>
      </c>
      <c r="C532" t="s">
        <v>95</v>
      </c>
      <c r="D532" s="1">
        <v>221000</v>
      </c>
      <c r="E532" s="15">
        <v>46174</v>
      </c>
      <c r="F532" s="14" t="s">
        <v>935</v>
      </c>
    </row>
    <row r="533" spans="1:6" x14ac:dyDescent="0.3">
      <c r="A533" s="8">
        <v>46183</v>
      </c>
      <c r="B533" t="s">
        <v>51</v>
      </c>
      <c r="C533" t="s">
        <v>77</v>
      </c>
      <c r="D533" s="1">
        <v>9960</v>
      </c>
      <c r="E533" s="15">
        <v>46174</v>
      </c>
      <c r="F533" s="14" t="s">
        <v>936</v>
      </c>
    </row>
    <row r="534" spans="1:6" x14ac:dyDescent="0.3">
      <c r="A534" s="8">
        <v>46183</v>
      </c>
      <c r="B534" t="s">
        <v>811</v>
      </c>
      <c r="C534" t="s">
        <v>97</v>
      </c>
      <c r="D534" s="1">
        <v>74701.16</v>
      </c>
      <c r="E534" s="15">
        <v>46174</v>
      </c>
      <c r="F534" s="14" t="s">
        <v>536</v>
      </c>
    </row>
    <row r="535" spans="1:6" x14ac:dyDescent="0.3">
      <c r="A535" s="8">
        <v>46183</v>
      </c>
      <c r="B535" t="s">
        <v>812</v>
      </c>
      <c r="C535" t="s">
        <v>97</v>
      </c>
      <c r="D535" s="1">
        <v>99601.56</v>
      </c>
      <c r="E535" s="15">
        <v>46174</v>
      </c>
      <c r="F535" s="14" t="s">
        <v>536</v>
      </c>
    </row>
    <row r="536" spans="1:6" x14ac:dyDescent="0.3">
      <c r="A536" s="8">
        <v>46184</v>
      </c>
      <c r="B536" t="s">
        <v>35</v>
      </c>
      <c r="C536" t="s">
        <v>95</v>
      </c>
      <c r="D536" s="1">
        <v>945046</v>
      </c>
      <c r="E536" s="15">
        <v>46174</v>
      </c>
      <c r="F536" s="14" t="s">
        <v>937</v>
      </c>
    </row>
    <row r="537" spans="1:6" x14ac:dyDescent="0.3">
      <c r="A537" s="8">
        <v>46184</v>
      </c>
      <c r="B537" t="s">
        <v>63</v>
      </c>
      <c r="C537" t="s">
        <v>1188</v>
      </c>
      <c r="D537" s="1">
        <v>168400</v>
      </c>
      <c r="E537" s="15">
        <v>46174</v>
      </c>
      <c r="F537" s="14" t="s">
        <v>938</v>
      </c>
    </row>
    <row r="538" spans="1:6" x14ac:dyDescent="0.3">
      <c r="A538" s="8">
        <v>46184</v>
      </c>
      <c r="B538" t="s">
        <v>35</v>
      </c>
      <c r="C538" t="s">
        <v>95</v>
      </c>
      <c r="D538" s="1">
        <v>100000</v>
      </c>
      <c r="E538" s="15">
        <v>46174</v>
      </c>
      <c r="F538" s="14" t="s">
        <v>939</v>
      </c>
    </row>
    <row r="539" spans="1:6" x14ac:dyDescent="0.3">
      <c r="A539" s="8">
        <v>46184</v>
      </c>
      <c r="B539" t="s">
        <v>63</v>
      </c>
      <c r="C539" t="s">
        <v>1188</v>
      </c>
      <c r="D539" s="1">
        <v>29900</v>
      </c>
      <c r="E539" s="15">
        <v>46174</v>
      </c>
      <c r="F539" s="14" t="s">
        <v>940</v>
      </c>
    </row>
    <row r="540" spans="1:6" x14ac:dyDescent="0.3">
      <c r="A540" s="8">
        <v>46184</v>
      </c>
      <c r="B540" t="s">
        <v>435</v>
      </c>
      <c r="C540" t="s">
        <v>76</v>
      </c>
      <c r="D540" s="1">
        <v>2361032.52</v>
      </c>
      <c r="E540" s="15">
        <v>46174</v>
      </c>
      <c r="F540" s="14" t="s">
        <v>941</v>
      </c>
    </row>
    <row r="541" spans="1:6" x14ac:dyDescent="0.3">
      <c r="A541" s="8">
        <v>46184</v>
      </c>
      <c r="B541" t="s">
        <v>51</v>
      </c>
      <c r="C541" t="s">
        <v>77</v>
      </c>
      <c r="D541" s="1">
        <v>8936</v>
      </c>
      <c r="E541" s="15">
        <v>46174</v>
      </c>
      <c r="F541" s="14" t="s">
        <v>942</v>
      </c>
    </row>
    <row r="542" spans="1:6" x14ac:dyDescent="0.3">
      <c r="A542" s="8">
        <v>46184</v>
      </c>
      <c r="B542" t="s">
        <v>35</v>
      </c>
      <c r="C542" t="s">
        <v>95</v>
      </c>
      <c r="D542" s="1">
        <v>100000</v>
      </c>
      <c r="E542" s="15">
        <v>46174</v>
      </c>
      <c r="F542" s="14" t="s">
        <v>943</v>
      </c>
    </row>
    <row r="543" spans="1:6" x14ac:dyDescent="0.3">
      <c r="A543" s="8">
        <v>46184</v>
      </c>
      <c r="B543" t="s">
        <v>35</v>
      </c>
      <c r="C543" t="s">
        <v>95</v>
      </c>
      <c r="D543" s="1">
        <v>1000000</v>
      </c>
      <c r="E543" s="15">
        <v>46174</v>
      </c>
      <c r="F543" s="14" t="s">
        <v>944</v>
      </c>
    </row>
    <row r="544" spans="1:6" x14ac:dyDescent="0.3">
      <c r="A544" s="8">
        <v>46184</v>
      </c>
      <c r="B544" t="s">
        <v>35</v>
      </c>
      <c r="C544" t="s">
        <v>95</v>
      </c>
      <c r="D544" s="1">
        <v>100000</v>
      </c>
      <c r="E544" s="15">
        <v>46174</v>
      </c>
      <c r="F544" s="14" t="s">
        <v>945</v>
      </c>
    </row>
    <row r="545" spans="1:6" x14ac:dyDescent="0.3">
      <c r="A545" s="8">
        <v>46184</v>
      </c>
      <c r="B545" t="s">
        <v>35</v>
      </c>
      <c r="C545" t="s">
        <v>95</v>
      </c>
      <c r="D545" s="1">
        <v>1000000</v>
      </c>
      <c r="E545" s="15">
        <v>46174</v>
      </c>
      <c r="F545" s="14" t="s">
        <v>946</v>
      </c>
    </row>
    <row r="546" spans="1:6" x14ac:dyDescent="0.3">
      <c r="A546" s="8">
        <v>46185</v>
      </c>
      <c r="B546" t="s">
        <v>51</v>
      </c>
      <c r="C546" t="s">
        <v>77</v>
      </c>
      <c r="D546" s="1">
        <v>9990</v>
      </c>
      <c r="E546" s="15">
        <v>46174</v>
      </c>
      <c r="F546" s="14" t="s">
        <v>947</v>
      </c>
    </row>
    <row r="547" spans="1:6" x14ac:dyDescent="0.3">
      <c r="A547" s="8">
        <v>46185</v>
      </c>
      <c r="B547" t="s">
        <v>813</v>
      </c>
      <c r="C547" t="s">
        <v>1188</v>
      </c>
      <c r="D547" s="1">
        <v>36400</v>
      </c>
      <c r="E547" s="15">
        <v>46174</v>
      </c>
      <c r="F547" s="14" t="s">
        <v>948</v>
      </c>
    </row>
    <row r="548" spans="1:6" x14ac:dyDescent="0.3">
      <c r="A548" s="8">
        <v>46185</v>
      </c>
      <c r="B548" t="s">
        <v>444</v>
      </c>
      <c r="C548" t="s">
        <v>1188</v>
      </c>
      <c r="D548" s="1">
        <v>8400</v>
      </c>
      <c r="E548" s="15">
        <v>46174</v>
      </c>
      <c r="F548" s="14" t="s">
        <v>949</v>
      </c>
    </row>
    <row r="549" spans="1:6" x14ac:dyDescent="0.3">
      <c r="A549" s="8">
        <v>46185</v>
      </c>
      <c r="B549" t="s">
        <v>35</v>
      </c>
      <c r="C549" t="s">
        <v>95</v>
      </c>
      <c r="D549" s="1">
        <v>50000</v>
      </c>
      <c r="E549" s="15">
        <v>46174</v>
      </c>
      <c r="F549" s="14" t="s">
        <v>950</v>
      </c>
    </row>
    <row r="550" spans="1:6" x14ac:dyDescent="0.3">
      <c r="A550" s="8">
        <v>46185</v>
      </c>
      <c r="B550" t="s">
        <v>35</v>
      </c>
      <c r="C550" t="s">
        <v>95</v>
      </c>
      <c r="D550" s="1">
        <v>660000</v>
      </c>
      <c r="E550" s="15">
        <v>46174</v>
      </c>
      <c r="F550" s="14" t="s">
        <v>951</v>
      </c>
    </row>
    <row r="551" spans="1:6" x14ac:dyDescent="0.3">
      <c r="A551" s="8">
        <v>46185</v>
      </c>
      <c r="B551" t="s">
        <v>429</v>
      </c>
      <c r="C551" t="s">
        <v>81</v>
      </c>
      <c r="D551" s="1">
        <v>4200</v>
      </c>
      <c r="E551" s="15">
        <v>46174</v>
      </c>
      <c r="F551" s="14" t="s">
        <v>952</v>
      </c>
    </row>
    <row r="552" spans="1:6" x14ac:dyDescent="0.3">
      <c r="A552" s="8">
        <v>46185</v>
      </c>
      <c r="B552" t="s">
        <v>814</v>
      </c>
      <c r="C552" t="s">
        <v>97</v>
      </c>
      <c r="D552" s="1">
        <v>500000</v>
      </c>
      <c r="E552" s="15">
        <v>46174</v>
      </c>
      <c r="F552" s="14" t="s">
        <v>536</v>
      </c>
    </row>
    <row r="553" spans="1:6" x14ac:dyDescent="0.3">
      <c r="A553" s="8">
        <v>46185</v>
      </c>
      <c r="B553" t="s">
        <v>35</v>
      </c>
      <c r="C553" t="s">
        <v>95</v>
      </c>
      <c r="D553" s="1">
        <v>2700000</v>
      </c>
      <c r="E553" s="15">
        <v>46174</v>
      </c>
      <c r="F553" s="14" t="s">
        <v>953</v>
      </c>
    </row>
    <row r="554" spans="1:6" x14ac:dyDescent="0.3">
      <c r="A554" s="8">
        <v>46185</v>
      </c>
      <c r="B554" t="s">
        <v>35</v>
      </c>
      <c r="C554" t="s">
        <v>95</v>
      </c>
      <c r="D554" s="1">
        <v>106000</v>
      </c>
      <c r="E554" s="15">
        <v>46174</v>
      </c>
      <c r="F554" s="14" t="s">
        <v>954</v>
      </c>
    </row>
    <row r="555" spans="1:6" x14ac:dyDescent="0.3">
      <c r="A555" s="8">
        <v>46185</v>
      </c>
      <c r="B555" t="s">
        <v>63</v>
      </c>
      <c r="C555" t="s">
        <v>1188</v>
      </c>
      <c r="D555" s="1">
        <v>74700</v>
      </c>
      <c r="E555" s="15">
        <v>46174</v>
      </c>
      <c r="F555" s="14" t="s">
        <v>955</v>
      </c>
    </row>
    <row r="556" spans="1:6" x14ac:dyDescent="0.3">
      <c r="A556" s="8">
        <v>46186</v>
      </c>
      <c r="B556" t="s">
        <v>35</v>
      </c>
      <c r="C556" t="s">
        <v>95</v>
      </c>
      <c r="D556" s="1">
        <v>900000</v>
      </c>
      <c r="E556" s="15">
        <v>46174</v>
      </c>
      <c r="F556" s="14" t="s">
        <v>956</v>
      </c>
    </row>
    <row r="557" spans="1:6" x14ac:dyDescent="0.3">
      <c r="A557" s="8">
        <v>46186</v>
      </c>
      <c r="B557" t="s">
        <v>35</v>
      </c>
      <c r="C557" t="s">
        <v>95</v>
      </c>
      <c r="D557" s="1">
        <v>450000</v>
      </c>
      <c r="E557" s="15">
        <v>46174</v>
      </c>
      <c r="F557" s="14" t="s">
        <v>957</v>
      </c>
    </row>
    <row r="558" spans="1:6" x14ac:dyDescent="0.3">
      <c r="A558" s="8">
        <v>46186</v>
      </c>
      <c r="B558" t="s">
        <v>815</v>
      </c>
      <c r="C558" t="s">
        <v>1188</v>
      </c>
      <c r="D558" s="1">
        <v>31000</v>
      </c>
      <c r="E558" s="15">
        <v>46174</v>
      </c>
      <c r="F558" s="14" t="s">
        <v>958</v>
      </c>
    </row>
    <row r="559" spans="1:6" x14ac:dyDescent="0.3">
      <c r="A559" s="8">
        <v>46187</v>
      </c>
      <c r="B559" t="s">
        <v>35</v>
      </c>
      <c r="C559" t="s">
        <v>95</v>
      </c>
      <c r="D559" s="1">
        <v>50000</v>
      </c>
      <c r="E559" s="15">
        <v>46174</v>
      </c>
      <c r="F559" s="14" t="s">
        <v>959</v>
      </c>
    </row>
    <row r="560" spans="1:6" x14ac:dyDescent="0.3">
      <c r="A560" s="8">
        <v>46187</v>
      </c>
      <c r="B560" t="s">
        <v>51</v>
      </c>
      <c r="C560" t="s">
        <v>77</v>
      </c>
      <c r="D560" s="1">
        <v>10975</v>
      </c>
      <c r="E560" s="15">
        <v>46174</v>
      </c>
      <c r="F560" s="14" t="s">
        <v>960</v>
      </c>
    </row>
    <row r="561" spans="1:6" x14ac:dyDescent="0.3">
      <c r="A561" s="8">
        <v>46188</v>
      </c>
      <c r="B561" t="s">
        <v>816</v>
      </c>
      <c r="C561" t="s">
        <v>76</v>
      </c>
      <c r="D561" s="1">
        <v>157778</v>
      </c>
      <c r="E561" s="15">
        <v>46174</v>
      </c>
      <c r="F561" s="14" t="s">
        <v>961</v>
      </c>
    </row>
    <row r="562" spans="1:6" x14ac:dyDescent="0.3">
      <c r="A562" s="8">
        <v>46188</v>
      </c>
      <c r="B562" t="s">
        <v>817</v>
      </c>
      <c r="C562" t="s">
        <v>76</v>
      </c>
      <c r="D562" s="1">
        <v>180132</v>
      </c>
      <c r="E562" s="15">
        <v>46174</v>
      </c>
      <c r="F562" s="14" t="s">
        <v>962</v>
      </c>
    </row>
    <row r="563" spans="1:6" x14ac:dyDescent="0.3">
      <c r="A563" s="8">
        <v>46188</v>
      </c>
      <c r="B563" t="s">
        <v>422</v>
      </c>
      <c r="C563" t="s">
        <v>81</v>
      </c>
      <c r="D563" s="1">
        <v>89288</v>
      </c>
      <c r="E563" s="15">
        <v>46174</v>
      </c>
      <c r="F563" s="14" t="s">
        <v>963</v>
      </c>
    </row>
    <row r="564" spans="1:6" x14ac:dyDescent="0.3">
      <c r="A564" s="8">
        <v>46188</v>
      </c>
      <c r="B564" t="s">
        <v>51</v>
      </c>
      <c r="C564" t="s">
        <v>77</v>
      </c>
      <c r="D564" s="1">
        <v>9935</v>
      </c>
      <c r="E564" s="15">
        <v>46174</v>
      </c>
      <c r="F564" s="14" t="s">
        <v>964</v>
      </c>
    </row>
    <row r="565" spans="1:6" x14ac:dyDescent="0.3">
      <c r="A565" s="8">
        <v>46188</v>
      </c>
      <c r="B565" t="s">
        <v>51</v>
      </c>
      <c r="C565" t="s">
        <v>77</v>
      </c>
      <c r="D565" s="1">
        <v>10930</v>
      </c>
      <c r="E565" s="15">
        <v>46174</v>
      </c>
      <c r="F565" s="14" t="s">
        <v>965</v>
      </c>
    </row>
    <row r="566" spans="1:6" x14ac:dyDescent="0.3">
      <c r="A566" s="8">
        <v>46189</v>
      </c>
      <c r="B566" t="s">
        <v>64</v>
      </c>
      <c r="C566" t="s">
        <v>80</v>
      </c>
      <c r="D566" s="1">
        <v>160289</v>
      </c>
      <c r="E566" s="15">
        <v>46174</v>
      </c>
      <c r="F566" s="14" t="s">
        <v>966</v>
      </c>
    </row>
    <row r="567" spans="1:6" x14ac:dyDescent="0.3">
      <c r="A567" s="8">
        <v>46189</v>
      </c>
      <c r="B567" t="s">
        <v>492</v>
      </c>
      <c r="C567" t="s">
        <v>81</v>
      </c>
      <c r="D567" s="1">
        <v>57100</v>
      </c>
      <c r="E567" s="15">
        <v>46174</v>
      </c>
      <c r="F567" s="14" t="s">
        <v>967</v>
      </c>
    </row>
    <row r="568" spans="1:6" x14ac:dyDescent="0.3">
      <c r="A568" s="8">
        <v>46189</v>
      </c>
      <c r="B568" t="s">
        <v>492</v>
      </c>
      <c r="C568" t="s">
        <v>81</v>
      </c>
      <c r="D568" s="1">
        <v>18300</v>
      </c>
      <c r="E568" s="15">
        <v>46174</v>
      </c>
      <c r="F568" s="14" t="s">
        <v>968</v>
      </c>
    </row>
    <row r="569" spans="1:6" x14ac:dyDescent="0.3">
      <c r="A569" s="8">
        <v>46189</v>
      </c>
      <c r="B569" t="s">
        <v>35</v>
      </c>
      <c r="C569" t="s">
        <v>95</v>
      </c>
      <c r="D569" s="1">
        <v>646818</v>
      </c>
      <c r="E569" s="15">
        <v>46174</v>
      </c>
      <c r="F569" s="14" t="s">
        <v>969</v>
      </c>
    </row>
    <row r="570" spans="1:6" x14ac:dyDescent="0.3">
      <c r="A570" s="8">
        <v>46189</v>
      </c>
      <c r="B570" t="s">
        <v>818</v>
      </c>
      <c r="C570" t="s">
        <v>97</v>
      </c>
      <c r="D570" s="1">
        <v>139442.20000000001</v>
      </c>
      <c r="E570" s="15">
        <v>46174</v>
      </c>
      <c r="F570" s="14" t="s">
        <v>536</v>
      </c>
    </row>
    <row r="571" spans="1:6" x14ac:dyDescent="0.3">
      <c r="A571" s="8">
        <v>46189</v>
      </c>
      <c r="B571" t="s">
        <v>51</v>
      </c>
      <c r="C571" t="s">
        <v>77</v>
      </c>
      <c r="D571" s="1">
        <v>28931</v>
      </c>
      <c r="E571" s="15">
        <v>46174</v>
      </c>
      <c r="F571" s="14" t="s">
        <v>970</v>
      </c>
    </row>
    <row r="572" spans="1:6" x14ac:dyDescent="0.3">
      <c r="A572" s="8">
        <v>46189</v>
      </c>
      <c r="B572" t="s">
        <v>35</v>
      </c>
      <c r="C572" t="s">
        <v>95</v>
      </c>
      <c r="D572" s="1">
        <v>12100</v>
      </c>
      <c r="E572" s="15">
        <v>46174</v>
      </c>
      <c r="F572" s="14" t="s">
        <v>971</v>
      </c>
    </row>
    <row r="573" spans="1:6" x14ac:dyDescent="0.3">
      <c r="A573" s="8">
        <v>46189</v>
      </c>
      <c r="B573" t="s">
        <v>47</v>
      </c>
      <c r="C573" t="s">
        <v>77</v>
      </c>
      <c r="D573" s="1">
        <v>8988</v>
      </c>
      <c r="E573" s="15">
        <v>46174</v>
      </c>
      <c r="F573" s="14" t="s">
        <v>972</v>
      </c>
    </row>
    <row r="574" spans="1:6" x14ac:dyDescent="0.3">
      <c r="A574" s="8">
        <v>46189</v>
      </c>
      <c r="B574" t="s">
        <v>47</v>
      </c>
      <c r="C574" t="s">
        <v>77</v>
      </c>
      <c r="D574" s="1">
        <v>9016</v>
      </c>
      <c r="E574" s="15">
        <v>46174</v>
      </c>
      <c r="F574" s="14" t="s">
        <v>973</v>
      </c>
    </row>
    <row r="575" spans="1:6" x14ac:dyDescent="0.3">
      <c r="A575" s="8">
        <v>46189</v>
      </c>
      <c r="B575" t="s">
        <v>819</v>
      </c>
      <c r="C575" t="s">
        <v>80</v>
      </c>
      <c r="D575" s="1">
        <v>1152199.75</v>
      </c>
      <c r="E575" s="15">
        <v>46174</v>
      </c>
      <c r="F575" s="14" t="s">
        <v>974</v>
      </c>
    </row>
    <row r="576" spans="1:6" x14ac:dyDescent="0.3">
      <c r="A576" s="8">
        <v>46189</v>
      </c>
      <c r="B576" t="s">
        <v>810</v>
      </c>
      <c r="C576" t="s">
        <v>1188</v>
      </c>
      <c r="D576" s="1">
        <v>44800</v>
      </c>
      <c r="E576" s="15">
        <v>46174</v>
      </c>
      <c r="F576" s="14" t="s">
        <v>975</v>
      </c>
    </row>
    <row r="577" spans="1:6" x14ac:dyDescent="0.3">
      <c r="A577" s="8">
        <v>46189</v>
      </c>
      <c r="B577" t="s">
        <v>434</v>
      </c>
      <c r="C577" t="s">
        <v>76</v>
      </c>
      <c r="D577" s="1">
        <v>1765549.97</v>
      </c>
      <c r="E577" s="15">
        <v>46174</v>
      </c>
      <c r="F577" s="14" t="s">
        <v>976</v>
      </c>
    </row>
    <row r="578" spans="1:6" x14ac:dyDescent="0.3">
      <c r="A578" s="8">
        <v>46189</v>
      </c>
      <c r="B578" t="s">
        <v>434</v>
      </c>
      <c r="C578" t="s">
        <v>76</v>
      </c>
      <c r="D578" s="1">
        <v>3632999.98</v>
      </c>
      <c r="E578" s="15">
        <v>46174</v>
      </c>
      <c r="F578" s="14" t="s">
        <v>977</v>
      </c>
    </row>
    <row r="579" spans="1:6" x14ac:dyDescent="0.3">
      <c r="A579" s="8">
        <v>46189</v>
      </c>
      <c r="B579" t="s">
        <v>802</v>
      </c>
      <c r="C579" t="s">
        <v>1185</v>
      </c>
      <c r="D579" s="1">
        <v>2255669.2999999998</v>
      </c>
      <c r="E579" s="15">
        <v>46174</v>
      </c>
      <c r="F579" s="14" t="s">
        <v>978</v>
      </c>
    </row>
    <row r="580" spans="1:6" x14ac:dyDescent="0.3">
      <c r="A580" s="8">
        <v>46189</v>
      </c>
      <c r="B580" t="s">
        <v>51</v>
      </c>
      <c r="C580" t="s">
        <v>77</v>
      </c>
      <c r="D580" s="1">
        <v>13992</v>
      </c>
      <c r="E580" s="15">
        <v>46174</v>
      </c>
      <c r="F580" s="14" t="s">
        <v>979</v>
      </c>
    </row>
    <row r="581" spans="1:6" x14ac:dyDescent="0.3">
      <c r="A581" s="8">
        <v>46189</v>
      </c>
      <c r="B581" t="s">
        <v>51</v>
      </c>
      <c r="C581" t="s">
        <v>77</v>
      </c>
      <c r="D581" s="1">
        <v>25998</v>
      </c>
      <c r="E581" s="15">
        <v>46174</v>
      </c>
      <c r="F581" s="14" t="s">
        <v>980</v>
      </c>
    </row>
    <row r="582" spans="1:6" x14ac:dyDescent="0.3">
      <c r="A582" s="8">
        <v>46189</v>
      </c>
      <c r="B582" t="s">
        <v>51</v>
      </c>
      <c r="C582" t="s">
        <v>77</v>
      </c>
      <c r="D582" s="1">
        <v>28902</v>
      </c>
      <c r="E582" s="15">
        <v>46174</v>
      </c>
      <c r="F582" s="14" t="s">
        <v>981</v>
      </c>
    </row>
    <row r="583" spans="1:6" x14ac:dyDescent="0.3">
      <c r="A583" s="8">
        <v>46189</v>
      </c>
      <c r="B583" t="s">
        <v>820</v>
      </c>
      <c r="C583" t="s">
        <v>1188</v>
      </c>
      <c r="D583" s="1">
        <v>44900</v>
      </c>
      <c r="E583" s="15">
        <v>46174</v>
      </c>
      <c r="F583" s="14" t="s">
        <v>982</v>
      </c>
    </row>
    <row r="584" spans="1:6" x14ac:dyDescent="0.3">
      <c r="A584" s="8">
        <v>46190</v>
      </c>
      <c r="B584" t="s">
        <v>429</v>
      </c>
      <c r="C584" t="s">
        <v>81</v>
      </c>
      <c r="D584" s="1">
        <v>12800</v>
      </c>
      <c r="E584" s="15">
        <v>46174</v>
      </c>
      <c r="F584" s="14" t="s">
        <v>983</v>
      </c>
    </row>
    <row r="585" spans="1:6" x14ac:dyDescent="0.3">
      <c r="A585" s="8">
        <v>46190</v>
      </c>
      <c r="B585" t="s">
        <v>35</v>
      </c>
      <c r="C585" t="s">
        <v>95</v>
      </c>
      <c r="D585" s="1">
        <v>680000</v>
      </c>
      <c r="E585" s="15">
        <v>46174</v>
      </c>
      <c r="F585" s="14" t="s">
        <v>984</v>
      </c>
    </row>
    <row r="586" spans="1:6" x14ac:dyDescent="0.3">
      <c r="A586" s="8">
        <v>46190</v>
      </c>
      <c r="B586" t="s">
        <v>821</v>
      </c>
      <c r="C586" t="s">
        <v>97</v>
      </c>
      <c r="D586" s="1">
        <v>130039.84</v>
      </c>
      <c r="E586" s="15">
        <v>46174</v>
      </c>
      <c r="F586" s="14" t="s">
        <v>536</v>
      </c>
    </row>
    <row r="587" spans="1:6" x14ac:dyDescent="0.3">
      <c r="A587" s="8">
        <v>46190</v>
      </c>
      <c r="B587" t="s">
        <v>35</v>
      </c>
      <c r="C587" t="s">
        <v>95</v>
      </c>
      <c r="D587" s="1">
        <v>100000</v>
      </c>
      <c r="E587" s="15">
        <v>46174</v>
      </c>
      <c r="F587" s="14" t="s">
        <v>985</v>
      </c>
    </row>
    <row r="588" spans="1:6" x14ac:dyDescent="0.3">
      <c r="A588" s="8">
        <v>46190</v>
      </c>
      <c r="B588" t="s">
        <v>822</v>
      </c>
      <c r="C588" t="s">
        <v>97</v>
      </c>
      <c r="D588" s="1">
        <v>300000</v>
      </c>
      <c r="E588" s="15">
        <v>46174</v>
      </c>
      <c r="F588" s="14" t="s">
        <v>536</v>
      </c>
    </row>
    <row r="589" spans="1:6" x14ac:dyDescent="0.3">
      <c r="A589" s="8">
        <v>46190</v>
      </c>
      <c r="B589" t="s">
        <v>458</v>
      </c>
      <c r="C589" t="s">
        <v>76</v>
      </c>
      <c r="D589" s="1">
        <v>533399.96</v>
      </c>
      <c r="E589" s="15">
        <v>46174</v>
      </c>
      <c r="F589" s="14" t="s">
        <v>986</v>
      </c>
    </row>
    <row r="590" spans="1:6" x14ac:dyDescent="0.3">
      <c r="A590" s="8">
        <v>46190</v>
      </c>
      <c r="B590" t="s">
        <v>63</v>
      </c>
      <c r="C590" t="s">
        <v>1188</v>
      </c>
      <c r="D590" s="1">
        <v>105400</v>
      </c>
      <c r="E590" s="15">
        <v>46174</v>
      </c>
      <c r="F590" s="14" t="s">
        <v>987</v>
      </c>
    </row>
    <row r="591" spans="1:6" x14ac:dyDescent="0.3">
      <c r="A591" s="8">
        <v>46191</v>
      </c>
      <c r="B591" t="s">
        <v>434</v>
      </c>
      <c r="C591" t="s">
        <v>76</v>
      </c>
      <c r="D591" s="1">
        <v>363299.45</v>
      </c>
      <c r="E591" s="15">
        <v>46174</v>
      </c>
      <c r="F591" s="14" t="s">
        <v>988</v>
      </c>
    </row>
    <row r="592" spans="1:6" x14ac:dyDescent="0.3">
      <c r="A592" s="8">
        <v>46191</v>
      </c>
      <c r="B592" t="s">
        <v>802</v>
      </c>
      <c r="C592" t="s">
        <v>1185</v>
      </c>
      <c r="D592" s="1">
        <v>229999.65</v>
      </c>
      <c r="E592" s="15">
        <v>46174</v>
      </c>
      <c r="F592" s="14" t="s">
        <v>989</v>
      </c>
    </row>
    <row r="593" spans="1:6" x14ac:dyDescent="0.3">
      <c r="A593" s="8">
        <v>46191</v>
      </c>
      <c r="B593" t="s">
        <v>63</v>
      </c>
      <c r="C593" t="s">
        <v>1188</v>
      </c>
      <c r="D593" s="1">
        <v>26157</v>
      </c>
      <c r="E593" s="15">
        <v>46174</v>
      </c>
      <c r="F593" s="14" t="s">
        <v>990</v>
      </c>
    </row>
    <row r="594" spans="1:6" x14ac:dyDescent="0.3">
      <c r="A594" s="8">
        <v>46191</v>
      </c>
      <c r="B594" t="s">
        <v>63</v>
      </c>
      <c r="C594" t="s">
        <v>1188</v>
      </c>
      <c r="D594" s="1">
        <v>33911</v>
      </c>
      <c r="E594" s="15">
        <v>46174</v>
      </c>
      <c r="F594" s="14" t="s">
        <v>991</v>
      </c>
    </row>
    <row r="595" spans="1:6" x14ac:dyDescent="0.3">
      <c r="A595" s="8">
        <v>46191</v>
      </c>
      <c r="B595" t="s">
        <v>823</v>
      </c>
      <c r="C595" t="s">
        <v>76</v>
      </c>
      <c r="D595" s="1">
        <v>1628041.44</v>
      </c>
      <c r="E595" s="15">
        <v>46174</v>
      </c>
      <c r="F595" s="14" t="s">
        <v>992</v>
      </c>
    </row>
    <row r="596" spans="1:6" x14ac:dyDescent="0.3">
      <c r="A596" s="8">
        <v>46191</v>
      </c>
      <c r="B596" t="s">
        <v>35</v>
      </c>
      <c r="C596" t="s">
        <v>95</v>
      </c>
      <c r="D596" s="1">
        <v>1150000</v>
      </c>
      <c r="E596" s="15">
        <v>46174</v>
      </c>
      <c r="F596" s="14" t="s">
        <v>993</v>
      </c>
    </row>
    <row r="597" spans="1:6" x14ac:dyDescent="0.3">
      <c r="A597" s="8">
        <v>46192</v>
      </c>
      <c r="B597" t="s">
        <v>444</v>
      </c>
      <c r="C597" t="s">
        <v>1188</v>
      </c>
      <c r="D597" s="1">
        <v>8400</v>
      </c>
      <c r="E597" s="15">
        <v>46174</v>
      </c>
      <c r="F597" s="14" t="s">
        <v>994</v>
      </c>
    </row>
    <row r="598" spans="1:6" x14ac:dyDescent="0.3">
      <c r="A598" s="8">
        <v>46192</v>
      </c>
      <c r="B598" t="s">
        <v>824</v>
      </c>
      <c r="C598" t="s">
        <v>77</v>
      </c>
      <c r="D598" s="1">
        <v>13550</v>
      </c>
      <c r="E598" s="15">
        <v>46174</v>
      </c>
      <c r="F598" s="14" t="s">
        <v>995</v>
      </c>
    </row>
    <row r="599" spans="1:6" x14ac:dyDescent="0.3">
      <c r="A599" s="8">
        <v>46192</v>
      </c>
      <c r="B599" t="s">
        <v>429</v>
      </c>
      <c r="C599" t="s">
        <v>81</v>
      </c>
      <c r="D599" s="1">
        <v>4500</v>
      </c>
      <c r="E599" s="15">
        <v>46174</v>
      </c>
      <c r="F599" s="14" t="s">
        <v>996</v>
      </c>
    </row>
    <row r="600" spans="1:6" x14ac:dyDescent="0.3">
      <c r="A600" s="8">
        <v>46192</v>
      </c>
      <c r="B600" t="s">
        <v>825</v>
      </c>
      <c r="C600" t="s">
        <v>76</v>
      </c>
      <c r="D600" s="1">
        <v>227600</v>
      </c>
      <c r="E600" s="15">
        <v>46174</v>
      </c>
      <c r="F600" s="14" t="s">
        <v>997</v>
      </c>
    </row>
    <row r="601" spans="1:6" x14ac:dyDescent="0.3">
      <c r="A601" s="8">
        <v>46192</v>
      </c>
      <c r="B601" t="s">
        <v>825</v>
      </c>
      <c r="C601" t="s">
        <v>76</v>
      </c>
      <c r="D601" s="1">
        <v>24900</v>
      </c>
      <c r="E601" s="15">
        <v>46174</v>
      </c>
      <c r="F601" s="14" t="s">
        <v>998</v>
      </c>
    </row>
    <row r="602" spans="1:6" x14ac:dyDescent="0.3">
      <c r="A602" s="8">
        <v>46192</v>
      </c>
      <c r="B602" t="s">
        <v>35</v>
      </c>
      <c r="C602" t="s">
        <v>95</v>
      </c>
      <c r="D602" s="1">
        <v>1760000</v>
      </c>
      <c r="E602" s="15">
        <v>46174</v>
      </c>
      <c r="F602" s="14" t="s">
        <v>999</v>
      </c>
    </row>
    <row r="603" spans="1:6" x14ac:dyDescent="0.3">
      <c r="A603" s="8">
        <v>46192</v>
      </c>
      <c r="B603" t="s">
        <v>447</v>
      </c>
      <c r="C603" t="s">
        <v>77</v>
      </c>
      <c r="D603" s="1">
        <v>14400</v>
      </c>
      <c r="E603" s="15">
        <v>46174</v>
      </c>
      <c r="F603" s="14" t="s">
        <v>1000</v>
      </c>
    </row>
    <row r="604" spans="1:6" x14ac:dyDescent="0.3">
      <c r="A604" s="8">
        <v>46192</v>
      </c>
      <c r="B604" t="s">
        <v>826</v>
      </c>
      <c r="C604" t="s">
        <v>76</v>
      </c>
      <c r="D604" s="1">
        <v>16600</v>
      </c>
      <c r="E604" s="15">
        <v>46174</v>
      </c>
      <c r="F604" s="14" t="s">
        <v>1001</v>
      </c>
    </row>
    <row r="605" spans="1:6" x14ac:dyDescent="0.3">
      <c r="A605" s="8">
        <v>46192</v>
      </c>
      <c r="B605" t="s">
        <v>47</v>
      </c>
      <c r="C605" t="s">
        <v>77</v>
      </c>
      <c r="D605" s="1">
        <v>11957</v>
      </c>
      <c r="E605" s="15">
        <v>46174</v>
      </c>
      <c r="F605" s="14" t="s">
        <v>1002</v>
      </c>
    </row>
    <row r="606" spans="1:6" x14ac:dyDescent="0.3">
      <c r="A606" s="8">
        <v>46192</v>
      </c>
      <c r="B606" t="s">
        <v>47</v>
      </c>
      <c r="C606" t="s">
        <v>77</v>
      </c>
      <c r="D606" s="1">
        <v>13981</v>
      </c>
      <c r="E606" s="15">
        <v>46174</v>
      </c>
      <c r="F606" s="14" t="s">
        <v>1003</v>
      </c>
    </row>
    <row r="607" spans="1:6" x14ac:dyDescent="0.3">
      <c r="A607" s="8">
        <v>46192</v>
      </c>
      <c r="B607" t="s">
        <v>827</v>
      </c>
      <c r="C607" t="s">
        <v>291</v>
      </c>
      <c r="D607" s="1">
        <v>114526</v>
      </c>
      <c r="E607" s="15">
        <v>46174</v>
      </c>
      <c r="F607" s="14" t="s">
        <v>1004</v>
      </c>
    </row>
    <row r="608" spans="1:6" x14ac:dyDescent="0.3">
      <c r="A608" s="8">
        <v>46192</v>
      </c>
      <c r="B608" t="s">
        <v>827</v>
      </c>
      <c r="C608" t="s">
        <v>291</v>
      </c>
      <c r="D608" s="1">
        <v>57596</v>
      </c>
      <c r="E608" s="15">
        <v>46174</v>
      </c>
      <c r="F608" s="14" t="s">
        <v>1005</v>
      </c>
    </row>
    <row r="609" spans="1:6" x14ac:dyDescent="0.3">
      <c r="A609" s="8">
        <v>46192</v>
      </c>
      <c r="B609" t="s">
        <v>828</v>
      </c>
      <c r="C609" t="s">
        <v>77</v>
      </c>
      <c r="D609" s="1">
        <v>1050</v>
      </c>
      <c r="E609" s="15">
        <v>46174</v>
      </c>
      <c r="F609" s="14" t="s">
        <v>1006</v>
      </c>
    </row>
    <row r="610" spans="1:6" x14ac:dyDescent="0.3">
      <c r="A610" s="8">
        <v>46192</v>
      </c>
      <c r="B610" t="s">
        <v>829</v>
      </c>
      <c r="C610" t="s">
        <v>97</v>
      </c>
      <c r="D610" s="1">
        <v>50000</v>
      </c>
      <c r="E610" s="15">
        <v>46174</v>
      </c>
      <c r="F610" s="14" t="s">
        <v>536</v>
      </c>
    </row>
    <row r="611" spans="1:6" x14ac:dyDescent="0.3">
      <c r="A611" s="8">
        <v>46192</v>
      </c>
      <c r="B611" t="s">
        <v>491</v>
      </c>
      <c r="C611" t="s">
        <v>1182</v>
      </c>
      <c r="D611" s="1">
        <v>120750</v>
      </c>
      <c r="E611" s="15">
        <v>46174</v>
      </c>
      <c r="F611" s="14" t="s">
        <v>1007</v>
      </c>
    </row>
    <row r="612" spans="1:6" x14ac:dyDescent="0.3">
      <c r="A612" s="8">
        <v>46193</v>
      </c>
      <c r="B612" t="s">
        <v>500</v>
      </c>
      <c r="C612" t="s">
        <v>76</v>
      </c>
      <c r="D612" s="1">
        <v>175398.74</v>
      </c>
      <c r="E612" s="15">
        <v>46174</v>
      </c>
      <c r="F612" s="14" t="s">
        <v>1008</v>
      </c>
    </row>
    <row r="613" spans="1:6" x14ac:dyDescent="0.3">
      <c r="A613" s="8">
        <v>46193</v>
      </c>
      <c r="B613" t="s">
        <v>63</v>
      </c>
      <c r="C613" t="s">
        <v>1188</v>
      </c>
      <c r="D613" s="1">
        <v>31626</v>
      </c>
      <c r="E613" s="15">
        <v>46174</v>
      </c>
      <c r="F613" s="14" t="s">
        <v>1009</v>
      </c>
    </row>
    <row r="614" spans="1:6" x14ac:dyDescent="0.3">
      <c r="A614" s="8">
        <v>46193</v>
      </c>
      <c r="B614" t="s">
        <v>63</v>
      </c>
      <c r="C614" t="s">
        <v>1188</v>
      </c>
      <c r="D614" s="1">
        <v>17700</v>
      </c>
      <c r="E614" s="15">
        <v>46174</v>
      </c>
      <c r="F614" s="14" t="s">
        <v>1010</v>
      </c>
    </row>
    <row r="615" spans="1:6" x14ac:dyDescent="0.3">
      <c r="A615" s="8">
        <v>46193</v>
      </c>
      <c r="B615" t="s">
        <v>830</v>
      </c>
      <c r="C615" t="s">
        <v>81</v>
      </c>
      <c r="D615" s="1">
        <v>19890</v>
      </c>
      <c r="E615" s="15">
        <v>46174</v>
      </c>
      <c r="F615" s="14" t="s">
        <v>1011</v>
      </c>
    </row>
    <row r="616" spans="1:6" x14ac:dyDescent="0.3">
      <c r="A616" s="8">
        <v>46193</v>
      </c>
      <c r="B616" t="s">
        <v>63</v>
      </c>
      <c r="C616" t="s">
        <v>1188</v>
      </c>
      <c r="D616" s="1">
        <v>36500</v>
      </c>
      <c r="E616" s="15">
        <v>46174</v>
      </c>
      <c r="F616" s="14" t="s">
        <v>1012</v>
      </c>
    </row>
    <row r="617" spans="1:6" x14ac:dyDescent="0.3">
      <c r="A617" s="8">
        <v>46193</v>
      </c>
      <c r="B617" t="s">
        <v>63</v>
      </c>
      <c r="C617" t="s">
        <v>1188</v>
      </c>
      <c r="D617" s="1">
        <v>22400</v>
      </c>
      <c r="E617" s="15">
        <v>46174</v>
      </c>
      <c r="F617" s="14" t="s">
        <v>1013</v>
      </c>
    </row>
    <row r="618" spans="1:6" x14ac:dyDescent="0.3">
      <c r="A618" s="8">
        <v>46193</v>
      </c>
      <c r="B618" t="s">
        <v>63</v>
      </c>
      <c r="C618" t="s">
        <v>1188</v>
      </c>
      <c r="D618" s="1">
        <v>27450</v>
      </c>
      <c r="E618" s="15">
        <v>46174</v>
      </c>
      <c r="F618" s="14" t="s">
        <v>1014</v>
      </c>
    </row>
    <row r="619" spans="1:6" x14ac:dyDescent="0.3">
      <c r="A619" s="8">
        <v>46194</v>
      </c>
      <c r="B619" t="s">
        <v>422</v>
      </c>
      <c r="C619" t="s">
        <v>81</v>
      </c>
      <c r="D619" s="1">
        <v>160286</v>
      </c>
      <c r="E619" s="15">
        <v>46174</v>
      </c>
      <c r="F619" s="14" t="s">
        <v>1015</v>
      </c>
    </row>
    <row r="620" spans="1:6" x14ac:dyDescent="0.3">
      <c r="A620" s="8">
        <v>46194</v>
      </c>
      <c r="B620" t="s">
        <v>831</v>
      </c>
      <c r="C620" t="s">
        <v>97</v>
      </c>
      <c r="D620" s="1">
        <v>199203.16</v>
      </c>
      <c r="E620" s="15">
        <v>46174</v>
      </c>
      <c r="F620" s="14" t="s">
        <v>536</v>
      </c>
    </row>
    <row r="621" spans="1:6" x14ac:dyDescent="0.3">
      <c r="A621" s="8">
        <v>46194</v>
      </c>
      <c r="B621" t="s">
        <v>832</v>
      </c>
      <c r="C621" t="s">
        <v>97</v>
      </c>
      <c r="D621" s="1">
        <v>25000</v>
      </c>
      <c r="E621" s="15">
        <v>46174</v>
      </c>
      <c r="F621" s="14" t="s">
        <v>536</v>
      </c>
    </row>
    <row r="622" spans="1:6" x14ac:dyDescent="0.3">
      <c r="A622" s="8">
        <v>46194</v>
      </c>
      <c r="B622" t="s">
        <v>833</v>
      </c>
      <c r="C622" t="s">
        <v>97</v>
      </c>
      <c r="D622" s="1">
        <v>49800.76</v>
      </c>
      <c r="E622" s="15">
        <v>46174</v>
      </c>
      <c r="F622" s="14" t="s">
        <v>536</v>
      </c>
    </row>
    <row r="623" spans="1:6" x14ac:dyDescent="0.3">
      <c r="A623" s="8">
        <v>46195</v>
      </c>
      <c r="B623" t="s">
        <v>510</v>
      </c>
      <c r="C623" t="s">
        <v>76</v>
      </c>
      <c r="D623" s="1">
        <v>12900</v>
      </c>
      <c r="E623" s="15">
        <v>46174</v>
      </c>
      <c r="F623" s="14" t="s">
        <v>1016</v>
      </c>
    </row>
    <row r="624" spans="1:6" x14ac:dyDescent="0.3">
      <c r="A624" s="8">
        <v>46195</v>
      </c>
      <c r="B624" t="s">
        <v>35</v>
      </c>
      <c r="C624" t="s">
        <v>95</v>
      </c>
      <c r="D624" s="1">
        <v>106000</v>
      </c>
      <c r="E624" s="15">
        <v>46174</v>
      </c>
      <c r="F624" s="14" t="s">
        <v>1017</v>
      </c>
    </row>
    <row r="625" spans="1:6" x14ac:dyDescent="0.3">
      <c r="A625" s="8">
        <v>46195</v>
      </c>
      <c r="B625" t="s">
        <v>63</v>
      </c>
      <c r="C625" t="s">
        <v>1188</v>
      </c>
      <c r="D625" s="1">
        <v>57600</v>
      </c>
      <c r="E625" s="15">
        <v>46174</v>
      </c>
      <c r="F625" s="14" t="s">
        <v>1018</v>
      </c>
    </row>
    <row r="626" spans="1:6" x14ac:dyDescent="0.3">
      <c r="A626" s="8">
        <v>46195</v>
      </c>
      <c r="B626" t="s">
        <v>63</v>
      </c>
      <c r="C626" t="s">
        <v>1188</v>
      </c>
      <c r="D626" s="1">
        <v>400</v>
      </c>
      <c r="E626" s="15">
        <v>46174</v>
      </c>
      <c r="F626" s="14" t="s">
        <v>1019</v>
      </c>
    </row>
    <row r="627" spans="1:6" x14ac:dyDescent="0.3">
      <c r="A627" s="8">
        <v>46195</v>
      </c>
      <c r="B627" t="s">
        <v>429</v>
      </c>
      <c r="C627" t="s">
        <v>81</v>
      </c>
      <c r="D627" s="1">
        <v>12400</v>
      </c>
      <c r="E627" s="15">
        <v>46174</v>
      </c>
      <c r="F627" s="14" t="s">
        <v>1020</v>
      </c>
    </row>
    <row r="628" spans="1:6" x14ac:dyDescent="0.3">
      <c r="A628" s="8">
        <v>46195</v>
      </c>
      <c r="B628" t="s">
        <v>35</v>
      </c>
      <c r="C628" t="s">
        <v>95</v>
      </c>
      <c r="D628" s="1">
        <v>217922</v>
      </c>
      <c r="E628" s="15">
        <v>46174</v>
      </c>
      <c r="F628" s="14" t="s">
        <v>1021</v>
      </c>
    </row>
    <row r="629" spans="1:6" x14ac:dyDescent="0.3">
      <c r="A629" s="8">
        <v>46195</v>
      </c>
      <c r="B629" t="s">
        <v>35</v>
      </c>
      <c r="C629" t="s">
        <v>95</v>
      </c>
      <c r="D629" s="1">
        <v>115000</v>
      </c>
      <c r="E629" s="15">
        <v>46174</v>
      </c>
      <c r="F629" s="14" t="s">
        <v>1022</v>
      </c>
    </row>
    <row r="630" spans="1:6" x14ac:dyDescent="0.3">
      <c r="A630" s="8">
        <v>46195</v>
      </c>
      <c r="B630" t="s">
        <v>834</v>
      </c>
      <c r="C630" t="s">
        <v>76</v>
      </c>
      <c r="D630" s="1">
        <v>40000</v>
      </c>
      <c r="E630" s="15">
        <v>46174</v>
      </c>
      <c r="F630" s="14" t="s">
        <v>1023</v>
      </c>
    </row>
    <row r="631" spans="1:6" x14ac:dyDescent="0.3">
      <c r="A631" s="8">
        <v>46195</v>
      </c>
      <c r="B631" t="s">
        <v>1184</v>
      </c>
      <c r="C631" t="s">
        <v>1187</v>
      </c>
      <c r="D631" s="1">
        <v>68999999</v>
      </c>
      <c r="E631" s="15">
        <v>46174</v>
      </c>
      <c r="F631" s="14" t="s">
        <v>1024</v>
      </c>
    </row>
    <row r="632" spans="1:6" x14ac:dyDescent="0.3">
      <c r="A632" s="8">
        <v>46195</v>
      </c>
      <c r="B632" t="s">
        <v>835</v>
      </c>
      <c r="C632" t="s">
        <v>97</v>
      </c>
      <c r="D632" s="1">
        <v>378486.04</v>
      </c>
      <c r="E632" s="15">
        <v>46174</v>
      </c>
      <c r="F632" s="14" t="s">
        <v>536</v>
      </c>
    </row>
    <row r="633" spans="1:6" x14ac:dyDescent="0.3">
      <c r="A633" s="8">
        <v>46196</v>
      </c>
      <c r="B633" t="s">
        <v>35</v>
      </c>
      <c r="C633" t="s">
        <v>95</v>
      </c>
      <c r="D633" s="1">
        <v>105000</v>
      </c>
      <c r="E633" s="15">
        <v>46174</v>
      </c>
      <c r="F633" s="14" t="s">
        <v>1025</v>
      </c>
    </row>
    <row r="634" spans="1:6" x14ac:dyDescent="0.3">
      <c r="A634" s="8">
        <v>46196</v>
      </c>
      <c r="B634" t="s">
        <v>836</v>
      </c>
      <c r="C634" t="s">
        <v>80</v>
      </c>
      <c r="D634" s="1">
        <v>3528.72</v>
      </c>
      <c r="E634" s="15">
        <v>46174</v>
      </c>
      <c r="F634" s="14" t="s">
        <v>1026</v>
      </c>
    </row>
    <row r="635" spans="1:6" x14ac:dyDescent="0.3">
      <c r="A635" s="8">
        <v>46196</v>
      </c>
      <c r="B635" t="s">
        <v>46</v>
      </c>
      <c r="C635" t="s">
        <v>80</v>
      </c>
      <c r="D635" s="1">
        <v>631711.44999999995</v>
      </c>
      <c r="E635" s="15">
        <v>46174</v>
      </c>
      <c r="F635" s="14" t="s">
        <v>1027</v>
      </c>
    </row>
    <row r="636" spans="1:6" x14ac:dyDescent="0.3">
      <c r="A636" s="8">
        <v>46196</v>
      </c>
      <c r="B636" t="s">
        <v>47</v>
      </c>
      <c r="C636" t="s">
        <v>77</v>
      </c>
      <c r="D636" s="1">
        <v>26941</v>
      </c>
      <c r="E636" s="15">
        <v>46174</v>
      </c>
      <c r="F636" s="14" t="s">
        <v>1028</v>
      </c>
    </row>
    <row r="637" spans="1:6" x14ac:dyDescent="0.3">
      <c r="A637" s="8">
        <v>46196</v>
      </c>
      <c r="B637" t="s">
        <v>35</v>
      </c>
      <c r="C637" t="s">
        <v>95</v>
      </c>
      <c r="D637" s="1">
        <v>60000</v>
      </c>
      <c r="E637" s="15">
        <v>46174</v>
      </c>
      <c r="F637" s="14" t="s">
        <v>1029</v>
      </c>
    </row>
    <row r="638" spans="1:6" x14ac:dyDescent="0.3">
      <c r="A638" s="8">
        <v>46196</v>
      </c>
      <c r="B638" t="s">
        <v>35</v>
      </c>
      <c r="C638" t="s">
        <v>95</v>
      </c>
      <c r="D638" s="1">
        <v>340000</v>
      </c>
      <c r="E638" s="15">
        <v>46174</v>
      </c>
      <c r="F638" s="14" t="s">
        <v>1030</v>
      </c>
    </row>
    <row r="639" spans="1:6" x14ac:dyDescent="0.3">
      <c r="A639" s="8">
        <v>46196</v>
      </c>
      <c r="B639" t="s">
        <v>434</v>
      </c>
      <c r="C639" t="s">
        <v>76</v>
      </c>
      <c r="D639" s="1">
        <v>4999999.12</v>
      </c>
      <c r="E639" s="15">
        <v>46174</v>
      </c>
      <c r="F639" s="14" t="s">
        <v>1031</v>
      </c>
    </row>
    <row r="640" spans="1:6" x14ac:dyDescent="0.3">
      <c r="A640" s="8">
        <v>46196</v>
      </c>
      <c r="B640" t="s">
        <v>47</v>
      </c>
      <c r="C640" t="s">
        <v>77</v>
      </c>
      <c r="D640" s="1">
        <v>21955</v>
      </c>
      <c r="E640" s="15">
        <v>46174</v>
      </c>
      <c r="F640" s="14" t="s">
        <v>1032</v>
      </c>
    </row>
    <row r="641" spans="1:6" x14ac:dyDescent="0.3">
      <c r="A641" s="8">
        <v>46196</v>
      </c>
      <c r="B641" t="s">
        <v>429</v>
      </c>
      <c r="C641" t="s">
        <v>81</v>
      </c>
      <c r="D641" s="1">
        <v>15400</v>
      </c>
      <c r="E641" s="15">
        <v>46174</v>
      </c>
      <c r="F641" s="14" t="s">
        <v>1033</v>
      </c>
    </row>
    <row r="642" spans="1:6" x14ac:dyDescent="0.3">
      <c r="A642" s="8">
        <v>46196</v>
      </c>
      <c r="B642" t="s">
        <v>837</v>
      </c>
      <c r="C642" t="s">
        <v>97</v>
      </c>
      <c r="D642" s="1">
        <v>40000</v>
      </c>
      <c r="E642" s="15">
        <v>46174</v>
      </c>
      <c r="F642" s="14" t="s">
        <v>536</v>
      </c>
    </row>
    <row r="643" spans="1:6" x14ac:dyDescent="0.3">
      <c r="A643" s="8">
        <v>46196</v>
      </c>
      <c r="B643" t="s">
        <v>63</v>
      </c>
      <c r="C643" t="s">
        <v>1188</v>
      </c>
      <c r="D643" s="1">
        <v>84300</v>
      </c>
      <c r="E643" s="15">
        <v>46174</v>
      </c>
      <c r="F643" s="14" t="s">
        <v>1034</v>
      </c>
    </row>
    <row r="644" spans="1:6" x14ac:dyDescent="0.3">
      <c r="A644" s="8">
        <v>46196</v>
      </c>
      <c r="B644" t="s">
        <v>838</v>
      </c>
      <c r="C644" t="s">
        <v>76</v>
      </c>
      <c r="D644" s="1">
        <v>255450</v>
      </c>
      <c r="E644" s="15">
        <v>46174</v>
      </c>
      <c r="F644" s="14" t="s">
        <v>1035</v>
      </c>
    </row>
    <row r="645" spans="1:6" x14ac:dyDescent="0.3">
      <c r="A645" s="8">
        <v>46197</v>
      </c>
      <c r="B645" t="s">
        <v>35</v>
      </c>
      <c r="C645" t="s">
        <v>95</v>
      </c>
      <c r="D645" s="1">
        <v>106000</v>
      </c>
      <c r="E645" s="15">
        <v>46174</v>
      </c>
      <c r="F645" s="14" t="s">
        <v>1036</v>
      </c>
    </row>
    <row r="646" spans="1:6" x14ac:dyDescent="0.3">
      <c r="A646" s="8">
        <v>46197</v>
      </c>
      <c r="B646" t="s">
        <v>35</v>
      </c>
      <c r="C646" t="s">
        <v>95</v>
      </c>
      <c r="D646" s="1">
        <v>500000</v>
      </c>
      <c r="E646" s="15">
        <v>46174</v>
      </c>
      <c r="F646" s="14" t="s">
        <v>1037</v>
      </c>
    </row>
    <row r="647" spans="1:6" x14ac:dyDescent="0.3">
      <c r="A647" s="8">
        <v>46197</v>
      </c>
      <c r="B647" t="s">
        <v>839</v>
      </c>
      <c r="C647" t="s">
        <v>76</v>
      </c>
      <c r="D647" s="1">
        <v>129900</v>
      </c>
      <c r="E647" s="15">
        <v>46174</v>
      </c>
      <c r="F647" s="14" t="s">
        <v>1038</v>
      </c>
    </row>
    <row r="648" spans="1:6" x14ac:dyDescent="0.3">
      <c r="A648" s="8">
        <v>46197</v>
      </c>
      <c r="B648" t="s">
        <v>825</v>
      </c>
      <c r="C648" t="s">
        <v>76</v>
      </c>
      <c r="D648" s="1">
        <v>249400</v>
      </c>
      <c r="E648" s="15">
        <v>46174</v>
      </c>
      <c r="F648" s="14" t="s">
        <v>1039</v>
      </c>
    </row>
    <row r="649" spans="1:6" x14ac:dyDescent="0.3">
      <c r="A649" s="8">
        <v>46197</v>
      </c>
      <c r="B649" t="s">
        <v>35</v>
      </c>
      <c r="C649" t="s">
        <v>95</v>
      </c>
      <c r="D649" s="1">
        <v>100000</v>
      </c>
      <c r="E649" s="15">
        <v>46174</v>
      </c>
      <c r="F649" s="14" t="s">
        <v>1040</v>
      </c>
    </row>
    <row r="650" spans="1:6" x14ac:dyDescent="0.3">
      <c r="A650" s="8">
        <v>46197</v>
      </c>
      <c r="B650" t="s">
        <v>35</v>
      </c>
      <c r="C650" t="s">
        <v>95</v>
      </c>
      <c r="D650" s="1">
        <v>210000</v>
      </c>
      <c r="E650" s="15">
        <v>46174</v>
      </c>
      <c r="F650" s="14" t="s">
        <v>1041</v>
      </c>
    </row>
    <row r="651" spans="1:6" x14ac:dyDescent="0.3">
      <c r="A651" s="8">
        <v>46197</v>
      </c>
      <c r="B651" t="s">
        <v>840</v>
      </c>
      <c r="C651" t="s">
        <v>97</v>
      </c>
      <c r="D651" s="1">
        <v>1000000</v>
      </c>
      <c r="E651" s="15">
        <v>46174</v>
      </c>
      <c r="F651" s="14" t="s">
        <v>536</v>
      </c>
    </row>
    <row r="652" spans="1:6" x14ac:dyDescent="0.3">
      <c r="A652" s="8">
        <v>46197</v>
      </c>
      <c r="B652" t="s">
        <v>421</v>
      </c>
      <c r="C652" t="s">
        <v>80</v>
      </c>
      <c r="D652" s="1">
        <v>76633.73</v>
      </c>
      <c r="E652" s="15">
        <v>46174</v>
      </c>
      <c r="F652" s="14" t="s">
        <v>1042</v>
      </c>
    </row>
    <row r="653" spans="1:6" x14ac:dyDescent="0.3">
      <c r="A653" s="8">
        <v>46197</v>
      </c>
      <c r="B653" t="s">
        <v>841</v>
      </c>
      <c r="C653" t="s">
        <v>76</v>
      </c>
      <c r="D653" s="1">
        <v>380000</v>
      </c>
      <c r="E653" s="15">
        <v>46174</v>
      </c>
      <c r="F653" s="14" t="s">
        <v>1043</v>
      </c>
    </row>
    <row r="654" spans="1:6" x14ac:dyDescent="0.3">
      <c r="A654" s="8">
        <v>46197</v>
      </c>
      <c r="B654" t="s">
        <v>63</v>
      </c>
      <c r="C654" t="s">
        <v>1188</v>
      </c>
      <c r="D654" s="1">
        <v>13100</v>
      </c>
      <c r="E654" s="15">
        <v>46174</v>
      </c>
      <c r="F654" s="14" t="s">
        <v>1044</v>
      </c>
    </row>
    <row r="655" spans="1:6" x14ac:dyDescent="0.3">
      <c r="A655" s="8">
        <v>46198</v>
      </c>
      <c r="B655" t="s">
        <v>455</v>
      </c>
      <c r="C655" t="s">
        <v>76</v>
      </c>
      <c r="D655" s="1">
        <v>119900</v>
      </c>
      <c r="E655" s="15">
        <v>46174</v>
      </c>
      <c r="F655" s="14" t="s">
        <v>1045</v>
      </c>
    </row>
    <row r="656" spans="1:6" x14ac:dyDescent="0.3">
      <c r="A656" s="8">
        <v>46198</v>
      </c>
      <c r="B656" t="s">
        <v>455</v>
      </c>
      <c r="C656" t="s">
        <v>76</v>
      </c>
      <c r="D656" s="1">
        <v>119900</v>
      </c>
      <c r="E656" s="15">
        <v>46174</v>
      </c>
      <c r="F656" s="14" t="s">
        <v>1046</v>
      </c>
    </row>
    <row r="657" spans="1:6" x14ac:dyDescent="0.3">
      <c r="A657" s="8">
        <v>46198</v>
      </c>
      <c r="B657" t="s">
        <v>47</v>
      </c>
      <c r="C657" t="s">
        <v>77</v>
      </c>
      <c r="D657" s="1">
        <v>11998</v>
      </c>
      <c r="E657" s="15">
        <v>46174</v>
      </c>
      <c r="F657" s="14" t="s">
        <v>1047</v>
      </c>
    </row>
    <row r="658" spans="1:6" x14ac:dyDescent="0.3">
      <c r="A658" s="8">
        <v>46198</v>
      </c>
      <c r="B658" t="s">
        <v>842</v>
      </c>
      <c r="C658" t="s">
        <v>97</v>
      </c>
      <c r="D658" s="1">
        <v>600000</v>
      </c>
      <c r="E658" s="15">
        <v>46174</v>
      </c>
      <c r="F658" s="14" t="s">
        <v>536</v>
      </c>
    </row>
    <row r="659" spans="1:6" x14ac:dyDescent="0.3">
      <c r="A659" s="8">
        <v>46198</v>
      </c>
      <c r="B659" t="s">
        <v>434</v>
      </c>
      <c r="C659" t="s">
        <v>76</v>
      </c>
      <c r="D659" s="1">
        <v>11849999</v>
      </c>
      <c r="E659" s="15">
        <v>46174</v>
      </c>
      <c r="F659" s="14" t="s">
        <v>1048</v>
      </c>
    </row>
    <row r="660" spans="1:6" x14ac:dyDescent="0.3">
      <c r="A660" s="8">
        <v>46198</v>
      </c>
      <c r="B660" t="s">
        <v>483</v>
      </c>
      <c r="C660" t="s">
        <v>1177</v>
      </c>
      <c r="D660" s="1">
        <v>169800</v>
      </c>
      <c r="E660" s="15">
        <v>46174</v>
      </c>
      <c r="F660" s="14" t="s">
        <v>1049</v>
      </c>
    </row>
    <row r="661" spans="1:6" x14ac:dyDescent="0.3">
      <c r="A661" s="8">
        <v>46198</v>
      </c>
      <c r="B661" t="s">
        <v>843</v>
      </c>
      <c r="C661" t="s">
        <v>76</v>
      </c>
      <c r="D661" s="1">
        <v>6100</v>
      </c>
      <c r="E661" s="15">
        <v>46174</v>
      </c>
      <c r="F661" s="14" t="s">
        <v>1050</v>
      </c>
    </row>
    <row r="662" spans="1:6" x14ac:dyDescent="0.3">
      <c r="A662" s="8">
        <v>46198</v>
      </c>
      <c r="B662" t="s">
        <v>35</v>
      </c>
      <c r="C662" t="s">
        <v>95</v>
      </c>
      <c r="D662" s="1">
        <v>418370</v>
      </c>
      <c r="E662" s="15">
        <v>46174</v>
      </c>
      <c r="F662" s="14" t="s">
        <v>1051</v>
      </c>
    </row>
    <row r="663" spans="1:6" x14ac:dyDescent="0.3">
      <c r="A663" s="8">
        <v>46198</v>
      </c>
      <c r="B663" t="s">
        <v>844</v>
      </c>
      <c r="C663" t="s">
        <v>76</v>
      </c>
      <c r="D663" s="1">
        <v>266000</v>
      </c>
      <c r="E663" s="15">
        <v>46174</v>
      </c>
      <c r="F663" s="14" t="s">
        <v>1052</v>
      </c>
    </row>
    <row r="664" spans="1:6" x14ac:dyDescent="0.3">
      <c r="A664" s="8">
        <v>46198</v>
      </c>
      <c r="B664" t="s">
        <v>495</v>
      </c>
      <c r="C664" t="s">
        <v>80</v>
      </c>
      <c r="D664" s="1">
        <v>354263.65</v>
      </c>
      <c r="E664" s="15">
        <v>46174</v>
      </c>
      <c r="F664" s="14" t="s">
        <v>1053</v>
      </c>
    </row>
    <row r="665" spans="1:6" x14ac:dyDescent="0.3">
      <c r="A665" s="8">
        <v>46198</v>
      </c>
      <c r="B665" t="s">
        <v>845</v>
      </c>
      <c r="C665" t="s">
        <v>80</v>
      </c>
      <c r="D665" s="1">
        <v>69937.8</v>
      </c>
      <c r="E665" s="15">
        <v>46174</v>
      </c>
      <c r="F665" s="14" t="s">
        <v>1054</v>
      </c>
    </row>
    <row r="666" spans="1:6" x14ac:dyDescent="0.3">
      <c r="A666" s="8">
        <v>46198</v>
      </c>
      <c r="B666" t="s">
        <v>845</v>
      </c>
      <c r="C666" t="s">
        <v>80</v>
      </c>
      <c r="D666" s="1">
        <v>279751.2</v>
      </c>
      <c r="E666" s="15">
        <v>46174</v>
      </c>
      <c r="F666" s="14" t="s">
        <v>1055</v>
      </c>
    </row>
    <row r="667" spans="1:6" x14ac:dyDescent="0.3">
      <c r="A667" s="8">
        <v>46198</v>
      </c>
      <c r="B667" t="s">
        <v>810</v>
      </c>
      <c r="C667" t="s">
        <v>1188</v>
      </c>
      <c r="D667" s="1">
        <v>80400</v>
      </c>
      <c r="E667" s="15">
        <v>46174</v>
      </c>
      <c r="F667" s="14" t="s">
        <v>1056</v>
      </c>
    </row>
    <row r="668" spans="1:6" x14ac:dyDescent="0.3">
      <c r="A668" s="8">
        <v>46198</v>
      </c>
      <c r="B668" t="s">
        <v>434</v>
      </c>
      <c r="C668" t="s">
        <v>76</v>
      </c>
      <c r="D668" s="1">
        <v>2421236.94</v>
      </c>
      <c r="E668" s="15">
        <v>46174</v>
      </c>
      <c r="F668" s="14" t="s">
        <v>1057</v>
      </c>
    </row>
    <row r="669" spans="1:6" x14ac:dyDescent="0.3">
      <c r="A669" s="8">
        <v>46199</v>
      </c>
      <c r="B669" t="s">
        <v>35</v>
      </c>
      <c r="C669" t="s">
        <v>95</v>
      </c>
      <c r="D669" s="1">
        <v>106000</v>
      </c>
      <c r="E669" s="15">
        <v>46174</v>
      </c>
      <c r="F669" s="14" t="s">
        <v>1058</v>
      </c>
    </row>
    <row r="670" spans="1:6" x14ac:dyDescent="0.3">
      <c r="A670" s="8">
        <v>46199</v>
      </c>
      <c r="B670" t="s">
        <v>846</v>
      </c>
      <c r="C670" t="s">
        <v>97</v>
      </c>
      <c r="D670" s="1">
        <v>830677.28</v>
      </c>
      <c r="E670" s="15">
        <v>46174</v>
      </c>
      <c r="F670" s="14" t="s">
        <v>536</v>
      </c>
    </row>
    <row r="671" spans="1:6" x14ac:dyDescent="0.3">
      <c r="A671" s="8">
        <v>46199</v>
      </c>
      <c r="B671" t="s">
        <v>35</v>
      </c>
      <c r="C671" t="s">
        <v>95</v>
      </c>
      <c r="D671" s="1">
        <v>1899300</v>
      </c>
      <c r="E671" s="15">
        <v>46174</v>
      </c>
      <c r="F671" s="14" t="s">
        <v>1059</v>
      </c>
    </row>
    <row r="672" spans="1:6" x14ac:dyDescent="0.3">
      <c r="A672" s="8">
        <v>46199</v>
      </c>
      <c r="B672" t="s">
        <v>799</v>
      </c>
      <c r="C672" t="s">
        <v>76</v>
      </c>
      <c r="D672" s="1">
        <v>15000</v>
      </c>
      <c r="E672" s="15">
        <v>46174</v>
      </c>
      <c r="F672" s="14" t="s">
        <v>1060</v>
      </c>
    </row>
    <row r="673" spans="1:6" x14ac:dyDescent="0.3">
      <c r="A673" s="8">
        <v>46199</v>
      </c>
      <c r="B673" t="s">
        <v>847</v>
      </c>
      <c r="C673" t="s">
        <v>77</v>
      </c>
      <c r="D673" s="1">
        <v>100</v>
      </c>
      <c r="E673" s="15">
        <v>46174</v>
      </c>
      <c r="F673" s="14" t="s">
        <v>1061</v>
      </c>
    </row>
    <row r="674" spans="1:6" x14ac:dyDescent="0.3">
      <c r="A674" s="8">
        <v>46199</v>
      </c>
      <c r="B674" t="s">
        <v>848</v>
      </c>
      <c r="C674" t="s">
        <v>77</v>
      </c>
      <c r="D674" s="1">
        <v>71297</v>
      </c>
      <c r="E674" s="15">
        <v>46174</v>
      </c>
      <c r="F674" s="14" t="s">
        <v>1062</v>
      </c>
    </row>
    <row r="675" spans="1:6" x14ac:dyDescent="0.3">
      <c r="A675" s="8">
        <v>46199</v>
      </c>
      <c r="B675" t="s">
        <v>848</v>
      </c>
      <c r="C675" t="s">
        <v>77</v>
      </c>
      <c r="D675" s="1">
        <v>100</v>
      </c>
      <c r="E675" s="15">
        <v>46174</v>
      </c>
      <c r="F675" s="14" t="s">
        <v>1063</v>
      </c>
    </row>
    <row r="676" spans="1:6" x14ac:dyDescent="0.3">
      <c r="A676" s="8">
        <v>46199</v>
      </c>
      <c r="B676" t="s">
        <v>848</v>
      </c>
      <c r="C676" t="s">
        <v>77</v>
      </c>
      <c r="D676" s="1">
        <v>256508</v>
      </c>
      <c r="E676" s="15">
        <v>46174</v>
      </c>
      <c r="F676" s="14" t="s">
        <v>1064</v>
      </c>
    </row>
    <row r="677" spans="1:6" x14ac:dyDescent="0.3">
      <c r="A677" s="8">
        <v>46199</v>
      </c>
      <c r="B677" t="s">
        <v>848</v>
      </c>
      <c r="C677" t="s">
        <v>77</v>
      </c>
      <c r="D677" s="1">
        <v>100</v>
      </c>
      <c r="E677" s="15">
        <v>46174</v>
      </c>
      <c r="F677" s="14" t="s">
        <v>1065</v>
      </c>
    </row>
    <row r="678" spans="1:6" x14ac:dyDescent="0.3">
      <c r="A678" s="8">
        <v>46199</v>
      </c>
      <c r="B678" t="s">
        <v>848</v>
      </c>
      <c r="C678" t="s">
        <v>77</v>
      </c>
      <c r="D678" s="1">
        <v>85376</v>
      </c>
      <c r="E678" s="15">
        <v>46174</v>
      </c>
      <c r="F678" s="14" t="s">
        <v>1066</v>
      </c>
    </row>
    <row r="679" spans="1:6" x14ac:dyDescent="0.3">
      <c r="A679" s="8">
        <v>46199</v>
      </c>
      <c r="B679" t="s">
        <v>295</v>
      </c>
      <c r="C679" t="s">
        <v>76</v>
      </c>
      <c r="D679" s="1">
        <v>0.4</v>
      </c>
      <c r="E679" s="15">
        <v>46174</v>
      </c>
      <c r="F679" s="14" t="s">
        <v>1067</v>
      </c>
    </row>
    <row r="680" spans="1:6" x14ac:dyDescent="0.3">
      <c r="A680" s="8">
        <v>46199</v>
      </c>
      <c r="B680" t="s">
        <v>47</v>
      </c>
      <c r="C680" t="s">
        <v>77</v>
      </c>
      <c r="D680" s="1">
        <v>24950</v>
      </c>
      <c r="E680" s="15">
        <v>46174</v>
      </c>
      <c r="F680" s="14" t="s">
        <v>1068</v>
      </c>
    </row>
    <row r="681" spans="1:6" x14ac:dyDescent="0.3">
      <c r="A681" s="8">
        <v>46199</v>
      </c>
      <c r="B681" t="s">
        <v>47</v>
      </c>
      <c r="C681" t="s">
        <v>77</v>
      </c>
      <c r="D681" s="1">
        <v>28978</v>
      </c>
      <c r="E681" s="15">
        <v>46174</v>
      </c>
      <c r="F681" s="14" t="s">
        <v>1069</v>
      </c>
    </row>
    <row r="682" spans="1:6" x14ac:dyDescent="0.3">
      <c r="A682" s="8">
        <v>46199</v>
      </c>
      <c r="B682" t="s">
        <v>35</v>
      </c>
      <c r="C682" t="s">
        <v>95</v>
      </c>
      <c r="D682" s="1">
        <v>72000</v>
      </c>
      <c r="E682" s="15">
        <v>46174</v>
      </c>
      <c r="F682" s="14" t="s">
        <v>1070</v>
      </c>
    </row>
    <row r="683" spans="1:6" x14ac:dyDescent="0.3">
      <c r="A683" s="8">
        <v>46199</v>
      </c>
      <c r="B683" t="s">
        <v>434</v>
      </c>
      <c r="C683" t="s">
        <v>76</v>
      </c>
      <c r="D683" s="1">
        <v>9082499.1300000008</v>
      </c>
      <c r="E683" s="15">
        <v>46174</v>
      </c>
      <c r="F683" s="14" t="s">
        <v>1071</v>
      </c>
    </row>
    <row r="684" spans="1:6" x14ac:dyDescent="0.3">
      <c r="A684" s="8">
        <v>46199</v>
      </c>
      <c r="B684" t="s">
        <v>802</v>
      </c>
      <c r="C684" t="s">
        <v>1185</v>
      </c>
      <c r="D684" s="1">
        <v>7999999.5599999996</v>
      </c>
      <c r="E684" s="15">
        <v>46174</v>
      </c>
      <c r="F684" s="14" t="s">
        <v>1072</v>
      </c>
    </row>
    <row r="685" spans="1:6" x14ac:dyDescent="0.3">
      <c r="A685" s="8">
        <v>46199</v>
      </c>
      <c r="B685" t="s">
        <v>429</v>
      </c>
      <c r="C685" t="s">
        <v>81</v>
      </c>
      <c r="D685" s="1">
        <v>31000</v>
      </c>
      <c r="E685" s="15">
        <v>46174</v>
      </c>
      <c r="F685" s="14" t="s">
        <v>1073</v>
      </c>
    </row>
    <row r="686" spans="1:6" x14ac:dyDescent="0.3">
      <c r="A686" s="8">
        <v>46199</v>
      </c>
      <c r="B686" t="s">
        <v>849</v>
      </c>
      <c r="C686" t="s">
        <v>97</v>
      </c>
      <c r="D686" s="1">
        <v>350099.6</v>
      </c>
      <c r="E686" s="15">
        <v>46174</v>
      </c>
      <c r="F686" s="14" t="s">
        <v>536</v>
      </c>
    </row>
    <row r="687" spans="1:6" x14ac:dyDescent="0.3">
      <c r="A687" s="8">
        <v>46199</v>
      </c>
      <c r="B687" t="s">
        <v>51</v>
      </c>
      <c r="C687" t="s">
        <v>77</v>
      </c>
      <c r="D687" s="1">
        <v>22984</v>
      </c>
      <c r="E687" s="15">
        <v>46174</v>
      </c>
      <c r="F687" s="14" t="s">
        <v>1074</v>
      </c>
    </row>
    <row r="688" spans="1:6" x14ac:dyDescent="0.3">
      <c r="A688" s="8">
        <v>46200</v>
      </c>
      <c r="B688" t="s">
        <v>488</v>
      </c>
      <c r="C688" t="s">
        <v>1188</v>
      </c>
      <c r="D688" s="1">
        <v>53000</v>
      </c>
      <c r="E688" s="15">
        <v>46174</v>
      </c>
      <c r="F688" s="14" t="s">
        <v>1075</v>
      </c>
    </row>
    <row r="689" spans="1:6" x14ac:dyDescent="0.3">
      <c r="A689" s="8">
        <v>46200</v>
      </c>
      <c r="B689" t="s">
        <v>51</v>
      </c>
      <c r="C689" t="s">
        <v>77</v>
      </c>
      <c r="D689" s="1">
        <v>11934</v>
      </c>
      <c r="E689" s="15">
        <v>46174</v>
      </c>
      <c r="F689" s="14" t="s">
        <v>1076</v>
      </c>
    </row>
    <row r="690" spans="1:6" x14ac:dyDescent="0.3">
      <c r="A690" s="8">
        <v>46200</v>
      </c>
      <c r="B690" t="s">
        <v>51</v>
      </c>
      <c r="C690" t="s">
        <v>77</v>
      </c>
      <c r="D690" s="1">
        <v>13310</v>
      </c>
      <c r="E690" s="15">
        <v>46174</v>
      </c>
      <c r="F690" s="14" t="s">
        <v>1077</v>
      </c>
    </row>
    <row r="691" spans="1:6" x14ac:dyDescent="0.3">
      <c r="A691" s="8">
        <v>46200</v>
      </c>
      <c r="B691" t="s">
        <v>850</v>
      </c>
      <c r="C691" t="s">
        <v>80</v>
      </c>
      <c r="D691" s="1">
        <v>419234.89</v>
      </c>
      <c r="E691" s="15">
        <v>46174</v>
      </c>
      <c r="F691" s="14" t="s">
        <v>1078</v>
      </c>
    </row>
    <row r="692" spans="1:6" x14ac:dyDescent="0.3">
      <c r="A692" s="8">
        <v>46200</v>
      </c>
      <c r="B692" t="s">
        <v>442</v>
      </c>
      <c r="C692" t="s">
        <v>80</v>
      </c>
      <c r="D692" s="1">
        <v>319900</v>
      </c>
      <c r="E692" s="15">
        <v>46174</v>
      </c>
      <c r="F692" s="14" t="s">
        <v>1079</v>
      </c>
    </row>
    <row r="693" spans="1:6" x14ac:dyDescent="0.3">
      <c r="A693" s="8">
        <v>46200</v>
      </c>
      <c r="B693" t="s">
        <v>51</v>
      </c>
      <c r="C693" t="s">
        <v>77</v>
      </c>
      <c r="D693" s="1">
        <v>9930</v>
      </c>
      <c r="E693" s="15">
        <v>46174</v>
      </c>
      <c r="F693" s="14" t="s">
        <v>1080</v>
      </c>
    </row>
    <row r="694" spans="1:6" x14ac:dyDescent="0.3">
      <c r="A694" s="8">
        <v>46200</v>
      </c>
      <c r="B694" t="s">
        <v>63</v>
      </c>
      <c r="C694" t="s">
        <v>1188</v>
      </c>
      <c r="D694" s="1">
        <v>27600</v>
      </c>
      <c r="E694" s="15">
        <v>46174</v>
      </c>
      <c r="F694" s="14" t="s">
        <v>1081</v>
      </c>
    </row>
    <row r="695" spans="1:6" x14ac:dyDescent="0.3">
      <c r="A695" s="8">
        <v>46200</v>
      </c>
      <c r="B695" t="s">
        <v>63</v>
      </c>
      <c r="C695" t="s">
        <v>1188</v>
      </c>
      <c r="D695" s="1">
        <v>24450</v>
      </c>
      <c r="E695" s="15">
        <v>46174</v>
      </c>
      <c r="F695" s="14" t="s">
        <v>1082</v>
      </c>
    </row>
    <row r="696" spans="1:6" x14ac:dyDescent="0.3">
      <c r="A696" s="8">
        <v>46200</v>
      </c>
      <c r="B696" t="s">
        <v>506</v>
      </c>
      <c r="C696" t="s">
        <v>1182</v>
      </c>
      <c r="D696" s="1">
        <v>144222</v>
      </c>
      <c r="E696" s="15">
        <v>46174</v>
      </c>
      <c r="F696" s="14" t="s">
        <v>1083</v>
      </c>
    </row>
    <row r="697" spans="1:6" x14ac:dyDescent="0.3">
      <c r="A697" s="8">
        <v>46200</v>
      </c>
      <c r="B697" t="s">
        <v>51</v>
      </c>
      <c r="C697" t="s">
        <v>77</v>
      </c>
      <c r="D697" s="1">
        <v>10941</v>
      </c>
      <c r="E697" s="15">
        <v>46174</v>
      </c>
      <c r="F697" s="14" t="s">
        <v>1084</v>
      </c>
    </row>
    <row r="698" spans="1:6" x14ac:dyDescent="0.3">
      <c r="A698" s="8">
        <v>46200</v>
      </c>
      <c r="B698" t="s">
        <v>51</v>
      </c>
      <c r="C698" t="s">
        <v>77</v>
      </c>
      <c r="D698" s="1">
        <v>8947</v>
      </c>
      <c r="E698" s="15">
        <v>46174</v>
      </c>
      <c r="F698" s="14" t="s">
        <v>1085</v>
      </c>
    </row>
    <row r="699" spans="1:6" x14ac:dyDescent="0.3">
      <c r="A699" s="8">
        <v>46200</v>
      </c>
      <c r="B699" t="s">
        <v>63</v>
      </c>
      <c r="C699" t="s">
        <v>1188</v>
      </c>
      <c r="D699" s="1">
        <v>52700</v>
      </c>
      <c r="E699" s="15">
        <v>46174</v>
      </c>
      <c r="F699" s="14" t="s">
        <v>1086</v>
      </c>
    </row>
    <row r="700" spans="1:6" x14ac:dyDescent="0.3">
      <c r="A700" s="8">
        <v>46200</v>
      </c>
      <c r="B700" t="s">
        <v>851</v>
      </c>
      <c r="C700" t="s">
        <v>76</v>
      </c>
      <c r="D700" s="1">
        <v>1023071</v>
      </c>
      <c r="E700" s="15">
        <v>46174</v>
      </c>
      <c r="F700" s="14" t="s">
        <v>1087</v>
      </c>
    </row>
    <row r="701" spans="1:6" x14ac:dyDescent="0.3">
      <c r="A701" s="8">
        <v>46200</v>
      </c>
      <c r="B701" t="s">
        <v>470</v>
      </c>
      <c r="C701" t="s">
        <v>76</v>
      </c>
      <c r="D701" s="1">
        <v>416783.22</v>
      </c>
      <c r="E701" s="15">
        <v>46174</v>
      </c>
      <c r="F701" s="14" t="s">
        <v>1088</v>
      </c>
    </row>
    <row r="702" spans="1:6" x14ac:dyDescent="0.3">
      <c r="A702" s="8">
        <v>46201</v>
      </c>
      <c r="B702" t="s">
        <v>852</v>
      </c>
      <c r="C702" t="s">
        <v>97</v>
      </c>
      <c r="D702" s="1">
        <v>149402.35999999999</v>
      </c>
      <c r="E702" s="15">
        <v>46174</v>
      </c>
      <c r="F702" s="14" t="s">
        <v>536</v>
      </c>
    </row>
    <row r="703" spans="1:6" x14ac:dyDescent="0.3">
      <c r="A703" s="8">
        <v>46201</v>
      </c>
      <c r="B703" t="s">
        <v>48</v>
      </c>
      <c r="C703" t="s">
        <v>77</v>
      </c>
      <c r="D703" s="1">
        <v>79905</v>
      </c>
      <c r="E703" s="15">
        <v>46174</v>
      </c>
      <c r="F703" s="14" t="s">
        <v>1089</v>
      </c>
    </row>
    <row r="704" spans="1:6" x14ac:dyDescent="0.3">
      <c r="A704" s="8">
        <v>46201</v>
      </c>
      <c r="B704" t="s">
        <v>47</v>
      </c>
      <c r="C704" t="s">
        <v>77</v>
      </c>
      <c r="D704" s="1">
        <v>50123</v>
      </c>
      <c r="E704" s="15">
        <v>46174</v>
      </c>
      <c r="F704" s="14" t="s">
        <v>1090</v>
      </c>
    </row>
    <row r="705" spans="1:6" x14ac:dyDescent="0.3">
      <c r="A705" s="8">
        <v>46201</v>
      </c>
      <c r="B705" t="s">
        <v>430</v>
      </c>
      <c r="C705" t="s">
        <v>77</v>
      </c>
      <c r="D705" s="1">
        <v>164388</v>
      </c>
      <c r="E705" s="15">
        <v>46174</v>
      </c>
      <c r="F705" s="14" t="s">
        <v>1091</v>
      </c>
    </row>
    <row r="706" spans="1:6" x14ac:dyDescent="0.3">
      <c r="A706" s="8">
        <v>46201</v>
      </c>
      <c r="B706" t="s">
        <v>63</v>
      </c>
      <c r="C706" t="s">
        <v>1188</v>
      </c>
      <c r="D706" s="1">
        <v>22300</v>
      </c>
      <c r="E706" s="15">
        <v>46174</v>
      </c>
      <c r="F706" s="14" t="s">
        <v>1092</v>
      </c>
    </row>
    <row r="707" spans="1:6" x14ac:dyDescent="0.3">
      <c r="A707" s="8">
        <v>46201</v>
      </c>
      <c r="B707" t="s">
        <v>853</v>
      </c>
      <c r="C707" t="s">
        <v>97</v>
      </c>
      <c r="D707" s="1">
        <v>164342.6</v>
      </c>
      <c r="E707" s="15">
        <v>46174</v>
      </c>
      <c r="F707" s="14" t="s">
        <v>536</v>
      </c>
    </row>
    <row r="708" spans="1:6" x14ac:dyDescent="0.3">
      <c r="A708" s="8">
        <v>46201</v>
      </c>
      <c r="B708" t="s">
        <v>465</v>
      </c>
      <c r="C708" t="s">
        <v>1177</v>
      </c>
      <c r="D708" s="1">
        <v>182000</v>
      </c>
      <c r="E708" s="15">
        <v>46174</v>
      </c>
      <c r="F708" s="14" t="s">
        <v>1093</v>
      </c>
    </row>
    <row r="709" spans="1:6" x14ac:dyDescent="0.3">
      <c r="A709" s="8">
        <v>46202</v>
      </c>
      <c r="B709" t="s">
        <v>51</v>
      </c>
      <c r="C709" t="s">
        <v>77</v>
      </c>
      <c r="D709" s="1">
        <v>7938</v>
      </c>
      <c r="E709" s="15">
        <v>46174</v>
      </c>
      <c r="F709" s="14" t="s">
        <v>1094</v>
      </c>
    </row>
    <row r="710" spans="1:6" x14ac:dyDescent="0.3">
      <c r="A710" s="8">
        <v>46202</v>
      </c>
      <c r="B710" t="s">
        <v>47</v>
      </c>
      <c r="C710" t="s">
        <v>77</v>
      </c>
      <c r="D710" s="1">
        <v>7943</v>
      </c>
      <c r="E710" s="15">
        <v>46174</v>
      </c>
      <c r="F710" s="14" t="s">
        <v>1095</v>
      </c>
    </row>
    <row r="711" spans="1:6" x14ac:dyDescent="0.3">
      <c r="A711" s="8">
        <v>46202</v>
      </c>
      <c r="B711" t="s">
        <v>511</v>
      </c>
      <c r="C711" t="s">
        <v>1182</v>
      </c>
      <c r="D711" s="1">
        <v>120084</v>
      </c>
      <c r="E711" s="15">
        <v>46174</v>
      </c>
      <c r="F711" s="14" t="s">
        <v>1096</v>
      </c>
    </row>
    <row r="712" spans="1:6" x14ac:dyDescent="0.3">
      <c r="A712" s="8">
        <v>46202</v>
      </c>
      <c r="B712" t="s">
        <v>63</v>
      </c>
      <c r="C712" t="s">
        <v>1188</v>
      </c>
      <c r="D712" s="1">
        <v>36120</v>
      </c>
      <c r="E712" s="15">
        <v>46174</v>
      </c>
      <c r="F712" s="14" t="s">
        <v>1097</v>
      </c>
    </row>
    <row r="713" spans="1:6" x14ac:dyDescent="0.3">
      <c r="A713" s="8">
        <v>46202</v>
      </c>
      <c r="B713" t="s">
        <v>854</v>
      </c>
      <c r="C713" t="s">
        <v>76</v>
      </c>
      <c r="D713" s="1">
        <v>53500</v>
      </c>
      <c r="E713" s="15">
        <v>46174</v>
      </c>
      <c r="F713" s="14" t="s">
        <v>1098</v>
      </c>
    </row>
    <row r="714" spans="1:6" x14ac:dyDescent="0.3">
      <c r="A714" s="8">
        <v>46202</v>
      </c>
      <c r="B714" t="s">
        <v>63</v>
      </c>
      <c r="C714" t="s">
        <v>1188</v>
      </c>
      <c r="D714" s="1">
        <v>19400</v>
      </c>
      <c r="E714" s="15">
        <v>46174</v>
      </c>
      <c r="F714" s="14" t="s">
        <v>1099</v>
      </c>
    </row>
    <row r="715" spans="1:6" x14ac:dyDescent="0.3">
      <c r="A715" s="8">
        <v>46202</v>
      </c>
      <c r="B715" t="s">
        <v>461</v>
      </c>
      <c r="C715" t="s">
        <v>77</v>
      </c>
      <c r="D715" s="1">
        <v>15200</v>
      </c>
      <c r="E715" s="15">
        <v>46174</v>
      </c>
      <c r="F715" s="14" t="s">
        <v>1100</v>
      </c>
    </row>
    <row r="716" spans="1:6" x14ac:dyDescent="0.3">
      <c r="A716" s="8">
        <v>46202</v>
      </c>
      <c r="B716" t="s">
        <v>508</v>
      </c>
      <c r="C716" t="s">
        <v>76</v>
      </c>
      <c r="D716" s="1">
        <v>24900</v>
      </c>
      <c r="E716" s="15">
        <v>46174</v>
      </c>
      <c r="F716" s="14" t="s">
        <v>1101</v>
      </c>
    </row>
    <row r="717" spans="1:6" x14ac:dyDescent="0.3">
      <c r="A717" s="8">
        <v>46203</v>
      </c>
      <c r="B717" t="s">
        <v>35</v>
      </c>
      <c r="C717" t="s">
        <v>95</v>
      </c>
      <c r="D717" s="1">
        <v>106000</v>
      </c>
      <c r="E717" s="15">
        <v>46174</v>
      </c>
      <c r="F717" s="14" t="s">
        <v>1102</v>
      </c>
    </row>
    <row r="718" spans="1:6" x14ac:dyDescent="0.3">
      <c r="A718" s="8">
        <v>46203</v>
      </c>
      <c r="B718" t="s">
        <v>855</v>
      </c>
      <c r="C718" t="s">
        <v>76</v>
      </c>
      <c r="D718" s="1">
        <v>1999999.31</v>
      </c>
      <c r="E718" s="15">
        <v>46174</v>
      </c>
      <c r="F718" s="14" t="s">
        <v>1103</v>
      </c>
    </row>
    <row r="719" spans="1:6" x14ac:dyDescent="0.3">
      <c r="A719" s="8">
        <v>46203</v>
      </c>
      <c r="B719" t="s">
        <v>510</v>
      </c>
      <c r="C719" t="s">
        <v>76</v>
      </c>
      <c r="D719" s="1">
        <v>29900</v>
      </c>
      <c r="E719" s="15">
        <v>46174</v>
      </c>
      <c r="F719" s="14" t="s">
        <v>1104</v>
      </c>
    </row>
    <row r="720" spans="1:6" x14ac:dyDescent="0.3">
      <c r="A720" s="8">
        <v>46203</v>
      </c>
      <c r="B720" t="s">
        <v>473</v>
      </c>
      <c r="C720" t="s">
        <v>76</v>
      </c>
      <c r="D720" s="1">
        <v>1149999.5</v>
      </c>
      <c r="E720" s="15">
        <v>46174</v>
      </c>
      <c r="F720" s="14" t="s">
        <v>1105</v>
      </c>
    </row>
    <row r="721" spans="1:6" x14ac:dyDescent="0.3">
      <c r="A721" s="8">
        <v>46203</v>
      </c>
      <c r="B721" t="s">
        <v>35</v>
      </c>
      <c r="C721" t="s">
        <v>95</v>
      </c>
      <c r="D721" s="1">
        <v>294000</v>
      </c>
      <c r="E721" s="15">
        <v>46174</v>
      </c>
      <c r="F721" s="14" t="s">
        <v>1106</v>
      </c>
    </row>
    <row r="722" spans="1:6" x14ac:dyDescent="0.3">
      <c r="A722" s="8">
        <v>46203</v>
      </c>
      <c r="B722" t="s">
        <v>823</v>
      </c>
      <c r="C722" t="s">
        <v>76</v>
      </c>
      <c r="D722" s="1">
        <v>814890.72</v>
      </c>
      <c r="E722" s="15">
        <v>46174</v>
      </c>
      <c r="F722" s="14" t="s">
        <v>1107</v>
      </c>
    </row>
    <row r="723" spans="1:6" x14ac:dyDescent="0.3">
      <c r="A723" s="8">
        <v>46203</v>
      </c>
      <c r="B723" t="s">
        <v>49</v>
      </c>
      <c r="C723" t="s">
        <v>80</v>
      </c>
      <c r="D723" s="1">
        <v>175623</v>
      </c>
      <c r="E723" s="15">
        <v>46174</v>
      </c>
      <c r="F723" s="14" t="s">
        <v>1108</v>
      </c>
    </row>
    <row r="724" spans="1:6" x14ac:dyDescent="0.3">
      <c r="A724" s="8">
        <v>46203</v>
      </c>
      <c r="B724" t="s">
        <v>35</v>
      </c>
      <c r="C724" t="s">
        <v>95</v>
      </c>
      <c r="D724" s="1">
        <v>438600</v>
      </c>
      <c r="E724" s="15">
        <v>46174</v>
      </c>
      <c r="F724" s="14" t="s">
        <v>1109</v>
      </c>
    </row>
    <row r="725" spans="1:6" x14ac:dyDescent="0.3">
      <c r="A725" s="8">
        <v>46203</v>
      </c>
      <c r="B725" t="s">
        <v>461</v>
      </c>
      <c r="C725" t="s">
        <v>77</v>
      </c>
      <c r="D725" s="1">
        <v>15200</v>
      </c>
      <c r="E725" s="15">
        <v>46174</v>
      </c>
      <c r="F725" s="14" t="s">
        <v>1110</v>
      </c>
    </row>
    <row r="726" spans="1:6" x14ac:dyDescent="0.3">
      <c r="A726" s="8">
        <v>46203</v>
      </c>
      <c r="B726" t="s">
        <v>63</v>
      </c>
      <c r="C726" t="s">
        <v>1188</v>
      </c>
      <c r="D726" s="1">
        <v>62889</v>
      </c>
      <c r="E726" s="15">
        <v>46174</v>
      </c>
      <c r="F726" s="14" t="s">
        <v>1111</v>
      </c>
    </row>
    <row r="727" spans="1:6" x14ac:dyDescent="0.3">
      <c r="A727" s="8">
        <v>46203</v>
      </c>
      <c r="B727" t="s">
        <v>63</v>
      </c>
      <c r="C727" t="s">
        <v>1188</v>
      </c>
      <c r="D727" s="1">
        <v>58350</v>
      </c>
      <c r="E727" s="15">
        <v>46174</v>
      </c>
      <c r="F727" s="14" t="s">
        <v>1112</v>
      </c>
    </row>
    <row r="728" spans="1:6" x14ac:dyDescent="0.3">
      <c r="A728" s="8">
        <v>46203</v>
      </c>
      <c r="B728" t="s">
        <v>35</v>
      </c>
      <c r="C728" t="s">
        <v>95</v>
      </c>
      <c r="D728" s="1">
        <v>80000</v>
      </c>
      <c r="E728" s="15">
        <v>46174</v>
      </c>
      <c r="F728" s="14" t="s">
        <v>1113</v>
      </c>
    </row>
    <row r="729" spans="1:6" x14ac:dyDescent="0.3">
      <c r="A729" s="8">
        <v>46203</v>
      </c>
      <c r="B729" t="s">
        <v>35</v>
      </c>
      <c r="C729" t="s">
        <v>95</v>
      </c>
      <c r="D729" s="1">
        <v>4393676</v>
      </c>
      <c r="E729" s="15">
        <v>46174</v>
      </c>
      <c r="F729" s="14" t="s">
        <v>1114</v>
      </c>
    </row>
    <row r="730" spans="1:6" x14ac:dyDescent="0.3">
      <c r="A730" s="8">
        <v>46203</v>
      </c>
      <c r="B730" t="s">
        <v>63</v>
      </c>
      <c r="C730" t="s">
        <v>1188</v>
      </c>
      <c r="D730" s="1">
        <v>36650</v>
      </c>
      <c r="E730" s="15">
        <v>46174</v>
      </c>
      <c r="F730" s="14" t="s">
        <v>1115</v>
      </c>
    </row>
    <row r="731" spans="1:6" x14ac:dyDescent="0.3">
      <c r="A731" s="8">
        <v>46203</v>
      </c>
      <c r="B731" t="s">
        <v>856</v>
      </c>
      <c r="C731" t="s">
        <v>1190</v>
      </c>
      <c r="D731" s="1">
        <v>11170.29</v>
      </c>
      <c r="E731" s="15">
        <v>46174</v>
      </c>
      <c r="F731" s="14" t="s">
        <v>536</v>
      </c>
    </row>
    <row r="732" spans="1:6" x14ac:dyDescent="0.3">
      <c r="A732" s="8">
        <v>46203</v>
      </c>
      <c r="B732" t="s">
        <v>857</v>
      </c>
      <c r="C732" t="s">
        <v>78</v>
      </c>
      <c r="D732" s="1">
        <v>58791</v>
      </c>
      <c r="E732" s="15">
        <v>46174</v>
      </c>
      <c r="F732" s="14" t="s">
        <v>536</v>
      </c>
    </row>
    <row r="733" spans="1:6" x14ac:dyDescent="0.3">
      <c r="A733" s="8">
        <v>46203</v>
      </c>
      <c r="B733" t="s">
        <v>858</v>
      </c>
      <c r="C733" t="s">
        <v>1190</v>
      </c>
      <c r="D733" s="1">
        <v>763822.02</v>
      </c>
      <c r="E733" s="15">
        <v>46174</v>
      </c>
      <c r="F733" s="14" t="s">
        <v>536</v>
      </c>
    </row>
    <row r="734" spans="1:6" x14ac:dyDescent="0.3">
      <c r="A734" s="8">
        <v>46204</v>
      </c>
      <c r="B734" t="s">
        <v>35</v>
      </c>
      <c r="C734" t="s">
        <v>95</v>
      </c>
      <c r="D734" s="1">
        <v>32000</v>
      </c>
      <c r="E734" s="15">
        <f>EOMONTH(TablaEgresos[[#This Row],[Fecha]],-1)+1</f>
        <v>46204</v>
      </c>
      <c r="F734" s="14" t="s">
        <v>104</v>
      </c>
    </row>
    <row r="735" spans="1:6" x14ac:dyDescent="0.3">
      <c r="A735" s="8">
        <v>46204</v>
      </c>
      <c r="B735" t="s">
        <v>36</v>
      </c>
      <c r="C735" t="s">
        <v>77</v>
      </c>
      <c r="D735" s="1">
        <v>16100</v>
      </c>
      <c r="E735" s="15">
        <f>EOMONTH(TablaEgresos[[#This Row],[Fecha]],-1)+1</f>
        <v>46204</v>
      </c>
      <c r="F735" s="14" t="s">
        <v>105</v>
      </c>
    </row>
    <row r="736" spans="1:6" x14ac:dyDescent="0.3">
      <c r="A736" s="8">
        <v>46204</v>
      </c>
      <c r="B736" t="s">
        <v>37</v>
      </c>
      <c r="C736" t="s">
        <v>1188</v>
      </c>
      <c r="D736" s="1">
        <v>40900</v>
      </c>
      <c r="E736" s="15">
        <f>EOMONTH(TablaEgresos[[#This Row],[Fecha]],-1)+1</f>
        <v>46204</v>
      </c>
      <c r="F736" s="14" t="s">
        <v>106</v>
      </c>
    </row>
    <row r="737" spans="1:6" x14ac:dyDescent="0.3">
      <c r="A737" s="8">
        <v>46204</v>
      </c>
      <c r="B737" t="s">
        <v>38</v>
      </c>
      <c r="C737" t="s">
        <v>1190</v>
      </c>
      <c r="D737" s="1">
        <v>86393.2</v>
      </c>
      <c r="E737" s="15">
        <f>EOMONTH(TablaEgresos[[#This Row],[Fecha]],-1)+1</f>
        <v>46204</v>
      </c>
      <c r="F737" s="14" t="s">
        <v>107</v>
      </c>
    </row>
    <row r="738" spans="1:6" x14ac:dyDescent="0.3">
      <c r="A738" s="8">
        <v>46204</v>
      </c>
      <c r="B738" t="s">
        <v>38</v>
      </c>
      <c r="C738" t="s">
        <v>1190</v>
      </c>
      <c r="D738" s="1">
        <v>99601.600000000006</v>
      </c>
      <c r="E738" s="15">
        <f>EOMONTH(TablaEgresos[[#This Row],[Fecha]],-1)+1</f>
        <v>46204</v>
      </c>
      <c r="F738" s="14" t="s">
        <v>108</v>
      </c>
    </row>
    <row r="739" spans="1:6" x14ac:dyDescent="0.3">
      <c r="A739" s="8">
        <v>46204</v>
      </c>
      <c r="B739" t="s">
        <v>38</v>
      </c>
      <c r="C739" t="s">
        <v>1190</v>
      </c>
      <c r="D739" s="1">
        <v>100000</v>
      </c>
      <c r="E739" s="15">
        <f>EOMONTH(TablaEgresos[[#This Row],[Fecha]],-1)+1</f>
        <v>46204</v>
      </c>
      <c r="F739" s="14" t="s">
        <v>109</v>
      </c>
    </row>
    <row r="740" spans="1:6" x14ac:dyDescent="0.3">
      <c r="A740" s="8">
        <v>46204</v>
      </c>
      <c r="B740" t="s">
        <v>39</v>
      </c>
      <c r="C740" t="s">
        <v>78</v>
      </c>
      <c r="D740" s="1">
        <v>2017</v>
      </c>
      <c r="E740" s="15">
        <f>EOMONTH(TablaEgresos[[#This Row],[Fecha]],-1)+1</f>
        <v>46204</v>
      </c>
      <c r="F740" s="14" t="s">
        <v>110</v>
      </c>
    </row>
    <row r="741" spans="1:6" x14ac:dyDescent="0.3">
      <c r="A741" s="8">
        <v>46204</v>
      </c>
      <c r="B741" t="s">
        <v>40</v>
      </c>
      <c r="C741" t="s">
        <v>1190</v>
      </c>
      <c r="D741" s="1">
        <v>383.23</v>
      </c>
      <c r="E741" s="15">
        <f>EOMONTH(TablaEgresos[[#This Row],[Fecha]],-1)+1</f>
        <v>46204</v>
      </c>
      <c r="F741" s="14" t="s">
        <v>111</v>
      </c>
    </row>
    <row r="742" spans="1:6" x14ac:dyDescent="0.3">
      <c r="A742" s="8">
        <v>46204</v>
      </c>
      <c r="B742" t="s">
        <v>39</v>
      </c>
      <c r="C742" t="s">
        <v>78</v>
      </c>
      <c r="D742" s="1">
        <v>2017</v>
      </c>
      <c r="E742" s="15">
        <f>EOMONTH(TablaEgresos[[#This Row],[Fecha]],-1)+1</f>
        <v>46204</v>
      </c>
      <c r="F742" s="14" t="s">
        <v>112</v>
      </c>
    </row>
    <row r="743" spans="1:6" x14ac:dyDescent="0.3">
      <c r="A743" s="8">
        <v>46204</v>
      </c>
      <c r="B743" t="s">
        <v>40</v>
      </c>
      <c r="C743" t="s">
        <v>1190</v>
      </c>
      <c r="D743" s="1">
        <v>383.23</v>
      </c>
      <c r="E743" s="15">
        <f>EOMONTH(TablaEgresos[[#This Row],[Fecha]],-1)+1</f>
        <v>46204</v>
      </c>
      <c r="F743" s="14" t="s">
        <v>113</v>
      </c>
    </row>
    <row r="744" spans="1:6" x14ac:dyDescent="0.3">
      <c r="A744" s="8">
        <v>46204</v>
      </c>
      <c r="B744" t="s">
        <v>38</v>
      </c>
      <c r="C744" t="s">
        <v>1190</v>
      </c>
      <c r="D744" s="1">
        <v>24495.16</v>
      </c>
      <c r="E744" s="15">
        <f>EOMONTH(TablaEgresos[[#This Row],[Fecha]],-1)+1</f>
        <v>46204</v>
      </c>
      <c r="F744" s="14" t="s">
        <v>114</v>
      </c>
    </row>
    <row r="745" spans="1:6" x14ac:dyDescent="0.3">
      <c r="A745" s="8">
        <v>46204</v>
      </c>
      <c r="B745" t="s">
        <v>39</v>
      </c>
      <c r="C745" t="s">
        <v>78</v>
      </c>
      <c r="D745" s="1">
        <v>2017</v>
      </c>
      <c r="E745" s="15">
        <f>EOMONTH(TablaEgresos[[#This Row],[Fecha]],-1)+1</f>
        <v>46204</v>
      </c>
      <c r="F745" s="14" t="s">
        <v>115</v>
      </c>
    </row>
    <row r="746" spans="1:6" x14ac:dyDescent="0.3">
      <c r="A746" s="8">
        <v>46204</v>
      </c>
      <c r="B746" t="s">
        <v>40</v>
      </c>
      <c r="C746" t="s">
        <v>1190</v>
      </c>
      <c r="D746" s="1">
        <v>383.23</v>
      </c>
      <c r="E746" s="15">
        <f>EOMONTH(TablaEgresos[[#This Row],[Fecha]],-1)+1</f>
        <v>46204</v>
      </c>
      <c r="F746" s="14" t="s">
        <v>116</v>
      </c>
    </row>
    <row r="747" spans="1:6" x14ac:dyDescent="0.3">
      <c r="A747" s="8">
        <v>46204</v>
      </c>
      <c r="B747" t="s">
        <v>38</v>
      </c>
      <c r="C747" t="s">
        <v>1190</v>
      </c>
      <c r="D747" s="1">
        <v>40000</v>
      </c>
      <c r="E747" s="15">
        <f>EOMONTH(TablaEgresos[[#This Row],[Fecha]],-1)+1</f>
        <v>46204</v>
      </c>
      <c r="F747" s="14" t="s">
        <v>117</v>
      </c>
    </row>
    <row r="748" spans="1:6" x14ac:dyDescent="0.3">
      <c r="A748" s="8">
        <v>46204</v>
      </c>
      <c r="B748" t="s">
        <v>38</v>
      </c>
      <c r="C748" t="s">
        <v>1190</v>
      </c>
      <c r="D748" s="1">
        <v>36800</v>
      </c>
      <c r="E748" s="15">
        <f>EOMONTH(TablaEgresos[[#This Row],[Fecha]],-1)+1</f>
        <v>46204</v>
      </c>
      <c r="F748" s="14" t="s">
        <v>118</v>
      </c>
    </row>
    <row r="749" spans="1:6" x14ac:dyDescent="0.3">
      <c r="A749" s="8">
        <v>46204</v>
      </c>
      <c r="B749" t="s">
        <v>99</v>
      </c>
      <c r="C749" t="s">
        <v>98</v>
      </c>
      <c r="D749" s="1">
        <v>9200000</v>
      </c>
      <c r="E749" s="15">
        <f>EOMONTH(TablaEgresos[[#This Row],[Fecha]],-1)+1</f>
        <v>46204</v>
      </c>
      <c r="F749" s="14" t="s">
        <v>119</v>
      </c>
    </row>
    <row r="750" spans="1:6" x14ac:dyDescent="0.3">
      <c r="A750" s="8">
        <v>46204</v>
      </c>
      <c r="B750" t="s">
        <v>101</v>
      </c>
      <c r="C750" t="s">
        <v>1186</v>
      </c>
      <c r="D750" s="1">
        <v>1742319</v>
      </c>
      <c r="E750" s="15">
        <f>EOMONTH(TablaEgresos[[#This Row],[Fecha]],-1)+1</f>
        <v>46204</v>
      </c>
      <c r="F750" s="14" t="s">
        <v>120</v>
      </c>
    </row>
    <row r="751" spans="1:6" x14ac:dyDescent="0.3">
      <c r="A751" s="8">
        <v>46204</v>
      </c>
      <c r="B751" t="s">
        <v>38</v>
      </c>
      <c r="C751" t="s">
        <v>1190</v>
      </c>
      <c r="D751" s="1">
        <v>6969.28</v>
      </c>
      <c r="E751" s="15">
        <f>EOMONTH(TablaEgresos[[#This Row],[Fecha]],-1)+1</f>
        <v>46204</v>
      </c>
      <c r="F751" s="14" t="s">
        <v>121</v>
      </c>
    </row>
    <row r="752" spans="1:6" x14ac:dyDescent="0.3">
      <c r="A752" s="8">
        <v>46204</v>
      </c>
      <c r="B752" t="s">
        <v>38</v>
      </c>
      <c r="C752" t="s">
        <v>1190</v>
      </c>
      <c r="D752" s="1">
        <v>1982.1</v>
      </c>
      <c r="E752" s="15">
        <f>EOMONTH(TablaEgresos[[#This Row],[Fecha]],-1)+1</f>
        <v>46204</v>
      </c>
      <c r="F752" s="14" t="s">
        <v>122</v>
      </c>
    </row>
    <row r="753" spans="1:6" x14ac:dyDescent="0.3">
      <c r="A753" s="8">
        <v>46204</v>
      </c>
      <c r="B753" t="s">
        <v>100</v>
      </c>
      <c r="C753" t="s">
        <v>1186</v>
      </c>
      <c r="D753" s="1">
        <v>495523</v>
      </c>
      <c r="E753" s="15">
        <f>EOMONTH(TablaEgresos[[#This Row],[Fecha]],-1)+1</f>
        <v>46204</v>
      </c>
      <c r="F753" s="14" t="s">
        <v>123</v>
      </c>
    </row>
    <row r="754" spans="1:6" x14ac:dyDescent="0.3">
      <c r="A754" s="8">
        <v>46204</v>
      </c>
      <c r="B754" t="s">
        <v>41</v>
      </c>
      <c r="C754" t="s">
        <v>97</v>
      </c>
      <c r="D754" s="1">
        <v>24913606.800000001</v>
      </c>
      <c r="E754" s="15">
        <f>EOMONTH(TablaEgresos[[#This Row],[Fecha]],-1)+1</f>
        <v>46204</v>
      </c>
      <c r="F754" s="14" t="s">
        <v>124</v>
      </c>
    </row>
    <row r="755" spans="1:6" x14ac:dyDescent="0.3">
      <c r="A755" s="8">
        <v>46204</v>
      </c>
      <c r="B755" t="s">
        <v>42</v>
      </c>
      <c r="C755" t="s">
        <v>97</v>
      </c>
      <c r="D755" s="1">
        <v>24900398.399999999</v>
      </c>
      <c r="E755" s="15">
        <f>EOMONTH(TablaEgresos[[#This Row],[Fecha]],-1)+1</f>
        <v>46204</v>
      </c>
      <c r="F755" s="14" t="s">
        <v>125</v>
      </c>
    </row>
    <row r="756" spans="1:6" x14ac:dyDescent="0.3">
      <c r="A756" s="8">
        <v>46204</v>
      </c>
      <c r="B756" t="s">
        <v>43</v>
      </c>
      <c r="C756" t="s">
        <v>97</v>
      </c>
      <c r="D756" s="1">
        <v>24999999.77</v>
      </c>
      <c r="E756" s="15">
        <f>EOMONTH(TablaEgresos[[#This Row],[Fecha]],-1)+1</f>
        <v>46204</v>
      </c>
      <c r="F756" s="14" t="s">
        <v>126</v>
      </c>
    </row>
    <row r="757" spans="1:6" x14ac:dyDescent="0.3">
      <c r="A757" s="8">
        <v>46204</v>
      </c>
      <c r="B757" t="s">
        <v>44</v>
      </c>
      <c r="C757" t="s">
        <v>1186</v>
      </c>
      <c r="D757" s="1">
        <v>6123787.6100000003</v>
      </c>
      <c r="E757" s="15">
        <f>EOMONTH(TablaEgresos[[#This Row],[Fecha]],-1)+1</f>
        <v>46204</v>
      </c>
      <c r="F757" s="14" t="s">
        <v>127</v>
      </c>
    </row>
    <row r="758" spans="1:6" x14ac:dyDescent="0.3">
      <c r="A758" s="8">
        <v>46204</v>
      </c>
      <c r="B758" t="s">
        <v>45</v>
      </c>
      <c r="C758" t="s">
        <v>91</v>
      </c>
      <c r="D758" s="1">
        <v>9999999.7699999996</v>
      </c>
      <c r="E758" s="15">
        <f>EOMONTH(TablaEgresos[[#This Row],[Fecha]],-1)+1</f>
        <v>46204</v>
      </c>
      <c r="F758" s="14" t="s">
        <v>128</v>
      </c>
    </row>
    <row r="759" spans="1:6" x14ac:dyDescent="0.3">
      <c r="A759" s="8">
        <v>46205</v>
      </c>
      <c r="B759" t="s">
        <v>46</v>
      </c>
      <c r="C759" t="s">
        <v>80</v>
      </c>
      <c r="D759" s="1">
        <v>1005198.86</v>
      </c>
      <c r="E759" s="15">
        <f>EOMONTH(TablaEgresos[[#This Row],[Fecha]],-1)+1</f>
        <v>46204</v>
      </c>
      <c r="F759" s="14" t="s">
        <v>129</v>
      </c>
    </row>
    <row r="760" spans="1:6" x14ac:dyDescent="0.3">
      <c r="A760" s="8">
        <v>46205</v>
      </c>
      <c r="B760" t="s">
        <v>38</v>
      </c>
      <c r="C760" t="s">
        <v>1190</v>
      </c>
      <c r="D760" s="1">
        <v>4020.8</v>
      </c>
      <c r="E760" s="15">
        <f>EOMONTH(TablaEgresos[[#This Row],[Fecha]],-1)+1</f>
        <v>46204</v>
      </c>
      <c r="F760" s="14" t="s">
        <v>130</v>
      </c>
    </row>
    <row r="761" spans="1:6" x14ac:dyDescent="0.3">
      <c r="A761" s="8">
        <v>46205</v>
      </c>
      <c r="B761" t="s">
        <v>102</v>
      </c>
      <c r="C761" t="s">
        <v>77</v>
      </c>
      <c r="D761" s="1">
        <v>106000</v>
      </c>
      <c r="E761" s="15">
        <f>EOMONTH(TablaEgresos[[#This Row],[Fecha]],-1)+1</f>
        <v>46204</v>
      </c>
      <c r="F761" s="14" t="s">
        <v>131</v>
      </c>
    </row>
    <row r="762" spans="1:6" x14ac:dyDescent="0.3">
      <c r="A762" s="8">
        <v>46205</v>
      </c>
      <c r="B762" t="s">
        <v>38</v>
      </c>
      <c r="C762" t="s">
        <v>1190</v>
      </c>
      <c r="D762" s="1">
        <v>424</v>
      </c>
      <c r="E762" s="15">
        <f>EOMONTH(TablaEgresos[[#This Row],[Fecha]],-1)+1</f>
        <v>46204</v>
      </c>
      <c r="F762" s="14" t="s">
        <v>132</v>
      </c>
    </row>
    <row r="763" spans="1:6" x14ac:dyDescent="0.3">
      <c r="A763" s="8">
        <v>46205</v>
      </c>
      <c r="B763" t="s">
        <v>48</v>
      </c>
      <c r="C763" t="s">
        <v>77</v>
      </c>
      <c r="D763" s="1">
        <v>11988</v>
      </c>
      <c r="E763" s="15">
        <f>EOMONTH(TablaEgresos[[#This Row],[Fecha]],-1)+1</f>
        <v>46204</v>
      </c>
      <c r="F763" s="14" t="s">
        <v>134</v>
      </c>
    </row>
    <row r="764" spans="1:6" x14ac:dyDescent="0.3">
      <c r="A764" s="8">
        <v>46205</v>
      </c>
      <c r="B764" t="s">
        <v>38</v>
      </c>
      <c r="C764" t="s">
        <v>1190</v>
      </c>
      <c r="D764" s="1">
        <v>47.96</v>
      </c>
      <c r="E764" s="15">
        <f>EOMONTH(TablaEgresos[[#This Row],[Fecha]],-1)+1</f>
        <v>46204</v>
      </c>
      <c r="F764" s="14" t="s">
        <v>135</v>
      </c>
    </row>
    <row r="765" spans="1:6" x14ac:dyDescent="0.3">
      <c r="A765" s="8">
        <v>46205</v>
      </c>
      <c r="B765" t="s">
        <v>47</v>
      </c>
      <c r="C765" t="s">
        <v>77</v>
      </c>
      <c r="D765" s="1">
        <v>8953</v>
      </c>
      <c r="E765" s="15">
        <f>EOMONTH(TablaEgresos[[#This Row],[Fecha]],-1)+1</f>
        <v>46204</v>
      </c>
      <c r="F765" s="14" t="s">
        <v>136</v>
      </c>
    </row>
    <row r="766" spans="1:6" x14ac:dyDescent="0.3">
      <c r="A766" s="8">
        <v>46205</v>
      </c>
      <c r="B766" t="s">
        <v>38</v>
      </c>
      <c r="C766" t="s">
        <v>1190</v>
      </c>
      <c r="D766" s="1">
        <v>35.82</v>
      </c>
      <c r="E766" s="15">
        <f>EOMONTH(TablaEgresos[[#This Row],[Fecha]],-1)+1</f>
        <v>46204</v>
      </c>
      <c r="F766" s="14" t="s">
        <v>137</v>
      </c>
    </row>
    <row r="767" spans="1:6" x14ac:dyDescent="0.3">
      <c r="A767" s="8">
        <v>46205</v>
      </c>
      <c r="B767" t="s">
        <v>47</v>
      </c>
      <c r="C767" t="s">
        <v>77</v>
      </c>
      <c r="D767" s="1">
        <v>14995</v>
      </c>
      <c r="E767" s="15">
        <f>EOMONTH(TablaEgresos[[#This Row],[Fecha]],-1)+1</f>
        <v>46204</v>
      </c>
      <c r="F767" s="14" t="s">
        <v>140</v>
      </c>
    </row>
    <row r="768" spans="1:6" x14ac:dyDescent="0.3">
      <c r="A768" s="8">
        <v>46205</v>
      </c>
      <c r="B768" t="s">
        <v>35</v>
      </c>
      <c r="C768" t="s">
        <v>95</v>
      </c>
      <c r="D768" s="1">
        <v>330000</v>
      </c>
      <c r="E768" s="15">
        <f>EOMONTH(TablaEgresos[[#This Row],[Fecha]],-1)+1</f>
        <v>46204</v>
      </c>
      <c r="F768" s="14" t="s">
        <v>141</v>
      </c>
    </row>
    <row r="769" spans="1:6" x14ac:dyDescent="0.3">
      <c r="A769" s="8">
        <v>46205</v>
      </c>
      <c r="B769" t="s">
        <v>38</v>
      </c>
      <c r="C769" t="s">
        <v>1190</v>
      </c>
      <c r="D769" s="1">
        <v>1320</v>
      </c>
      <c r="E769" s="15">
        <f>EOMONTH(TablaEgresos[[#This Row],[Fecha]],-1)+1</f>
        <v>46204</v>
      </c>
      <c r="F769" s="14" t="s">
        <v>142</v>
      </c>
    </row>
    <row r="770" spans="1:6" x14ac:dyDescent="0.3">
      <c r="A770" s="8">
        <v>46205</v>
      </c>
      <c r="B770" t="s">
        <v>38</v>
      </c>
      <c r="C770" t="s">
        <v>1190</v>
      </c>
      <c r="D770" s="1">
        <v>103.45</v>
      </c>
      <c r="E770" s="15">
        <f>EOMONTH(TablaEgresos[[#This Row],[Fecha]],-1)+1</f>
        <v>46204</v>
      </c>
      <c r="F770" s="14" t="s">
        <v>144</v>
      </c>
    </row>
    <row r="771" spans="1:6" x14ac:dyDescent="0.3">
      <c r="A771" s="8">
        <v>46205</v>
      </c>
      <c r="B771" t="s">
        <v>38</v>
      </c>
      <c r="C771" t="s">
        <v>1190</v>
      </c>
      <c r="D771" s="1">
        <v>760.76</v>
      </c>
      <c r="E771" s="15">
        <f>EOMONTH(TablaEgresos[[#This Row],[Fecha]],-1)+1</f>
        <v>46204</v>
      </c>
      <c r="F771" s="14" t="s">
        <v>145</v>
      </c>
    </row>
    <row r="772" spans="1:6" x14ac:dyDescent="0.3">
      <c r="A772" s="8">
        <v>46205</v>
      </c>
      <c r="B772" t="s">
        <v>35</v>
      </c>
      <c r="C772" t="s">
        <v>95</v>
      </c>
      <c r="D772" s="1">
        <v>190190</v>
      </c>
      <c r="E772" s="15">
        <f>EOMONTH(TablaEgresos[[#This Row],[Fecha]],-1)+1</f>
        <v>46204</v>
      </c>
      <c r="F772" s="14" t="s">
        <v>146</v>
      </c>
    </row>
    <row r="773" spans="1:6" x14ac:dyDescent="0.3">
      <c r="A773" s="8">
        <v>46205</v>
      </c>
      <c r="B773" t="s">
        <v>38</v>
      </c>
      <c r="C773" t="s">
        <v>1190</v>
      </c>
      <c r="D773" s="1">
        <v>601.48</v>
      </c>
      <c r="E773" s="15">
        <f>EOMONTH(TablaEgresos[[#This Row],[Fecha]],-1)+1</f>
        <v>46204</v>
      </c>
      <c r="F773" s="14" t="s">
        <v>147</v>
      </c>
    </row>
    <row r="774" spans="1:6" x14ac:dyDescent="0.3">
      <c r="A774" s="8">
        <v>46205</v>
      </c>
      <c r="B774" t="s">
        <v>35</v>
      </c>
      <c r="C774" t="s">
        <v>95</v>
      </c>
      <c r="D774" s="1">
        <v>150370</v>
      </c>
      <c r="E774" s="15">
        <f>EOMONTH(TablaEgresos[[#This Row],[Fecha]],-1)+1</f>
        <v>46204</v>
      </c>
      <c r="F774" s="14" t="s">
        <v>148</v>
      </c>
    </row>
    <row r="775" spans="1:6" x14ac:dyDescent="0.3">
      <c r="A775" s="8">
        <v>46205</v>
      </c>
      <c r="B775" t="s">
        <v>35</v>
      </c>
      <c r="C775" t="s">
        <v>95</v>
      </c>
      <c r="D775" s="1">
        <v>146420</v>
      </c>
      <c r="E775" s="15">
        <f>EOMONTH(TablaEgresos[[#This Row],[Fecha]],-1)+1</f>
        <v>46204</v>
      </c>
      <c r="F775" s="14" t="s">
        <v>149</v>
      </c>
    </row>
    <row r="776" spans="1:6" x14ac:dyDescent="0.3">
      <c r="A776" s="8">
        <v>46205</v>
      </c>
      <c r="B776" t="s">
        <v>38</v>
      </c>
      <c r="C776" t="s">
        <v>1190</v>
      </c>
      <c r="D776" s="1">
        <v>585.67999999999995</v>
      </c>
      <c r="E776" s="15">
        <f>EOMONTH(TablaEgresos[[#This Row],[Fecha]],-1)+1</f>
        <v>46204</v>
      </c>
      <c r="F776" s="14" t="s">
        <v>150</v>
      </c>
    </row>
    <row r="777" spans="1:6" x14ac:dyDescent="0.3">
      <c r="A777" s="8">
        <v>46205</v>
      </c>
      <c r="B777" t="s">
        <v>38</v>
      </c>
      <c r="C777" t="s">
        <v>1190</v>
      </c>
      <c r="D777" s="1">
        <v>693.4</v>
      </c>
      <c r="E777" s="15">
        <f>EOMONTH(TablaEgresos[[#This Row],[Fecha]],-1)+1</f>
        <v>46204</v>
      </c>
      <c r="F777" s="14" t="s">
        <v>151</v>
      </c>
    </row>
    <row r="778" spans="1:6" x14ac:dyDescent="0.3">
      <c r="A778" s="8">
        <v>46205</v>
      </c>
      <c r="B778" t="s">
        <v>35</v>
      </c>
      <c r="C778" t="s">
        <v>95</v>
      </c>
      <c r="D778" s="1">
        <v>173350</v>
      </c>
      <c r="E778" s="15">
        <f>EOMONTH(TablaEgresos[[#This Row],[Fecha]],-1)+1</f>
        <v>46204</v>
      </c>
      <c r="F778" s="14" t="s">
        <v>152</v>
      </c>
    </row>
    <row r="779" spans="1:6" x14ac:dyDescent="0.3">
      <c r="A779" s="8">
        <v>46205</v>
      </c>
      <c r="B779" t="s">
        <v>38</v>
      </c>
      <c r="C779" t="s">
        <v>1190</v>
      </c>
      <c r="D779" s="1">
        <v>1030.73</v>
      </c>
      <c r="E779" s="15">
        <f>EOMONTH(TablaEgresos[[#This Row],[Fecha]],-1)+1</f>
        <v>46204</v>
      </c>
      <c r="F779" s="14" t="s">
        <v>153</v>
      </c>
    </row>
    <row r="780" spans="1:6" x14ac:dyDescent="0.3">
      <c r="A780" s="8">
        <v>46205</v>
      </c>
      <c r="B780" t="s">
        <v>35</v>
      </c>
      <c r="C780" t="s">
        <v>95</v>
      </c>
      <c r="D780" s="1">
        <v>257682.34</v>
      </c>
      <c r="E780" s="15">
        <f>EOMONTH(TablaEgresos[[#This Row],[Fecha]],-1)+1</f>
        <v>46204</v>
      </c>
      <c r="F780" s="14" t="s">
        <v>154</v>
      </c>
    </row>
    <row r="781" spans="1:6" x14ac:dyDescent="0.3">
      <c r="A781" s="8">
        <v>46205</v>
      </c>
      <c r="B781" t="s">
        <v>47</v>
      </c>
      <c r="C781" t="s">
        <v>77</v>
      </c>
      <c r="D781" s="1">
        <v>13991</v>
      </c>
      <c r="E781" s="15">
        <f>EOMONTH(TablaEgresos[[#This Row],[Fecha]],-1)+1</f>
        <v>46204</v>
      </c>
      <c r="F781" s="14" t="s">
        <v>133</v>
      </c>
    </row>
    <row r="782" spans="1:6" x14ac:dyDescent="0.3">
      <c r="A782" s="8">
        <v>46205</v>
      </c>
      <c r="B782" t="s">
        <v>38</v>
      </c>
      <c r="C782" t="s">
        <v>1190</v>
      </c>
      <c r="D782" s="1">
        <v>55.98</v>
      </c>
      <c r="E782" s="15">
        <f>EOMONTH(TablaEgresos[[#This Row],[Fecha]],-1)+1</f>
        <v>46204</v>
      </c>
      <c r="F782" s="14" t="s">
        <v>138</v>
      </c>
    </row>
    <row r="783" spans="1:6" x14ac:dyDescent="0.3">
      <c r="A783" s="8">
        <v>46205</v>
      </c>
      <c r="B783" t="s">
        <v>38</v>
      </c>
      <c r="C783" t="s">
        <v>1190</v>
      </c>
      <c r="D783" s="1">
        <v>59.98</v>
      </c>
      <c r="E783" s="15">
        <f>EOMONTH(TablaEgresos[[#This Row],[Fecha]],-1)+1</f>
        <v>46204</v>
      </c>
      <c r="F783" s="14" t="s">
        <v>139</v>
      </c>
    </row>
    <row r="784" spans="1:6" x14ac:dyDescent="0.3">
      <c r="A784" s="8">
        <v>46205</v>
      </c>
      <c r="B784" t="s">
        <v>47</v>
      </c>
      <c r="C784" t="s">
        <v>77</v>
      </c>
      <c r="D784" s="1">
        <v>25862</v>
      </c>
      <c r="E784" s="15">
        <f>EOMONTH(TablaEgresos[[#This Row],[Fecha]],-1)+1</f>
        <v>46204</v>
      </c>
      <c r="F784" s="14" t="s">
        <v>143</v>
      </c>
    </row>
    <row r="785" spans="1:6" x14ac:dyDescent="0.3">
      <c r="A785" s="8">
        <v>46206</v>
      </c>
      <c r="B785" t="s">
        <v>38</v>
      </c>
      <c r="C785" t="s">
        <v>1190</v>
      </c>
      <c r="D785" s="1">
        <v>356.03</v>
      </c>
      <c r="E785" s="15">
        <f>EOMONTH(TablaEgresos[[#This Row],[Fecha]],-1)+1</f>
        <v>46204</v>
      </c>
      <c r="F785" s="14" t="s">
        <v>155</v>
      </c>
    </row>
    <row r="786" spans="1:6" x14ac:dyDescent="0.3">
      <c r="A786" s="8">
        <v>46206</v>
      </c>
      <c r="B786" t="s">
        <v>49</v>
      </c>
      <c r="C786" t="s">
        <v>80</v>
      </c>
      <c r="D786" s="1">
        <v>89007.21</v>
      </c>
      <c r="E786" s="15">
        <f>EOMONTH(TablaEgresos[[#This Row],[Fecha]],-1)+1</f>
        <v>46204</v>
      </c>
      <c r="F786" s="14" t="s">
        <v>156</v>
      </c>
    </row>
    <row r="787" spans="1:6" x14ac:dyDescent="0.3">
      <c r="A787" s="8">
        <v>46206</v>
      </c>
      <c r="B787" t="s">
        <v>49</v>
      </c>
      <c r="C787" t="s">
        <v>80</v>
      </c>
      <c r="D787" s="1">
        <v>61096.99</v>
      </c>
      <c r="E787" s="15">
        <f>EOMONTH(TablaEgresos[[#This Row],[Fecha]],-1)+1</f>
        <v>46204</v>
      </c>
      <c r="F787" s="14" t="s">
        <v>157</v>
      </c>
    </row>
    <row r="788" spans="1:6" x14ac:dyDescent="0.3">
      <c r="A788" s="8">
        <v>46206</v>
      </c>
      <c r="B788" t="s">
        <v>38</v>
      </c>
      <c r="C788" t="s">
        <v>1190</v>
      </c>
      <c r="D788" s="1">
        <v>244.39</v>
      </c>
      <c r="E788" s="15">
        <f>EOMONTH(TablaEgresos[[#This Row],[Fecha]],-1)+1</f>
        <v>46204</v>
      </c>
      <c r="F788" s="14" t="s">
        <v>158</v>
      </c>
    </row>
    <row r="789" spans="1:6" x14ac:dyDescent="0.3">
      <c r="A789" s="8">
        <v>46206</v>
      </c>
      <c r="B789" t="s">
        <v>50</v>
      </c>
      <c r="C789" t="s">
        <v>1188</v>
      </c>
      <c r="D789" s="1">
        <v>39700</v>
      </c>
      <c r="E789" s="15">
        <f>EOMONTH(TablaEgresos[[#This Row],[Fecha]],-1)+1</f>
        <v>46204</v>
      </c>
      <c r="F789" s="14" t="s">
        <v>159</v>
      </c>
    </row>
    <row r="790" spans="1:6" x14ac:dyDescent="0.3">
      <c r="A790" s="8">
        <v>46206</v>
      </c>
      <c r="B790" t="s">
        <v>38</v>
      </c>
      <c r="C790" t="s">
        <v>1190</v>
      </c>
      <c r="D790" s="1">
        <v>158.80000000000001</v>
      </c>
      <c r="E790" s="15">
        <f>EOMONTH(TablaEgresos[[#This Row],[Fecha]],-1)+1</f>
        <v>46204</v>
      </c>
      <c r="F790" s="14" t="s">
        <v>160</v>
      </c>
    </row>
    <row r="791" spans="1:6" x14ac:dyDescent="0.3">
      <c r="A791" s="8">
        <v>46206</v>
      </c>
      <c r="B791" t="s">
        <v>47</v>
      </c>
      <c r="C791" t="s">
        <v>77</v>
      </c>
      <c r="D791" s="1">
        <v>14985</v>
      </c>
      <c r="E791" s="15">
        <f>EOMONTH(TablaEgresos[[#This Row],[Fecha]],-1)+1</f>
        <v>46204</v>
      </c>
      <c r="F791" s="14" t="s">
        <v>162</v>
      </c>
    </row>
    <row r="792" spans="1:6" x14ac:dyDescent="0.3">
      <c r="A792" s="8">
        <v>46206</v>
      </c>
      <c r="B792" t="s">
        <v>38</v>
      </c>
      <c r="C792" t="s">
        <v>1190</v>
      </c>
      <c r="D792" s="1">
        <v>164.55</v>
      </c>
      <c r="E792" s="15">
        <f>EOMONTH(TablaEgresos[[#This Row],[Fecha]],-1)+1</f>
        <v>46204</v>
      </c>
      <c r="F792" s="14" t="s">
        <v>163</v>
      </c>
    </row>
    <row r="793" spans="1:6" x14ac:dyDescent="0.3">
      <c r="A793" s="8">
        <v>46206</v>
      </c>
      <c r="B793" t="s">
        <v>49</v>
      </c>
      <c r="C793" t="s">
        <v>80</v>
      </c>
      <c r="D793" s="1">
        <v>41136.33</v>
      </c>
      <c r="E793" s="15">
        <f>EOMONTH(TablaEgresos[[#This Row],[Fecha]],-1)+1</f>
        <v>46204</v>
      </c>
      <c r="F793" s="14" t="s">
        <v>164</v>
      </c>
    </row>
    <row r="794" spans="1:6" x14ac:dyDescent="0.3">
      <c r="A794" s="8">
        <v>46206</v>
      </c>
      <c r="B794" t="s">
        <v>38</v>
      </c>
      <c r="C794" t="s">
        <v>1190</v>
      </c>
      <c r="D794" s="1">
        <v>185.52</v>
      </c>
      <c r="E794" s="15">
        <f>EOMONTH(TablaEgresos[[#This Row],[Fecha]],-1)+1</f>
        <v>46204</v>
      </c>
      <c r="F794" s="14" t="s">
        <v>166</v>
      </c>
    </row>
    <row r="795" spans="1:6" x14ac:dyDescent="0.3">
      <c r="A795" s="8">
        <v>46206</v>
      </c>
      <c r="B795" t="s">
        <v>47</v>
      </c>
      <c r="C795" t="s">
        <v>77</v>
      </c>
      <c r="D795" s="1">
        <v>30972</v>
      </c>
      <c r="E795" s="15">
        <f>EOMONTH(TablaEgresos[[#This Row],[Fecha]],-1)+1</f>
        <v>46204</v>
      </c>
      <c r="F795" s="14" t="s">
        <v>168</v>
      </c>
    </row>
    <row r="796" spans="1:6" x14ac:dyDescent="0.3">
      <c r="A796" s="8">
        <v>46206</v>
      </c>
      <c r="B796" t="s">
        <v>49</v>
      </c>
      <c r="C796" t="s">
        <v>80</v>
      </c>
      <c r="D796" s="1">
        <v>65366.84</v>
      </c>
      <c r="E796" s="15">
        <f>EOMONTH(TablaEgresos[[#This Row],[Fecha]],-1)+1</f>
        <v>46204</v>
      </c>
      <c r="F796" s="14" t="s">
        <v>169</v>
      </c>
    </row>
    <row r="797" spans="1:6" x14ac:dyDescent="0.3">
      <c r="A797" s="8">
        <v>46206</v>
      </c>
      <c r="B797" t="s">
        <v>38</v>
      </c>
      <c r="C797" t="s">
        <v>1190</v>
      </c>
      <c r="D797" s="1">
        <v>261.47000000000003</v>
      </c>
      <c r="E797" s="15">
        <f>EOMONTH(TablaEgresos[[#This Row],[Fecha]],-1)+1</f>
        <v>46204</v>
      </c>
      <c r="F797" s="14" t="s">
        <v>170</v>
      </c>
    </row>
    <row r="798" spans="1:6" x14ac:dyDescent="0.3">
      <c r="A798" s="8">
        <v>46206</v>
      </c>
      <c r="B798" t="s">
        <v>38</v>
      </c>
      <c r="C798" t="s">
        <v>1190</v>
      </c>
      <c r="D798" s="1">
        <v>320</v>
      </c>
      <c r="E798" s="15">
        <f>EOMONTH(TablaEgresos[[#This Row],[Fecha]],-1)+1</f>
        <v>46204</v>
      </c>
      <c r="F798" s="14" t="s">
        <v>171</v>
      </c>
    </row>
    <row r="799" spans="1:6" x14ac:dyDescent="0.3">
      <c r="A799" s="8">
        <v>46206</v>
      </c>
      <c r="B799" t="s">
        <v>35</v>
      </c>
      <c r="C799" t="s">
        <v>95</v>
      </c>
      <c r="D799" s="1">
        <v>80000</v>
      </c>
      <c r="E799" s="15">
        <f>EOMONTH(TablaEgresos[[#This Row],[Fecha]],-1)+1</f>
        <v>46204</v>
      </c>
      <c r="F799" s="14" t="s">
        <v>172</v>
      </c>
    </row>
    <row r="800" spans="1:6" x14ac:dyDescent="0.3">
      <c r="A800" s="8">
        <v>46206</v>
      </c>
      <c r="B800" t="s">
        <v>52</v>
      </c>
      <c r="C800" t="s">
        <v>81</v>
      </c>
      <c r="D800" s="1">
        <v>15288</v>
      </c>
      <c r="E800" s="15">
        <f>EOMONTH(TablaEgresos[[#This Row],[Fecha]],-1)+1</f>
        <v>46204</v>
      </c>
      <c r="F800" s="14" t="s">
        <v>173</v>
      </c>
    </row>
    <row r="801" spans="1:6" x14ac:dyDescent="0.3">
      <c r="A801" s="8">
        <v>46206</v>
      </c>
      <c r="B801" t="s">
        <v>38</v>
      </c>
      <c r="C801" t="s">
        <v>1190</v>
      </c>
      <c r="D801" s="1">
        <v>61.16</v>
      </c>
      <c r="E801" s="15">
        <f>EOMONTH(TablaEgresos[[#This Row],[Fecha]],-1)+1</f>
        <v>46204</v>
      </c>
      <c r="F801" s="14" t="s">
        <v>174</v>
      </c>
    </row>
    <row r="802" spans="1:6" x14ac:dyDescent="0.3">
      <c r="A802" s="8">
        <v>46206</v>
      </c>
      <c r="B802" t="s">
        <v>38</v>
      </c>
      <c r="C802" t="s">
        <v>1190</v>
      </c>
      <c r="D802" s="1">
        <v>59.94</v>
      </c>
      <c r="E802" s="15">
        <f>EOMONTH(TablaEgresos[[#This Row],[Fecha]],-1)+1</f>
        <v>46204</v>
      </c>
      <c r="F802" s="14" t="s">
        <v>161</v>
      </c>
    </row>
    <row r="803" spans="1:6" x14ac:dyDescent="0.3">
      <c r="A803" s="8">
        <v>46206</v>
      </c>
      <c r="B803" t="s">
        <v>49</v>
      </c>
      <c r="C803" t="s">
        <v>80</v>
      </c>
      <c r="D803" s="1">
        <v>46378.17</v>
      </c>
      <c r="E803" s="15">
        <f>EOMONTH(TablaEgresos[[#This Row],[Fecha]],-1)+1</f>
        <v>46204</v>
      </c>
      <c r="F803" s="14" t="s">
        <v>165</v>
      </c>
    </row>
    <row r="804" spans="1:6" x14ac:dyDescent="0.3">
      <c r="A804" s="8">
        <v>46206</v>
      </c>
      <c r="B804" t="s">
        <v>38</v>
      </c>
      <c r="C804" t="s">
        <v>1190</v>
      </c>
      <c r="D804" s="1">
        <v>123.89</v>
      </c>
      <c r="E804" s="15">
        <f>EOMONTH(TablaEgresos[[#This Row],[Fecha]],-1)+1</f>
        <v>46204</v>
      </c>
      <c r="F804" s="14" t="s">
        <v>167</v>
      </c>
    </row>
    <row r="805" spans="1:6" x14ac:dyDescent="0.3">
      <c r="A805" s="8">
        <v>46207</v>
      </c>
      <c r="B805" t="s">
        <v>53</v>
      </c>
      <c r="C805" t="s">
        <v>80</v>
      </c>
      <c r="D805" s="1">
        <v>192860.62</v>
      </c>
      <c r="E805" s="15">
        <f>EOMONTH(TablaEgresos[[#This Row],[Fecha]],-1)+1</f>
        <v>46204</v>
      </c>
      <c r="F805" s="14" t="s">
        <v>175</v>
      </c>
    </row>
    <row r="806" spans="1:6" x14ac:dyDescent="0.3">
      <c r="A806" s="8">
        <v>46207</v>
      </c>
      <c r="B806" t="s">
        <v>38</v>
      </c>
      <c r="C806" t="s">
        <v>1190</v>
      </c>
      <c r="D806" s="1">
        <v>771.45</v>
      </c>
      <c r="E806" s="15">
        <f>EOMONTH(TablaEgresos[[#This Row],[Fecha]],-1)+1</f>
        <v>46204</v>
      </c>
      <c r="F806" s="14" t="s">
        <v>176</v>
      </c>
    </row>
    <row r="807" spans="1:6" x14ac:dyDescent="0.3">
      <c r="A807" s="8">
        <v>46207</v>
      </c>
      <c r="B807" t="s">
        <v>38</v>
      </c>
      <c r="C807" t="s">
        <v>1190</v>
      </c>
      <c r="D807" s="1">
        <v>191.8</v>
      </c>
      <c r="E807" s="15">
        <f>EOMONTH(TablaEgresos[[#This Row],[Fecha]],-1)+1</f>
        <v>46204</v>
      </c>
      <c r="F807" s="14" t="s">
        <v>177</v>
      </c>
    </row>
    <row r="808" spans="1:6" x14ac:dyDescent="0.3">
      <c r="A808" s="8">
        <v>46207</v>
      </c>
      <c r="B808" t="s">
        <v>53</v>
      </c>
      <c r="C808" t="s">
        <v>80</v>
      </c>
      <c r="D808" s="1">
        <v>47949.72</v>
      </c>
      <c r="E808" s="15">
        <f>EOMONTH(TablaEgresos[[#This Row],[Fecha]],-1)+1</f>
        <v>46204</v>
      </c>
      <c r="F808" s="14" t="s">
        <v>178</v>
      </c>
    </row>
    <row r="809" spans="1:6" x14ac:dyDescent="0.3">
      <c r="A809" s="8">
        <v>46207</v>
      </c>
      <c r="B809" t="s">
        <v>292</v>
      </c>
      <c r="C809" t="s">
        <v>95</v>
      </c>
      <c r="D809" s="1">
        <v>3976451</v>
      </c>
      <c r="E809" s="15">
        <f>EOMONTH(TablaEgresos[[#This Row],[Fecha]],-1)+1</f>
        <v>46204</v>
      </c>
      <c r="F809" s="14" t="s">
        <v>179</v>
      </c>
    </row>
    <row r="810" spans="1:6" x14ac:dyDescent="0.3">
      <c r="A810" s="8">
        <v>46207</v>
      </c>
      <c r="B810" t="s">
        <v>38</v>
      </c>
      <c r="C810" t="s">
        <v>1190</v>
      </c>
      <c r="D810" s="1">
        <v>15905.81</v>
      </c>
      <c r="E810" s="15">
        <f>EOMONTH(TablaEgresos[[#This Row],[Fecha]],-1)+1</f>
        <v>46204</v>
      </c>
      <c r="F810" s="14" t="s">
        <v>180</v>
      </c>
    </row>
    <row r="811" spans="1:6" x14ac:dyDescent="0.3">
      <c r="A811" s="8">
        <v>46207</v>
      </c>
      <c r="B811" t="s">
        <v>38</v>
      </c>
      <c r="C811" t="s">
        <v>1190</v>
      </c>
      <c r="D811" s="1">
        <v>67.959999999999994</v>
      </c>
      <c r="E811" s="15">
        <f>EOMONTH(TablaEgresos[[#This Row],[Fecha]],-1)+1</f>
        <v>46204</v>
      </c>
      <c r="F811" s="14" t="s">
        <v>181</v>
      </c>
    </row>
    <row r="812" spans="1:6" x14ac:dyDescent="0.3">
      <c r="A812" s="8">
        <v>46207</v>
      </c>
      <c r="B812" t="s">
        <v>47</v>
      </c>
      <c r="C812" t="s">
        <v>77</v>
      </c>
      <c r="D812" s="1">
        <v>16988</v>
      </c>
      <c r="E812" s="15">
        <f>EOMONTH(TablaEgresos[[#This Row],[Fecha]],-1)+1</f>
        <v>46204</v>
      </c>
      <c r="F812" s="14" t="s">
        <v>182</v>
      </c>
    </row>
    <row r="813" spans="1:6" x14ac:dyDescent="0.3">
      <c r="A813" s="8">
        <v>46207</v>
      </c>
      <c r="B813" t="s">
        <v>38</v>
      </c>
      <c r="C813" t="s">
        <v>1190</v>
      </c>
      <c r="D813" s="1">
        <v>80</v>
      </c>
      <c r="E813" s="15">
        <f>EOMONTH(TablaEgresos[[#This Row],[Fecha]],-1)+1</f>
        <v>46204</v>
      </c>
      <c r="F813" s="14" t="s">
        <v>184</v>
      </c>
    </row>
    <row r="814" spans="1:6" x14ac:dyDescent="0.3">
      <c r="A814" s="8">
        <v>46207</v>
      </c>
      <c r="B814" t="s">
        <v>38</v>
      </c>
      <c r="C814" t="s">
        <v>1190</v>
      </c>
      <c r="D814" s="1">
        <v>2720</v>
      </c>
      <c r="E814" s="15">
        <f>EOMONTH(TablaEgresos[[#This Row],[Fecha]],-1)+1</f>
        <v>46204</v>
      </c>
      <c r="F814" s="14" t="s">
        <v>185</v>
      </c>
    </row>
    <row r="815" spans="1:6" x14ac:dyDescent="0.3">
      <c r="A815" s="8">
        <v>46207</v>
      </c>
      <c r="B815" t="s">
        <v>39</v>
      </c>
      <c r="C815" t="s">
        <v>78</v>
      </c>
      <c r="D815" s="1">
        <v>2001</v>
      </c>
      <c r="E815" s="15">
        <f>EOMONTH(TablaEgresos[[#This Row],[Fecha]],-1)+1</f>
        <v>46204</v>
      </c>
      <c r="F815" s="14" t="s">
        <v>186</v>
      </c>
    </row>
    <row r="816" spans="1:6" x14ac:dyDescent="0.3">
      <c r="A816" s="8">
        <v>46207</v>
      </c>
      <c r="B816" t="s">
        <v>40</v>
      </c>
      <c r="C816" t="s">
        <v>1190</v>
      </c>
      <c r="D816" s="1">
        <v>380.19</v>
      </c>
      <c r="E816" s="15">
        <f>EOMONTH(TablaEgresos[[#This Row],[Fecha]],-1)+1</f>
        <v>46204</v>
      </c>
      <c r="F816" s="14" t="s">
        <v>187</v>
      </c>
    </row>
    <row r="817" spans="1:6" x14ac:dyDescent="0.3">
      <c r="A817" s="8">
        <v>46207</v>
      </c>
      <c r="B817" t="s">
        <v>38</v>
      </c>
      <c r="C817" t="s">
        <v>1190</v>
      </c>
      <c r="D817" s="1">
        <v>6736.68</v>
      </c>
      <c r="E817" s="15">
        <f>EOMONTH(TablaEgresos[[#This Row],[Fecha]],-1)+1</f>
        <v>46204</v>
      </c>
      <c r="F817" s="14" t="s">
        <v>188</v>
      </c>
    </row>
    <row r="818" spans="1:6" x14ac:dyDescent="0.3">
      <c r="A818" s="8">
        <v>46207</v>
      </c>
      <c r="B818" t="s">
        <v>54</v>
      </c>
      <c r="C818" t="s">
        <v>79</v>
      </c>
      <c r="D818" s="1">
        <v>680000</v>
      </c>
      <c r="E818" s="15">
        <f>EOMONTH(TablaEgresos[[#This Row],[Fecha]],-1)+1</f>
        <v>46204</v>
      </c>
      <c r="F818" s="14" t="s">
        <v>189</v>
      </c>
    </row>
    <row r="819" spans="1:6" x14ac:dyDescent="0.3">
      <c r="A819" s="8">
        <v>46207</v>
      </c>
      <c r="B819" t="s">
        <v>55</v>
      </c>
      <c r="C819" t="s">
        <v>80</v>
      </c>
      <c r="D819" s="1">
        <v>1684167.13</v>
      </c>
      <c r="E819" s="15">
        <f>EOMONTH(TablaEgresos[[#This Row],[Fecha]],-1)+1</f>
        <v>46204</v>
      </c>
      <c r="F819" s="14" t="s">
        <v>190</v>
      </c>
    </row>
    <row r="820" spans="1:6" x14ac:dyDescent="0.3">
      <c r="A820" s="8">
        <v>46207</v>
      </c>
      <c r="B820" t="s">
        <v>47</v>
      </c>
      <c r="C820" t="s">
        <v>77</v>
      </c>
      <c r="D820" s="1">
        <v>19998</v>
      </c>
      <c r="E820" s="15">
        <f>EOMONTH(TablaEgresos[[#This Row],[Fecha]],-1)+1</f>
        <v>46204</v>
      </c>
      <c r="F820" s="14" t="s">
        <v>183</v>
      </c>
    </row>
    <row r="821" spans="1:6" x14ac:dyDescent="0.3">
      <c r="A821" s="8">
        <v>46208</v>
      </c>
      <c r="B821" t="s">
        <v>47</v>
      </c>
      <c r="C821" t="s">
        <v>77</v>
      </c>
      <c r="D821" s="1">
        <v>13982</v>
      </c>
      <c r="E821" s="15">
        <f>EOMONTH(TablaEgresos[[#This Row],[Fecha]],-1)+1</f>
        <v>46204</v>
      </c>
      <c r="F821" s="14" t="s">
        <v>192</v>
      </c>
    </row>
    <row r="822" spans="1:6" x14ac:dyDescent="0.3">
      <c r="A822" s="8">
        <v>46208</v>
      </c>
      <c r="B822" t="s">
        <v>38</v>
      </c>
      <c r="C822" t="s">
        <v>1190</v>
      </c>
      <c r="D822" s="1">
        <v>91.98</v>
      </c>
      <c r="E822" s="15">
        <f>EOMONTH(TablaEgresos[[#This Row],[Fecha]],-1)+1</f>
        <v>46204</v>
      </c>
      <c r="F822" s="14" t="s">
        <v>193</v>
      </c>
    </row>
    <row r="823" spans="1:6" x14ac:dyDescent="0.3">
      <c r="A823" s="8">
        <v>46208</v>
      </c>
      <c r="B823" t="s">
        <v>47</v>
      </c>
      <c r="C823" t="s">
        <v>77</v>
      </c>
      <c r="D823" s="1">
        <v>22995</v>
      </c>
      <c r="E823" s="15">
        <f>EOMONTH(TablaEgresos[[#This Row],[Fecha]],-1)+1</f>
        <v>46204</v>
      </c>
      <c r="F823" s="14" t="s">
        <v>194</v>
      </c>
    </row>
    <row r="824" spans="1:6" x14ac:dyDescent="0.3">
      <c r="A824" s="8">
        <v>46208</v>
      </c>
      <c r="B824" t="s">
        <v>38</v>
      </c>
      <c r="C824" t="s">
        <v>1190</v>
      </c>
      <c r="D824" s="1">
        <v>55.93</v>
      </c>
      <c r="E824" s="15">
        <f>EOMONTH(TablaEgresos[[#This Row],[Fecha]],-1)+1</f>
        <v>46204</v>
      </c>
      <c r="F824" s="14" t="s">
        <v>191</v>
      </c>
    </row>
    <row r="825" spans="1:6" x14ac:dyDescent="0.3">
      <c r="A825" s="8">
        <v>46209</v>
      </c>
      <c r="B825" t="s">
        <v>102</v>
      </c>
      <c r="C825" t="s">
        <v>77</v>
      </c>
      <c r="D825" s="1">
        <v>106000</v>
      </c>
      <c r="E825" s="15">
        <f>EOMONTH(TablaEgresos[[#This Row],[Fecha]],-1)+1</f>
        <v>46204</v>
      </c>
      <c r="F825" s="14" t="s">
        <v>195</v>
      </c>
    </row>
    <row r="826" spans="1:6" x14ac:dyDescent="0.3">
      <c r="A826" s="8">
        <v>46209</v>
      </c>
      <c r="B826" t="s">
        <v>38</v>
      </c>
      <c r="C826" t="s">
        <v>1190</v>
      </c>
      <c r="D826" s="1">
        <v>424</v>
      </c>
      <c r="E826" s="15">
        <f>EOMONTH(TablaEgresos[[#This Row],[Fecha]],-1)+1</f>
        <v>46204</v>
      </c>
      <c r="F826" s="14" t="s">
        <v>196</v>
      </c>
    </row>
    <row r="827" spans="1:6" x14ac:dyDescent="0.3">
      <c r="A827" s="8">
        <v>46209</v>
      </c>
      <c r="B827" t="s">
        <v>38</v>
      </c>
      <c r="C827" t="s">
        <v>1190</v>
      </c>
      <c r="D827" s="1">
        <v>103.92</v>
      </c>
      <c r="E827" s="15">
        <f>EOMONTH(TablaEgresos[[#This Row],[Fecha]],-1)+1</f>
        <v>46204</v>
      </c>
      <c r="F827" s="14" t="s">
        <v>198</v>
      </c>
    </row>
    <row r="828" spans="1:6" x14ac:dyDescent="0.3">
      <c r="A828" s="8">
        <v>46209</v>
      </c>
      <c r="B828" t="s">
        <v>38</v>
      </c>
      <c r="C828" t="s">
        <v>1190</v>
      </c>
      <c r="D828" s="1">
        <v>100</v>
      </c>
      <c r="E828" s="15">
        <f>EOMONTH(TablaEgresos[[#This Row],[Fecha]],-1)+1</f>
        <v>46204</v>
      </c>
      <c r="F828" s="14" t="s">
        <v>199</v>
      </c>
    </row>
    <row r="829" spans="1:6" x14ac:dyDescent="0.3">
      <c r="A829" s="8">
        <v>46209</v>
      </c>
      <c r="B829" t="s">
        <v>56</v>
      </c>
      <c r="C829" t="s">
        <v>77</v>
      </c>
      <c r="D829" s="1">
        <v>25000</v>
      </c>
      <c r="E829" s="15">
        <f>EOMONTH(TablaEgresos[[#This Row],[Fecha]],-1)+1</f>
        <v>46204</v>
      </c>
      <c r="F829" s="14" t="s">
        <v>200</v>
      </c>
    </row>
    <row r="830" spans="1:6" x14ac:dyDescent="0.3">
      <c r="A830" s="8">
        <v>46209</v>
      </c>
      <c r="B830" t="s">
        <v>48</v>
      </c>
      <c r="C830" t="s">
        <v>77</v>
      </c>
      <c r="D830" s="1">
        <v>17758</v>
      </c>
      <c r="E830" s="15">
        <f>EOMONTH(TablaEgresos[[#This Row],[Fecha]],-1)+1</f>
        <v>46204</v>
      </c>
      <c r="F830" s="14" t="s">
        <v>202</v>
      </c>
    </row>
    <row r="831" spans="1:6" x14ac:dyDescent="0.3">
      <c r="A831" s="8">
        <v>46209</v>
      </c>
      <c r="B831" t="s">
        <v>38</v>
      </c>
      <c r="C831" t="s">
        <v>1190</v>
      </c>
      <c r="D831" s="1">
        <v>122</v>
      </c>
      <c r="E831" s="15">
        <f>EOMONTH(TablaEgresos[[#This Row],[Fecha]],-1)+1</f>
        <v>46204</v>
      </c>
      <c r="F831" s="14" t="s">
        <v>203</v>
      </c>
    </row>
    <row r="832" spans="1:6" x14ac:dyDescent="0.3">
      <c r="A832" s="8">
        <v>46209</v>
      </c>
      <c r="B832" t="s">
        <v>57</v>
      </c>
      <c r="C832" t="s">
        <v>80</v>
      </c>
      <c r="D832" s="1">
        <v>30500</v>
      </c>
      <c r="E832" s="15">
        <f>EOMONTH(TablaEgresos[[#This Row],[Fecha]],-1)+1</f>
        <v>46204</v>
      </c>
      <c r="F832" s="14" t="s">
        <v>204</v>
      </c>
    </row>
    <row r="833" spans="1:6" x14ac:dyDescent="0.3">
      <c r="A833" s="8">
        <v>46209</v>
      </c>
      <c r="B833" t="s">
        <v>38</v>
      </c>
      <c r="C833" t="s">
        <v>1190</v>
      </c>
      <c r="D833" s="1">
        <v>304.25</v>
      </c>
      <c r="E833" s="15">
        <f>EOMONTH(TablaEgresos[[#This Row],[Fecha]],-1)+1</f>
        <v>46204</v>
      </c>
      <c r="F833" s="14" t="s">
        <v>205</v>
      </c>
    </row>
    <row r="834" spans="1:6" x14ac:dyDescent="0.3">
      <c r="A834" s="8">
        <v>46209</v>
      </c>
      <c r="B834" t="s">
        <v>49</v>
      </c>
      <c r="C834" t="s">
        <v>80</v>
      </c>
      <c r="D834" s="1">
        <v>76060.45</v>
      </c>
      <c r="E834" s="15">
        <f>EOMONTH(TablaEgresos[[#This Row],[Fecha]],-1)+1</f>
        <v>46204</v>
      </c>
      <c r="F834" s="14" t="s">
        <v>206</v>
      </c>
    </row>
    <row r="835" spans="1:6" x14ac:dyDescent="0.3">
      <c r="A835" s="8">
        <v>46209</v>
      </c>
      <c r="B835" t="s">
        <v>47</v>
      </c>
      <c r="C835" t="s">
        <v>77</v>
      </c>
      <c r="D835" s="1">
        <v>25980</v>
      </c>
      <c r="E835" s="15">
        <f>EOMONTH(TablaEgresos[[#This Row],[Fecha]],-1)+1</f>
        <v>46204</v>
      </c>
      <c r="F835" s="14" t="s">
        <v>197</v>
      </c>
    </row>
    <row r="836" spans="1:6" x14ac:dyDescent="0.3">
      <c r="A836" s="8">
        <v>46209</v>
      </c>
      <c r="B836" t="s">
        <v>38</v>
      </c>
      <c r="C836" t="s">
        <v>1190</v>
      </c>
      <c r="D836" s="1">
        <v>71.040000000000006</v>
      </c>
      <c r="E836" s="15">
        <f>EOMONTH(TablaEgresos[[#This Row],[Fecha]],-1)+1</f>
        <v>46204</v>
      </c>
      <c r="F836" s="14" t="s">
        <v>201</v>
      </c>
    </row>
    <row r="837" spans="1:6" x14ac:dyDescent="0.3">
      <c r="A837" s="8">
        <v>46210</v>
      </c>
      <c r="B837" t="s">
        <v>39</v>
      </c>
      <c r="C837" t="s">
        <v>78</v>
      </c>
      <c r="D837" s="1">
        <v>2011</v>
      </c>
      <c r="E837" s="15">
        <f>EOMONTH(TablaEgresos[[#This Row],[Fecha]],-1)+1</f>
        <v>46204</v>
      </c>
      <c r="F837" s="14" t="s">
        <v>207</v>
      </c>
    </row>
    <row r="838" spans="1:6" x14ac:dyDescent="0.3">
      <c r="A838" s="8">
        <v>46210</v>
      </c>
      <c r="B838" t="s">
        <v>40</v>
      </c>
      <c r="C838" t="s">
        <v>1190</v>
      </c>
      <c r="D838" s="1">
        <v>382.09</v>
      </c>
      <c r="E838" s="15">
        <f>EOMONTH(TablaEgresos[[#This Row],[Fecha]],-1)+1</f>
        <v>46204</v>
      </c>
      <c r="F838" s="14" t="s">
        <v>208</v>
      </c>
    </row>
    <row r="839" spans="1:6" x14ac:dyDescent="0.3">
      <c r="A839" s="8">
        <v>46210</v>
      </c>
      <c r="B839" t="s">
        <v>38</v>
      </c>
      <c r="C839" t="s">
        <v>1190</v>
      </c>
      <c r="D839" s="1">
        <v>9444.14</v>
      </c>
      <c r="E839" s="15">
        <f>EOMONTH(TablaEgresos[[#This Row],[Fecha]],-1)+1</f>
        <v>46204</v>
      </c>
      <c r="F839" s="14" t="s">
        <v>209</v>
      </c>
    </row>
    <row r="840" spans="1:6" x14ac:dyDescent="0.3">
      <c r="A840" s="8">
        <v>46210</v>
      </c>
      <c r="B840" t="s">
        <v>49</v>
      </c>
      <c r="C840" t="s">
        <v>80</v>
      </c>
      <c r="D840" s="1">
        <v>85040.75</v>
      </c>
      <c r="E840" s="15">
        <f>EOMONTH(TablaEgresos[[#This Row],[Fecha]],-1)+1</f>
        <v>46204</v>
      </c>
      <c r="F840" s="14" t="s">
        <v>210</v>
      </c>
    </row>
    <row r="841" spans="1:6" x14ac:dyDescent="0.3">
      <c r="A841" s="8">
        <v>46210</v>
      </c>
      <c r="B841" t="s">
        <v>38</v>
      </c>
      <c r="C841" t="s">
        <v>1190</v>
      </c>
      <c r="D841" s="1">
        <v>340.17</v>
      </c>
      <c r="E841" s="15">
        <f>EOMONTH(TablaEgresos[[#This Row],[Fecha]],-1)+1</f>
        <v>46204</v>
      </c>
      <c r="F841" s="14" t="s">
        <v>211</v>
      </c>
    </row>
    <row r="842" spans="1:6" x14ac:dyDescent="0.3">
      <c r="A842" s="8">
        <v>46210</v>
      </c>
      <c r="B842" t="s">
        <v>38</v>
      </c>
      <c r="C842" t="s">
        <v>1190</v>
      </c>
      <c r="D842" s="1">
        <v>7122.41</v>
      </c>
      <c r="E842" s="15">
        <f>EOMONTH(TablaEgresos[[#This Row],[Fecha]],-1)+1</f>
        <v>46204</v>
      </c>
      <c r="F842" s="14" t="s">
        <v>212</v>
      </c>
    </row>
    <row r="843" spans="1:6" x14ac:dyDescent="0.3">
      <c r="A843" s="8">
        <v>46210</v>
      </c>
      <c r="B843" t="s">
        <v>39</v>
      </c>
      <c r="C843" t="s">
        <v>78</v>
      </c>
      <c r="D843" s="1">
        <v>2002</v>
      </c>
      <c r="E843" s="15">
        <f>EOMONTH(TablaEgresos[[#This Row],[Fecha]],-1)+1</f>
        <v>46204</v>
      </c>
      <c r="F843" s="14" t="s">
        <v>213</v>
      </c>
    </row>
    <row r="844" spans="1:6" x14ac:dyDescent="0.3">
      <c r="A844" s="8">
        <v>46210</v>
      </c>
      <c r="B844" t="s">
        <v>40</v>
      </c>
      <c r="C844" t="s">
        <v>1190</v>
      </c>
      <c r="D844" s="1">
        <v>380.38</v>
      </c>
      <c r="E844" s="15">
        <f>EOMONTH(TablaEgresos[[#This Row],[Fecha]],-1)+1</f>
        <v>46204</v>
      </c>
      <c r="F844" s="14" t="s">
        <v>214</v>
      </c>
    </row>
    <row r="845" spans="1:6" x14ac:dyDescent="0.3">
      <c r="A845" s="8">
        <v>46210</v>
      </c>
      <c r="B845" t="s">
        <v>40</v>
      </c>
      <c r="C845" t="s">
        <v>1190</v>
      </c>
      <c r="D845" s="1">
        <v>380.57</v>
      </c>
      <c r="E845" s="15">
        <f>EOMONTH(TablaEgresos[[#This Row],[Fecha]],-1)+1</f>
        <v>46204</v>
      </c>
      <c r="F845" s="14" t="s">
        <v>215</v>
      </c>
    </row>
    <row r="846" spans="1:6" x14ac:dyDescent="0.3">
      <c r="A846" s="8">
        <v>46210</v>
      </c>
      <c r="B846" t="s">
        <v>38</v>
      </c>
      <c r="C846" t="s">
        <v>1190</v>
      </c>
      <c r="D846" s="1">
        <v>26361.53</v>
      </c>
      <c r="E846" s="15">
        <f>EOMONTH(TablaEgresos[[#This Row],[Fecha]],-1)+1</f>
        <v>46204</v>
      </c>
      <c r="F846" s="14" t="s">
        <v>216</v>
      </c>
    </row>
    <row r="847" spans="1:6" x14ac:dyDescent="0.3">
      <c r="A847" s="8">
        <v>46210</v>
      </c>
      <c r="B847" t="s">
        <v>39</v>
      </c>
      <c r="C847" t="s">
        <v>78</v>
      </c>
      <c r="D847" s="1">
        <v>2003</v>
      </c>
      <c r="E847" s="15">
        <f>EOMONTH(TablaEgresos[[#This Row],[Fecha]],-1)+1</f>
        <v>46204</v>
      </c>
      <c r="F847" s="14" t="s">
        <v>217</v>
      </c>
    </row>
    <row r="848" spans="1:6" x14ac:dyDescent="0.3">
      <c r="A848" s="8">
        <v>46210</v>
      </c>
      <c r="B848" t="s">
        <v>40</v>
      </c>
      <c r="C848" t="s">
        <v>1190</v>
      </c>
      <c r="D848" s="1">
        <v>380.57</v>
      </c>
      <c r="E848" s="15">
        <f>EOMONTH(TablaEgresos[[#This Row],[Fecha]],-1)+1</f>
        <v>46204</v>
      </c>
      <c r="F848" s="14" t="s">
        <v>218</v>
      </c>
    </row>
    <row r="849" spans="1:6" x14ac:dyDescent="0.3">
      <c r="A849" s="8">
        <v>46210</v>
      </c>
      <c r="B849" t="s">
        <v>38</v>
      </c>
      <c r="C849" t="s">
        <v>1190</v>
      </c>
      <c r="D849" s="1">
        <v>12263.57</v>
      </c>
      <c r="E849" s="15">
        <f>EOMONTH(TablaEgresos[[#This Row],[Fecha]],-1)+1</f>
        <v>46204</v>
      </c>
      <c r="F849" s="14" t="s">
        <v>219</v>
      </c>
    </row>
    <row r="850" spans="1:6" x14ac:dyDescent="0.3">
      <c r="A850" s="8">
        <v>46210</v>
      </c>
      <c r="B850" t="s">
        <v>39</v>
      </c>
      <c r="C850" t="s">
        <v>78</v>
      </c>
      <c r="D850" s="1">
        <v>2003</v>
      </c>
      <c r="E850" s="15">
        <f>EOMONTH(TablaEgresos[[#This Row],[Fecha]],-1)+1</f>
        <v>46204</v>
      </c>
      <c r="F850" s="14" t="s">
        <v>220</v>
      </c>
    </row>
    <row r="851" spans="1:6" x14ac:dyDescent="0.3">
      <c r="A851" s="8">
        <v>46210</v>
      </c>
      <c r="B851" t="s">
        <v>38</v>
      </c>
      <c r="C851" t="s">
        <v>1190</v>
      </c>
      <c r="D851" s="1">
        <v>800</v>
      </c>
      <c r="E851" s="15">
        <f>EOMONTH(TablaEgresos[[#This Row],[Fecha]],-1)+1</f>
        <v>46204</v>
      </c>
      <c r="F851" s="14" t="s">
        <v>221</v>
      </c>
    </row>
    <row r="852" spans="1:6" x14ac:dyDescent="0.3">
      <c r="A852" s="8">
        <v>46210</v>
      </c>
      <c r="B852" t="s">
        <v>35</v>
      </c>
      <c r="C852" t="s">
        <v>95</v>
      </c>
      <c r="D852" s="1">
        <v>200000</v>
      </c>
      <c r="E852" s="15">
        <f>EOMONTH(TablaEgresos[[#This Row],[Fecha]],-1)+1</f>
        <v>46204</v>
      </c>
      <c r="F852" s="14" t="s">
        <v>222</v>
      </c>
    </row>
    <row r="853" spans="1:6" x14ac:dyDescent="0.3">
      <c r="A853" s="8">
        <v>46210</v>
      </c>
      <c r="B853" t="s">
        <v>49</v>
      </c>
      <c r="C853" t="s">
        <v>80</v>
      </c>
      <c r="D853" s="1">
        <v>153073.35</v>
      </c>
      <c r="E853" s="15">
        <f>EOMONTH(TablaEgresos[[#This Row],[Fecha]],-1)+1</f>
        <v>46204</v>
      </c>
      <c r="F853" s="14" t="s">
        <v>223</v>
      </c>
    </row>
    <row r="854" spans="1:6" x14ac:dyDescent="0.3">
      <c r="A854" s="8">
        <v>46210</v>
      </c>
      <c r="B854" t="s">
        <v>38</v>
      </c>
      <c r="C854" t="s">
        <v>1190</v>
      </c>
      <c r="D854" s="1">
        <v>612.29999999999995</v>
      </c>
      <c r="E854" s="15">
        <f>EOMONTH(TablaEgresos[[#This Row],[Fecha]],-1)+1</f>
        <v>46204</v>
      </c>
      <c r="F854" s="14" t="s">
        <v>224</v>
      </c>
    </row>
    <row r="855" spans="1:6" x14ac:dyDescent="0.3">
      <c r="A855" s="8">
        <v>46210</v>
      </c>
      <c r="B855" t="s">
        <v>35</v>
      </c>
      <c r="C855" t="s">
        <v>95</v>
      </c>
      <c r="D855" s="1">
        <v>15000</v>
      </c>
      <c r="E855" s="15">
        <f>EOMONTH(TablaEgresos[[#This Row],[Fecha]],-1)+1</f>
        <v>46204</v>
      </c>
      <c r="F855" s="14" t="s">
        <v>225</v>
      </c>
    </row>
    <row r="856" spans="1:6" x14ac:dyDescent="0.3">
      <c r="A856" s="8">
        <v>46210</v>
      </c>
      <c r="B856" t="s">
        <v>38</v>
      </c>
      <c r="C856" t="s">
        <v>1190</v>
      </c>
      <c r="D856" s="1">
        <v>60</v>
      </c>
      <c r="E856" s="15">
        <f>EOMONTH(TablaEgresos[[#This Row],[Fecha]],-1)+1</f>
        <v>46204</v>
      </c>
      <c r="F856" s="14" t="s">
        <v>226</v>
      </c>
    </row>
    <row r="857" spans="1:6" x14ac:dyDescent="0.3">
      <c r="A857" s="8">
        <v>46210</v>
      </c>
      <c r="B857" t="s">
        <v>38</v>
      </c>
      <c r="C857" t="s">
        <v>1190</v>
      </c>
      <c r="D857" s="1">
        <v>75.739999999999995</v>
      </c>
      <c r="E857" s="15">
        <f>EOMONTH(TablaEgresos[[#This Row],[Fecha]],-1)+1</f>
        <v>46204</v>
      </c>
      <c r="F857" s="14" t="s">
        <v>227</v>
      </c>
    </row>
    <row r="858" spans="1:6" x14ac:dyDescent="0.3">
      <c r="A858" s="8">
        <v>46210</v>
      </c>
      <c r="B858" t="s">
        <v>47</v>
      </c>
      <c r="C858" t="s">
        <v>77</v>
      </c>
      <c r="D858" s="1">
        <v>18933</v>
      </c>
      <c r="E858" s="15">
        <f>EOMONTH(TablaEgresos[[#This Row],[Fecha]],-1)+1</f>
        <v>46204</v>
      </c>
      <c r="F858" s="14" t="s">
        <v>228</v>
      </c>
    </row>
    <row r="859" spans="1:6" x14ac:dyDescent="0.3">
      <c r="A859" s="8">
        <v>46210</v>
      </c>
      <c r="B859" t="s">
        <v>58</v>
      </c>
      <c r="C859" t="s">
        <v>1186</v>
      </c>
      <c r="D859" s="1">
        <v>2361032.77</v>
      </c>
      <c r="E859" s="15">
        <f>EOMONTH(TablaEgresos[[#This Row],[Fecha]],-1)+1</f>
        <v>46204</v>
      </c>
      <c r="F859" s="14" t="s">
        <v>229</v>
      </c>
    </row>
    <row r="860" spans="1:6" x14ac:dyDescent="0.3">
      <c r="A860" s="8">
        <v>46210</v>
      </c>
      <c r="B860" t="s">
        <v>59</v>
      </c>
      <c r="C860" t="s">
        <v>1186</v>
      </c>
      <c r="D860" s="1">
        <v>1780600.21</v>
      </c>
      <c r="E860" s="15">
        <f>EOMONTH(TablaEgresos[[#This Row],[Fecha]],-1)+1</f>
        <v>46204</v>
      </c>
      <c r="F860" s="14" t="s">
        <v>230</v>
      </c>
    </row>
    <row r="861" spans="1:6" x14ac:dyDescent="0.3">
      <c r="A861" s="8">
        <v>46210</v>
      </c>
      <c r="B861" t="s">
        <v>60</v>
      </c>
      <c r="C861" t="s">
        <v>82</v>
      </c>
      <c r="D861" s="1">
        <v>6590380.9000000004</v>
      </c>
      <c r="E861" s="15">
        <f>EOMONTH(TablaEgresos[[#This Row],[Fecha]],-1)+1</f>
        <v>46204</v>
      </c>
      <c r="F861" s="14" t="s">
        <v>231</v>
      </c>
    </row>
    <row r="862" spans="1:6" x14ac:dyDescent="0.3">
      <c r="A862" s="8">
        <v>46210</v>
      </c>
      <c r="B862" t="s">
        <v>61</v>
      </c>
      <c r="C862" t="s">
        <v>82</v>
      </c>
      <c r="D862" s="1">
        <v>3065891.86</v>
      </c>
      <c r="E862" s="15">
        <f>EOMONTH(TablaEgresos[[#This Row],[Fecha]],-1)+1</f>
        <v>46204</v>
      </c>
      <c r="F862" s="14" t="s">
        <v>232</v>
      </c>
    </row>
    <row r="863" spans="1:6" x14ac:dyDescent="0.3">
      <c r="A863" s="8">
        <v>46210</v>
      </c>
      <c r="B863" t="s">
        <v>47</v>
      </c>
      <c r="C863" t="s">
        <v>77</v>
      </c>
      <c r="D863" s="1">
        <v>11978</v>
      </c>
      <c r="E863" s="15">
        <f>EOMONTH(TablaEgresos[[#This Row],[Fecha]],-1)+1</f>
        <v>46204</v>
      </c>
      <c r="F863" s="14" t="s">
        <v>233</v>
      </c>
    </row>
    <row r="864" spans="1:6" x14ac:dyDescent="0.3">
      <c r="A864" s="8">
        <v>46210</v>
      </c>
      <c r="B864" t="s">
        <v>38</v>
      </c>
      <c r="C864" t="s">
        <v>1190</v>
      </c>
      <c r="D864" s="1">
        <v>47.92</v>
      </c>
      <c r="E864" s="15">
        <f>EOMONTH(TablaEgresos[[#This Row],[Fecha]],-1)+1</f>
        <v>46204</v>
      </c>
      <c r="F864" s="14" t="s">
        <v>234</v>
      </c>
    </row>
    <row r="865" spans="1:6" x14ac:dyDescent="0.3">
      <c r="A865" s="8">
        <v>46210</v>
      </c>
      <c r="B865" t="s">
        <v>38</v>
      </c>
      <c r="C865" t="s">
        <v>1190</v>
      </c>
      <c r="D865" s="1">
        <v>47.93</v>
      </c>
      <c r="E865" s="15">
        <f>EOMONTH(TablaEgresos[[#This Row],[Fecha]],-1)+1</f>
        <v>46204</v>
      </c>
      <c r="F865" s="14" t="s">
        <v>235</v>
      </c>
    </row>
    <row r="866" spans="1:6" x14ac:dyDescent="0.3">
      <c r="A866" s="8">
        <v>46210</v>
      </c>
      <c r="B866" t="s">
        <v>47</v>
      </c>
      <c r="C866" t="s">
        <v>77</v>
      </c>
      <c r="D866" s="1">
        <v>11981</v>
      </c>
      <c r="E866" s="15">
        <f>EOMONTH(TablaEgresos[[#This Row],[Fecha]],-1)+1</f>
        <v>46204</v>
      </c>
      <c r="F866" s="14" t="s">
        <v>236</v>
      </c>
    </row>
    <row r="867" spans="1:6" x14ac:dyDescent="0.3">
      <c r="A867" s="8">
        <v>46211</v>
      </c>
      <c r="B867" t="s">
        <v>38</v>
      </c>
      <c r="C867" t="s">
        <v>1190</v>
      </c>
      <c r="D867" s="1">
        <v>424</v>
      </c>
      <c r="E867" s="15">
        <f>EOMONTH(TablaEgresos[[#This Row],[Fecha]],-1)+1</f>
        <v>46204</v>
      </c>
      <c r="F867" s="14" t="s">
        <v>237</v>
      </c>
    </row>
    <row r="868" spans="1:6" x14ac:dyDescent="0.3">
      <c r="A868" s="8">
        <v>46211</v>
      </c>
      <c r="B868" t="s">
        <v>102</v>
      </c>
      <c r="C868" t="s">
        <v>77</v>
      </c>
      <c r="D868" s="1">
        <v>106000</v>
      </c>
      <c r="E868" s="15">
        <f>EOMONTH(TablaEgresos[[#This Row],[Fecha]],-1)+1</f>
        <v>46204</v>
      </c>
      <c r="F868" s="14" t="s">
        <v>238</v>
      </c>
    </row>
    <row r="869" spans="1:6" x14ac:dyDescent="0.3">
      <c r="A869" s="8">
        <v>46211</v>
      </c>
      <c r="B869" t="s">
        <v>38</v>
      </c>
      <c r="C869" t="s">
        <v>1190</v>
      </c>
      <c r="D869" s="1">
        <v>169.49</v>
      </c>
      <c r="E869" s="15">
        <f>EOMONTH(TablaEgresos[[#This Row],[Fecha]],-1)+1</f>
        <v>46204</v>
      </c>
      <c r="F869" s="14" t="s">
        <v>240</v>
      </c>
    </row>
    <row r="870" spans="1:6" x14ac:dyDescent="0.3">
      <c r="A870" s="8">
        <v>46211</v>
      </c>
      <c r="B870" t="s">
        <v>38</v>
      </c>
      <c r="C870" t="s">
        <v>1190</v>
      </c>
      <c r="D870" s="1">
        <v>2133.6</v>
      </c>
      <c r="E870" s="15">
        <f>EOMONTH(TablaEgresos[[#This Row],[Fecha]],-1)+1</f>
        <v>46204</v>
      </c>
      <c r="F870" s="14" t="s">
        <v>241</v>
      </c>
    </row>
    <row r="871" spans="1:6" x14ac:dyDescent="0.3">
      <c r="A871" s="8">
        <v>46211</v>
      </c>
      <c r="B871" t="s">
        <v>35</v>
      </c>
      <c r="C871" t="s">
        <v>95</v>
      </c>
      <c r="D871" s="1">
        <v>533400</v>
      </c>
      <c r="E871" s="15">
        <f>EOMONTH(TablaEgresos[[#This Row],[Fecha]],-1)+1</f>
        <v>46204</v>
      </c>
      <c r="F871" s="14" t="s">
        <v>242</v>
      </c>
    </row>
    <row r="872" spans="1:6" x14ac:dyDescent="0.3">
      <c r="A872" s="8">
        <v>46211</v>
      </c>
      <c r="B872" t="s">
        <v>62</v>
      </c>
      <c r="C872" t="s">
        <v>291</v>
      </c>
      <c r="D872" s="1">
        <v>3686613</v>
      </c>
      <c r="E872" s="15">
        <f>EOMONTH(TablaEgresos[[#This Row],[Fecha]],-1)+1</f>
        <v>46204</v>
      </c>
      <c r="F872" s="14" t="s">
        <v>243</v>
      </c>
    </row>
    <row r="873" spans="1:6" x14ac:dyDescent="0.3">
      <c r="A873" s="8">
        <v>46211</v>
      </c>
      <c r="B873" t="s">
        <v>38</v>
      </c>
      <c r="C873" t="s">
        <v>1190</v>
      </c>
      <c r="D873" s="1">
        <v>14746.46</v>
      </c>
      <c r="E873" s="15">
        <f>EOMONTH(TablaEgresos[[#This Row],[Fecha]],-1)+1</f>
        <v>46204</v>
      </c>
      <c r="F873" s="14" t="s">
        <v>244</v>
      </c>
    </row>
    <row r="874" spans="1:6" x14ac:dyDescent="0.3">
      <c r="A874" s="8">
        <v>46211</v>
      </c>
      <c r="B874" t="s">
        <v>38</v>
      </c>
      <c r="C874" t="s">
        <v>1190</v>
      </c>
      <c r="D874" s="1">
        <v>233.2</v>
      </c>
      <c r="E874" s="15">
        <f>EOMONTH(TablaEgresos[[#This Row],[Fecha]],-1)+1</f>
        <v>46204</v>
      </c>
      <c r="F874" s="14" t="s">
        <v>245</v>
      </c>
    </row>
    <row r="875" spans="1:6" x14ac:dyDescent="0.3">
      <c r="A875" s="8">
        <v>46211</v>
      </c>
      <c r="B875" t="s">
        <v>63</v>
      </c>
      <c r="C875" t="s">
        <v>1188</v>
      </c>
      <c r="D875" s="1">
        <v>58300</v>
      </c>
      <c r="E875" s="15">
        <f>EOMONTH(TablaEgresos[[#This Row],[Fecha]],-1)+1</f>
        <v>46204</v>
      </c>
      <c r="F875" s="14" t="s">
        <v>246</v>
      </c>
    </row>
    <row r="876" spans="1:6" x14ac:dyDescent="0.3">
      <c r="A876" s="8">
        <v>46211</v>
      </c>
      <c r="B876" t="s">
        <v>52</v>
      </c>
      <c r="C876" t="s">
        <v>81</v>
      </c>
      <c r="D876" s="1">
        <v>47040</v>
      </c>
      <c r="E876" s="15">
        <f>EOMONTH(TablaEgresos[[#This Row],[Fecha]],-1)+1</f>
        <v>46204</v>
      </c>
      <c r="F876" s="14" t="s">
        <v>247</v>
      </c>
    </row>
    <row r="877" spans="1:6" x14ac:dyDescent="0.3">
      <c r="A877" s="8">
        <v>46211</v>
      </c>
      <c r="B877" t="s">
        <v>38</v>
      </c>
      <c r="C877" t="s">
        <v>1190</v>
      </c>
      <c r="D877" s="1">
        <v>188.16</v>
      </c>
      <c r="E877" s="15">
        <f>EOMONTH(TablaEgresos[[#This Row],[Fecha]],-1)+1</f>
        <v>46204</v>
      </c>
      <c r="F877" s="14" t="s">
        <v>248</v>
      </c>
    </row>
    <row r="878" spans="1:6" x14ac:dyDescent="0.3">
      <c r="A878" s="8">
        <v>46211</v>
      </c>
      <c r="B878" t="s">
        <v>63</v>
      </c>
      <c r="C878" t="s">
        <v>1188</v>
      </c>
      <c r="D878" s="1">
        <v>37300</v>
      </c>
      <c r="E878" s="15">
        <f>EOMONTH(TablaEgresos[[#This Row],[Fecha]],-1)+1</f>
        <v>46204</v>
      </c>
      <c r="F878" s="14" t="s">
        <v>249</v>
      </c>
    </row>
    <row r="879" spans="1:6" x14ac:dyDescent="0.3">
      <c r="A879" s="8">
        <v>46211</v>
      </c>
      <c r="B879" t="s">
        <v>38</v>
      </c>
      <c r="C879" t="s">
        <v>1190</v>
      </c>
      <c r="D879" s="1">
        <v>149.19999999999999</v>
      </c>
      <c r="E879" s="15">
        <f>EOMONTH(TablaEgresos[[#This Row],[Fecha]],-1)+1</f>
        <v>46204</v>
      </c>
      <c r="F879" s="14" t="s">
        <v>250</v>
      </c>
    </row>
    <row r="880" spans="1:6" x14ac:dyDescent="0.3">
      <c r="A880" s="8">
        <v>46211</v>
      </c>
      <c r="B880" t="s">
        <v>47</v>
      </c>
      <c r="C880" t="s">
        <v>77</v>
      </c>
      <c r="D880" s="1">
        <v>42371</v>
      </c>
      <c r="E880" s="15">
        <f>EOMONTH(TablaEgresos[[#This Row],[Fecha]],-1)+1</f>
        <v>46204</v>
      </c>
      <c r="F880" s="14" t="s">
        <v>239</v>
      </c>
    </row>
    <row r="881" spans="1:6" x14ac:dyDescent="0.3">
      <c r="A881" s="8">
        <v>46212</v>
      </c>
      <c r="B881" t="s">
        <v>38</v>
      </c>
      <c r="C881" t="s">
        <v>1190</v>
      </c>
      <c r="D881" s="1">
        <v>634.91999999999996</v>
      </c>
      <c r="E881" s="15">
        <f>EOMONTH(TablaEgresos[[#This Row],[Fecha]],-1)+1</f>
        <v>46204</v>
      </c>
      <c r="F881" s="14" t="s">
        <v>251</v>
      </c>
    </row>
    <row r="882" spans="1:6" x14ac:dyDescent="0.3">
      <c r="A882" s="8">
        <v>46212</v>
      </c>
      <c r="B882" t="s">
        <v>64</v>
      </c>
      <c r="C882" t="s">
        <v>80</v>
      </c>
      <c r="D882" s="1">
        <v>158730</v>
      </c>
      <c r="E882" s="15">
        <f>EOMONTH(TablaEgresos[[#This Row],[Fecha]],-1)+1</f>
        <v>46204</v>
      </c>
      <c r="F882" s="14" t="s">
        <v>252</v>
      </c>
    </row>
    <row r="883" spans="1:6" x14ac:dyDescent="0.3">
      <c r="A883" s="8">
        <v>46212</v>
      </c>
      <c r="B883" t="s">
        <v>35</v>
      </c>
      <c r="C883" t="s">
        <v>95</v>
      </c>
      <c r="D883" s="1">
        <v>633200</v>
      </c>
      <c r="E883" s="15">
        <f>EOMONTH(TablaEgresos[[#This Row],[Fecha]],-1)+1</f>
        <v>46204</v>
      </c>
      <c r="F883" s="14" t="s">
        <v>253</v>
      </c>
    </row>
    <row r="884" spans="1:6" x14ac:dyDescent="0.3">
      <c r="A884" s="8">
        <v>46212</v>
      </c>
      <c r="B884" t="s">
        <v>38</v>
      </c>
      <c r="C884" t="s">
        <v>1190</v>
      </c>
      <c r="D884" s="1">
        <v>2532.8000000000002</v>
      </c>
      <c r="E884" s="15">
        <f>EOMONTH(TablaEgresos[[#This Row],[Fecha]],-1)+1</f>
        <v>46204</v>
      </c>
      <c r="F884" s="14" t="s">
        <v>254</v>
      </c>
    </row>
    <row r="885" spans="1:6" x14ac:dyDescent="0.3">
      <c r="A885" s="8">
        <v>46212</v>
      </c>
      <c r="B885" t="s">
        <v>39</v>
      </c>
      <c r="C885" t="s">
        <v>78</v>
      </c>
      <c r="D885" s="1">
        <v>1971</v>
      </c>
      <c r="E885" s="15">
        <f>EOMONTH(TablaEgresos[[#This Row],[Fecha]],-1)+1</f>
        <v>46204</v>
      </c>
      <c r="F885" s="14" t="s">
        <v>255</v>
      </c>
    </row>
    <row r="886" spans="1:6" x14ac:dyDescent="0.3">
      <c r="A886" s="8">
        <v>46212</v>
      </c>
      <c r="B886" t="s">
        <v>40</v>
      </c>
      <c r="C886" t="s">
        <v>1190</v>
      </c>
      <c r="D886" s="1">
        <v>374.49</v>
      </c>
      <c r="E886" s="15">
        <f>EOMONTH(TablaEgresos[[#This Row],[Fecha]],-1)+1</f>
        <v>46204</v>
      </c>
      <c r="F886" s="14" t="s">
        <v>256</v>
      </c>
    </row>
    <row r="887" spans="1:6" x14ac:dyDescent="0.3">
      <c r="A887" s="8">
        <v>46212</v>
      </c>
      <c r="B887" t="s">
        <v>38</v>
      </c>
      <c r="C887" t="s">
        <v>1190</v>
      </c>
      <c r="D887" s="1">
        <v>7200</v>
      </c>
      <c r="E887" s="15">
        <f>EOMONTH(TablaEgresos[[#This Row],[Fecha]],-1)+1</f>
        <v>46204</v>
      </c>
      <c r="F887" s="14" t="s">
        <v>257</v>
      </c>
    </row>
    <row r="888" spans="1:6" x14ac:dyDescent="0.3">
      <c r="A888" s="8">
        <v>46212</v>
      </c>
      <c r="B888" t="s">
        <v>65</v>
      </c>
      <c r="C888" t="s">
        <v>97</v>
      </c>
      <c r="D888" s="1">
        <v>1799999.51</v>
      </c>
      <c r="E888" s="15">
        <f>EOMONTH(TablaEgresos[[#This Row],[Fecha]],-1)+1</f>
        <v>46204</v>
      </c>
      <c r="F888" s="14" t="s">
        <v>258</v>
      </c>
    </row>
    <row r="889" spans="1:6" x14ac:dyDescent="0.3">
      <c r="A889" s="8">
        <v>46213</v>
      </c>
      <c r="B889" t="s">
        <v>38</v>
      </c>
      <c r="C889" t="s">
        <v>1190</v>
      </c>
      <c r="D889" s="1">
        <v>424</v>
      </c>
      <c r="E889" s="15">
        <f>EOMONTH(TablaEgresos[[#This Row],[Fecha]],-1)+1</f>
        <v>46204</v>
      </c>
      <c r="F889" s="14" t="s">
        <v>259</v>
      </c>
    </row>
    <row r="890" spans="1:6" x14ac:dyDescent="0.3">
      <c r="A890" s="8">
        <v>46213</v>
      </c>
      <c r="B890" t="s">
        <v>102</v>
      </c>
      <c r="C890" t="s">
        <v>77</v>
      </c>
      <c r="D890" s="1">
        <v>106000</v>
      </c>
      <c r="E890" s="15">
        <f>EOMONTH(TablaEgresos[[#This Row],[Fecha]],-1)+1</f>
        <v>46204</v>
      </c>
      <c r="F890" s="14" t="s">
        <v>260</v>
      </c>
    </row>
    <row r="891" spans="1:6" x14ac:dyDescent="0.3">
      <c r="A891" s="8">
        <v>46213</v>
      </c>
      <c r="B891" t="s">
        <v>38</v>
      </c>
      <c r="C891" t="s">
        <v>1190</v>
      </c>
      <c r="D891" s="1">
        <v>3601.6</v>
      </c>
      <c r="E891" s="15">
        <f>EOMONTH(TablaEgresos[[#This Row],[Fecha]],-1)+1</f>
        <v>46204</v>
      </c>
      <c r="F891" s="14" t="s">
        <v>261</v>
      </c>
    </row>
    <row r="892" spans="1:6" x14ac:dyDescent="0.3">
      <c r="A892" s="8">
        <v>46213</v>
      </c>
      <c r="B892" t="s">
        <v>38</v>
      </c>
      <c r="C892" t="s">
        <v>1190</v>
      </c>
      <c r="D892" s="1">
        <v>4243.04</v>
      </c>
      <c r="E892" s="15">
        <f>EOMONTH(TablaEgresos[[#This Row],[Fecha]],-1)+1</f>
        <v>46204</v>
      </c>
      <c r="F892" s="14" t="s">
        <v>262</v>
      </c>
    </row>
    <row r="893" spans="1:6" x14ac:dyDescent="0.3">
      <c r="A893" s="8">
        <v>46213</v>
      </c>
      <c r="B893" t="s">
        <v>35</v>
      </c>
      <c r="C893" t="s">
        <v>95</v>
      </c>
      <c r="D893" s="1">
        <v>48000</v>
      </c>
      <c r="E893" s="15">
        <f>EOMONTH(TablaEgresos[[#This Row],[Fecha]],-1)+1</f>
        <v>46204</v>
      </c>
      <c r="F893" s="14" t="s">
        <v>263</v>
      </c>
    </row>
    <row r="894" spans="1:6" x14ac:dyDescent="0.3">
      <c r="A894" s="8">
        <v>46213</v>
      </c>
      <c r="B894" t="s">
        <v>38</v>
      </c>
      <c r="C894" t="s">
        <v>1190</v>
      </c>
      <c r="D894" s="1">
        <v>192</v>
      </c>
      <c r="E894" s="15">
        <f>EOMONTH(TablaEgresos[[#This Row],[Fecha]],-1)+1</f>
        <v>46204</v>
      </c>
      <c r="F894" s="14" t="s">
        <v>264</v>
      </c>
    </row>
    <row r="895" spans="1:6" x14ac:dyDescent="0.3">
      <c r="A895" s="8">
        <v>46213</v>
      </c>
      <c r="B895" t="s">
        <v>47</v>
      </c>
      <c r="C895" t="s">
        <v>77</v>
      </c>
      <c r="D895" s="1">
        <v>9989</v>
      </c>
      <c r="E895" s="15">
        <f>EOMONTH(TablaEgresos[[#This Row],[Fecha]],-1)+1</f>
        <v>46204</v>
      </c>
      <c r="F895" s="14" t="s">
        <v>265</v>
      </c>
    </row>
    <row r="896" spans="1:6" x14ac:dyDescent="0.3">
      <c r="A896" s="8">
        <v>46213</v>
      </c>
      <c r="B896" t="s">
        <v>38</v>
      </c>
      <c r="C896" t="s">
        <v>1190</v>
      </c>
      <c r="D896" s="1">
        <v>39.96</v>
      </c>
      <c r="E896" s="15">
        <f>EOMONTH(TablaEgresos[[#This Row],[Fecha]],-1)+1</f>
        <v>46204</v>
      </c>
      <c r="F896" s="14" t="s">
        <v>266</v>
      </c>
    </row>
    <row r="897" spans="1:6" x14ac:dyDescent="0.3">
      <c r="A897" s="8">
        <v>46213</v>
      </c>
      <c r="B897" t="s">
        <v>47</v>
      </c>
      <c r="C897" t="s">
        <v>77</v>
      </c>
      <c r="D897" s="1">
        <v>9977</v>
      </c>
      <c r="E897" s="15">
        <f>EOMONTH(TablaEgresos[[#This Row],[Fecha]],-1)+1</f>
        <v>46204</v>
      </c>
      <c r="F897" s="14" t="s">
        <v>267</v>
      </c>
    </row>
    <row r="898" spans="1:6" x14ac:dyDescent="0.3">
      <c r="A898" s="8">
        <v>46213</v>
      </c>
      <c r="B898" t="s">
        <v>38</v>
      </c>
      <c r="C898" t="s">
        <v>1190</v>
      </c>
      <c r="D898" s="1">
        <v>39.909999999999997</v>
      </c>
      <c r="E898" s="15">
        <f>EOMONTH(TablaEgresos[[#This Row],[Fecha]],-1)+1</f>
        <v>46204</v>
      </c>
      <c r="F898" s="14" t="s">
        <v>268</v>
      </c>
    </row>
    <row r="899" spans="1:6" x14ac:dyDescent="0.3">
      <c r="A899" s="8">
        <v>46213</v>
      </c>
      <c r="B899" t="s">
        <v>38</v>
      </c>
      <c r="C899" t="s">
        <v>1190</v>
      </c>
      <c r="D899" s="1">
        <v>100</v>
      </c>
      <c r="E899" s="15">
        <f>EOMONTH(TablaEgresos[[#This Row],[Fecha]],-1)+1</f>
        <v>46204</v>
      </c>
      <c r="F899" s="14" t="s">
        <v>269</v>
      </c>
    </row>
    <row r="900" spans="1:6" x14ac:dyDescent="0.3">
      <c r="A900" s="8">
        <v>46213</v>
      </c>
      <c r="B900" t="s">
        <v>35</v>
      </c>
      <c r="C900" t="s">
        <v>95</v>
      </c>
      <c r="D900" s="1">
        <v>25000</v>
      </c>
      <c r="E900" s="15">
        <f>EOMONTH(TablaEgresos[[#This Row],[Fecha]],-1)+1</f>
        <v>46204</v>
      </c>
      <c r="F900" s="14" t="s">
        <v>270</v>
      </c>
    </row>
    <row r="901" spans="1:6" x14ac:dyDescent="0.3">
      <c r="A901" s="8">
        <v>46213</v>
      </c>
      <c r="B901" t="s">
        <v>38</v>
      </c>
      <c r="C901" t="s">
        <v>1190</v>
      </c>
      <c r="D901" s="1">
        <v>3402.4</v>
      </c>
      <c r="E901" s="15">
        <f>EOMONTH(TablaEgresos[[#This Row],[Fecha]],-1)+1</f>
        <v>46204</v>
      </c>
      <c r="F901" s="14" t="s">
        <v>271</v>
      </c>
    </row>
    <row r="902" spans="1:6" x14ac:dyDescent="0.3">
      <c r="A902" s="8">
        <v>46213</v>
      </c>
      <c r="B902" t="s">
        <v>66</v>
      </c>
      <c r="C902" t="s">
        <v>79</v>
      </c>
      <c r="D902" s="1">
        <v>900398.4</v>
      </c>
      <c r="E902" s="15">
        <f>EOMONTH(TablaEgresos[[#This Row],[Fecha]],-1)+1</f>
        <v>46204</v>
      </c>
      <c r="F902" s="14" t="s">
        <v>272</v>
      </c>
    </row>
    <row r="903" spans="1:6" x14ac:dyDescent="0.3">
      <c r="A903" s="8">
        <v>46213</v>
      </c>
      <c r="B903" t="s">
        <v>67</v>
      </c>
      <c r="C903" t="s">
        <v>79</v>
      </c>
      <c r="D903" s="1">
        <v>1060756.96</v>
      </c>
      <c r="E903" s="15">
        <f>EOMONTH(TablaEgresos[[#This Row],[Fecha]],-1)+1</f>
        <v>46204</v>
      </c>
      <c r="F903" s="14" t="s">
        <v>273</v>
      </c>
    </row>
    <row r="904" spans="1:6" x14ac:dyDescent="0.3">
      <c r="A904" s="8">
        <v>46213</v>
      </c>
      <c r="B904" t="s">
        <v>38</v>
      </c>
      <c r="C904" t="s">
        <v>1190</v>
      </c>
      <c r="D904" s="1">
        <v>320</v>
      </c>
      <c r="E904" s="15">
        <f>EOMONTH(TablaEgresos[[#This Row],[Fecha]],-1)+1</f>
        <v>46204</v>
      </c>
      <c r="F904" s="14" t="s">
        <v>274</v>
      </c>
    </row>
    <row r="905" spans="1:6" x14ac:dyDescent="0.3">
      <c r="A905" s="8">
        <v>46213</v>
      </c>
      <c r="B905" t="s">
        <v>35</v>
      </c>
      <c r="C905" t="s">
        <v>95</v>
      </c>
      <c r="D905" s="1">
        <v>80000</v>
      </c>
      <c r="E905" s="15">
        <f>EOMONTH(TablaEgresos[[#This Row],[Fecha]],-1)+1</f>
        <v>46204</v>
      </c>
      <c r="F905" s="14" t="s">
        <v>275</v>
      </c>
    </row>
    <row r="906" spans="1:6" x14ac:dyDescent="0.3">
      <c r="A906" s="8">
        <v>46213</v>
      </c>
      <c r="B906" t="s">
        <v>68</v>
      </c>
      <c r="C906" t="s">
        <v>79</v>
      </c>
      <c r="D906" s="1">
        <v>850597.6</v>
      </c>
      <c r="E906" s="15">
        <f>EOMONTH(TablaEgresos[[#This Row],[Fecha]],-1)+1</f>
        <v>46204</v>
      </c>
      <c r="F906" s="14" t="s">
        <v>276</v>
      </c>
    </row>
    <row r="907" spans="1:6" x14ac:dyDescent="0.3">
      <c r="A907" s="8">
        <v>46214</v>
      </c>
      <c r="B907" t="s">
        <v>38</v>
      </c>
      <c r="C907" t="s">
        <v>1190</v>
      </c>
      <c r="D907" s="1">
        <v>243.04</v>
      </c>
      <c r="E907" s="15">
        <f>EOMONTH(TablaEgresos[[#This Row],[Fecha]],-1)+1</f>
        <v>46204</v>
      </c>
      <c r="F907" s="14" t="s">
        <v>277</v>
      </c>
    </row>
    <row r="908" spans="1:6" x14ac:dyDescent="0.3">
      <c r="A908" s="8">
        <v>46214</v>
      </c>
      <c r="B908" t="s">
        <v>35</v>
      </c>
      <c r="C908" t="s">
        <v>95</v>
      </c>
      <c r="D908" s="1">
        <v>272000</v>
      </c>
      <c r="E908" s="15">
        <f>EOMONTH(TablaEgresos[[#This Row],[Fecha]],-1)+1</f>
        <v>46204</v>
      </c>
      <c r="F908" s="14" t="s">
        <v>278</v>
      </c>
    </row>
    <row r="909" spans="1:6" x14ac:dyDescent="0.3">
      <c r="A909" s="8">
        <v>46214</v>
      </c>
      <c r="B909" t="s">
        <v>38</v>
      </c>
      <c r="C909" t="s">
        <v>1190</v>
      </c>
      <c r="D909" s="1">
        <v>1088</v>
      </c>
      <c r="E909" s="15">
        <f>EOMONTH(TablaEgresos[[#This Row],[Fecha]],-1)+1</f>
        <v>46204</v>
      </c>
      <c r="F909" s="14" t="s">
        <v>279</v>
      </c>
    </row>
    <row r="910" spans="1:6" x14ac:dyDescent="0.3">
      <c r="A910" s="8">
        <v>46214</v>
      </c>
      <c r="B910" t="s">
        <v>69</v>
      </c>
      <c r="C910" t="s">
        <v>77</v>
      </c>
      <c r="D910" s="1">
        <v>60756.959999999999</v>
      </c>
      <c r="E910" s="15">
        <f>EOMONTH(TablaEgresos[[#This Row],[Fecha]],-1)+1</f>
        <v>46204</v>
      </c>
      <c r="F910" s="14" t="s">
        <v>280</v>
      </c>
    </row>
    <row r="911" spans="1:6" x14ac:dyDescent="0.3">
      <c r="A911" s="8">
        <v>46214</v>
      </c>
      <c r="B911" t="s">
        <v>38</v>
      </c>
      <c r="C911" t="s">
        <v>1190</v>
      </c>
      <c r="D911" s="1">
        <v>62.8</v>
      </c>
      <c r="E911" s="15">
        <f>EOMONTH(TablaEgresos[[#This Row],[Fecha]],-1)+1</f>
        <v>46204</v>
      </c>
      <c r="F911" s="14" t="s">
        <v>281</v>
      </c>
    </row>
    <row r="912" spans="1:6" x14ac:dyDescent="0.3">
      <c r="A912" s="8">
        <v>46214</v>
      </c>
      <c r="B912" t="s">
        <v>35</v>
      </c>
      <c r="C912" t="s">
        <v>95</v>
      </c>
      <c r="D912" s="1">
        <v>15700</v>
      </c>
      <c r="E912" s="15">
        <f>EOMONTH(TablaEgresos[[#This Row],[Fecha]],-1)+1</f>
        <v>46204</v>
      </c>
      <c r="F912" s="14" t="s">
        <v>282</v>
      </c>
    </row>
    <row r="913" spans="1:6" x14ac:dyDescent="0.3">
      <c r="A913" s="8">
        <v>46216</v>
      </c>
      <c r="B913" t="s">
        <v>38</v>
      </c>
      <c r="C913" t="s">
        <v>1190</v>
      </c>
      <c r="D913" s="1">
        <v>4800</v>
      </c>
      <c r="E913" s="15">
        <f>EOMONTH(TablaEgresos[[#This Row],[Fecha]],-1)+1</f>
        <v>46204</v>
      </c>
      <c r="F913" s="14" t="s">
        <v>283</v>
      </c>
    </row>
    <row r="914" spans="1:6" x14ac:dyDescent="0.3">
      <c r="A914" s="8">
        <v>46216</v>
      </c>
      <c r="B914" t="s">
        <v>39</v>
      </c>
      <c r="C914" t="s">
        <v>78</v>
      </c>
      <c r="D914" s="1">
        <v>1953</v>
      </c>
      <c r="E914" s="15">
        <f>EOMONTH(TablaEgresos[[#This Row],[Fecha]],-1)+1</f>
        <v>46204</v>
      </c>
      <c r="F914" s="14" t="s">
        <v>284</v>
      </c>
    </row>
    <row r="915" spans="1:6" x14ac:dyDescent="0.3">
      <c r="A915" s="8">
        <v>46216</v>
      </c>
      <c r="B915" t="s">
        <v>40</v>
      </c>
      <c r="C915" t="s">
        <v>1190</v>
      </c>
      <c r="D915" s="1">
        <v>371.07</v>
      </c>
      <c r="E915" s="15">
        <f>EOMONTH(TablaEgresos[[#This Row],[Fecha]],-1)+1</f>
        <v>46204</v>
      </c>
      <c r="F915" s="14" t="s">
        <v>285</v>
      </c>
    </row>
    <row r="916" spans="1:6" x14ac:dyDescent="0.3">
      <c r="A916" s="8">
        <v>46216</v>
      </c>
      <c r="B916" t="s">
        <v>38</v>
      </c>
      <c r="C916" t="s">
        <v>1190</v>
      </c>
      <c r="D916" s="1">
        <v>10000</v>
      </c>
      <c r="E916" s="15">
        <f>EOMONTH(TablaEgresos[[#This Row],[Fecha]],-1)+1</f>
        <v>46204</v>
      </c>
      <c r="F916" s="14" t="s">
        <v>286</v>
      </c>
    </row>
    <row r="917" spans="1:6" x14ac:dyDescent="0.3">
      <c r="A917" s="8">
        <v>46216</v>
      </c>
      <c r="B917" t="s">
        <v>38</v>
      </c>
      <c r="C917" t="s">
        <v>1190</v>
      </c>
      <c r="D917" s="1">
        <v>800.8</v>
      </c>
      <c r="E917" s="15">
        <f>EOMONTH(TablaEgresos[[#This Row],[Fecha]],-1)+1</f>
        <v>46204</v>
      </c>
      <c r="F917" s="14" t="s">
        <v>287</v>
      </c>
    </row>
    <row r="918" spans="1:6" x14ac:dyDescent="0.3">
      <c r="A918" s="8">
        <v>46216</v>
      </c>
      <c r="B918" t="s">
        <v>70</v>
      </c>
      <c r="C918" t="s">
        <v>97</v>
      </c>
      <c r="D918" s="1">
        <v>1199999.93</v>
      </c>
      <c r="E918" s="15">
        <f>EOMONTH(TablaEgresos[[#This Row],[Fecha]],-1)+1</f>
        <v>46204</v>
      </c>
      <c r="F918" s="14" t="s">
        <v>288</v>
      </c>
    </row>
    <row r="919" spans="1:6" x14ac:dyDescent="0.3">
      <c r="A919" s="8">
        <v>46216</v>
      </c>
      <c r="B919" t="s">
        <v>71</v>
      </c>
      <c r="C919" t="s">
        <v>97</v>
      </c>
      <c r="D919" s="1">
        <v>2500000</v>
      </c>
      <c r="E919" s="15">
        <f>EOMONTH(TablaEgresos[[#This Row],[Fecha]],-1)+1</f>
        <v>46204</v>
      </c>
      <c r="F919" s="14" t="s">
        <v>289</v>
      </c>
    </row>
    <row r="920" spans="1:6" x14ac:dyDescent="0.3">
      <c r="A920" s="8">
        <v>46216</v>
      </c>
      <c r="B920" t="s">
        <v>72</v>
      </c>
      <c r="C920" t="s">
        <v>79</v>
      </c>
      <c r="D920" s="1">
        <v>200199.2</v>
      </c>
      <c r="E920" s="15">
        <f>EOMONTH(TablaEgresos[[#This Row],[Fecha]],-1)+1</f>
        <v>46204</v>
      </c>
      <c r="F920" s="14" t="s">
        <v>290</v>
      </c>
    </row>
    <row r="921" spans="1:6" x14ac:dyDescent="0.3">
      <c r="A921" s="8">
        <v>46217</v>
      </c>
      <c r="B921" t="s">
        <v>47</v>
      </c>
      <c r="C921" t="s">
        <v>77</v>
      </c>
      <c r="D921" s="1">
        <v>73112</v>
      </c>
      <c r="E921" s="15">
        <f>EOMONTH(TablaEgresos[[#This Row],[Fecha]],-1)+1</f>
        <v>46204</v>
      </c>
      <c r="F921" s="14" t="s">
        <v>315</v>
      </c>
    </row>
    <row r="922" spans="1:6" x14ac:dyDescent="0.3">
      <c r="A922" s="8">
        <v>46217</v>
      </c>
      <c r="B922" t="s">
        <v>38</v>
      </c>
      <c r="C922" t="s">
        <v>1190</v>
      </c>
      <c r="D922" s="1">
        <v>292</v>
      </c>
      <c r="E922" s="15">
        <f>EOMONTH(TablaEgresos[[#This Row],[Fecha]],-1)+1</f>
        <v>46204</v>
      </c>
      <c r="F922" s="14" t="s">
        <v>316</v>
      </c>
    </row>
    <row r="923" spans="1:6" x14ac:dyDescent="0.3">
      <c r="A923" s="8">
        <v>46217</v>
      </c>
      <c r="B923" t="s">
        <v>310</v>
      </c>
      <c r="C923" t="s">
        <v>77</v>
      </c>
      <c r="D923" s="1">
        <v>106000</v>
      </c>
      <c r="E923" s="15">
        <f>EOMONTH(TablaEgresos[[#This Row],[Fecha]],-1)+1</f>
        <v>46204</v>
      </c>
      <c r="F923" s="14" t="s">
        <v>317</v>
      </c>
    </row>
    <row r="924" spans="1:6" x14ac:dyDescent="0.3">
      <c r="A924" s="8">
        <v>46217</v>
      </c>
      <c r="B924" t="s">
        <v>38</v>
      </c>
      <c r="C924" t="s">
        <v>1190</v>
      </c>
      <c r="D924" s="1">
        <v>424</v>
      </c>
      <c r="E924" s="15">
        <f>EOMONTH(TablaEgresos[[#This Row],[Fecha]],-1)+1</f>
        <v>46204</v>
      </c>
      <c r="F924" s="14" t="s">
        <v>318</v>
      </c>
    </row>
    <row r="925" spans="1:6" x14ac:dyDescent="0.3">
      <c r="A925" s="8">
        <v>46217</v>
      </c>
      <c r="B925" t="s">
        <v>47</v>
      </c>
      <c r="C925" t="s">
        <v>77</v>
      </c>
      <c r="D925" s="1">
        <v>20944</v>
      </c>
      <c r="E925" s="15">
        <f>EOMONTH(TablaEgresos[[#This Row],[Fecha]],-1)+1</f>
        <v>46204</v>
      </c>
      <c r="F925" s="14" t="s">
        <v>319</v>
      </c>
    </row>
    <row r="926" spans="1:6" x14ac:dyDescent="0.3">
      <c r="A926" s="8">
        <v>46217</v>
      </c>
      <c r="B926" t="s">
        <v>38</v>
      </c>
      <c r="C926" t="s">
        <v>1190</v>
      </c>
      <c r="D926" s="1">
        <v>83</v>
      </c>
      <c r="E926" s="15">
        <f>EOMONTH(TablaEgresos[[#This Row],[Fecha]],-1)+1</f>
        <v>46204</v>
      </c>
      <c r="F926" s="14" t="s">
        <v>320</v>
      </c>
    </row>
    <row r="927" spans="1:6" x14ac:dyDescent="0.3">
      <c r="A927" s="8">
        <v>46217</v>
      </c>
      <c r="B927" t="s">
        <v>311</v>
      </c>
      <c r="C927" t="s">
        <v>93</v>
      </c>
      <c r="D927" s="1">
        <v>28373400</v>
      </c>
      <c r="E927" s="15">
        <f>EOMONTH(TablaEgresos[[#This Row],[Fecha]],-1)+1</f>
        <v>46204</v>
      </c>
      <c r="F927" s="14" t="s">
        <v>321</v>
      </c>
    </row>
    <row r="928" spans="1:6" x14ac:dyDescent="0.3">
      <c r="A928" s="8">
        <v>46217</v>
      </c>
      <c r="B928" t="s">
        <v>38</v>
      </c>
      <c r="C928" t="s">
        <v>1190</v>
      </c>
      <c r="D928" s="1">
        <v>113493</v>
      </c>
      <c r="E928" s="15">
        <f>EOMONTH(TablaEgresos[[#This Row],[Fecha]],-1)+1</f>
        <v>46204</v>
      </c>
      <c r="F928" s="14" t="s">
        <v>322</v>
      </c>
    </row>
    <row r="929" spans="1:6" x14ac:dyDescent="0.3">
      <c r="A929" s="8">
        <v>46217</v>
      </c>
      <c r="B929" t="s">
        <v>311</v>
      </c>
      <c r="C929" t="s">
        <v>93</v>
      </c>
      <c r="D929" s="1">
        <v>10605800</v>
      </c>
      <c r="E929" s="15">
        <f>EOMONTH(TablaEgresos[[#This Row],[Fecha]],-1)+1</f>
        <v>46204</v>
      </c>
      <c r="F929" s="14" t="s">
        <v>323</v>
      </c>
    </row>
    <row r="930" spans="1:6" x14ac:dyDescent="0.3">
      <c r="A930" s="8">
        <v>46217</v>
      </c>
      <c r="B930" t="s">
        <v>38</v>
      </c>
      <c r="C930" t="s">
        <v>1190</v>
      </c>
      <c r="D930" s="1">
        <v>42423</v>
      </c>
      <c r="E930" s="15">
        <f>EOMONTH(TablaEgresos[[#This Row],[Fecha]],-1)+1</f>
        <v>46204</v>
      </c>
      <c r="F930" s="14" t="s">
        <v>324</v>
      </c>
    </row>
    <row r="931" spans="1:6" x14ac:dyDescent="0.3">
      <c r="A931" s="8">
        <v>46217</v>
      </c>
      <c r="B931" t="s">
        <v>38</v>
      </c>
      <c r="C931" t="s">
        <v>1190</v>
      </c>
      <c r="D931" s="1">
        <v>75</v>
      </c>
      <c r="E931" s="15">
        <f>EOMONTH(TablaEgresos[[#This Row],[Fecha]],-1)+1</f>
        <v>46204</v>
      </c>
      <c r="F931" s="14" t="s">
        <v>326</v>
      </c>
    </row>
    <row r="932" spans="1:6" x14ac:dyDescent="0.3">
      <c r="A932" s="8">
        <v>46217</v>
      </c>
      <c r="B932" t="s">
        <v>312</v>
      </c>
      <c r="C932" t="s">
        <v>340</v>
      </c>
      <c r="D932" s="1">
        <v>71100</v>
      </c>
      <c r="E932" s="15">
        <f>EOMONTH(TablaEgresos[[#This Row],[Fecha]],-1)+1</f>
        <v>46204</v>
      </c>
      <c r="F932" s="14" t="s">
        <v>327</v>
      </c>
    </row>
    <row r="933" spans="1:6" x14ac:dyDescent="0.3">
      <c r="A933" s="8">
        <v>46217</v>
      </c>
      <c r="B933" t="s">
        <v>38</v>
      </c>
      <c r="C933" t="s">
        <v>1190</v>
      </c>
      <c r="D933" s="1">
        <v>284</v>
      </c>
      <c r="E933" s="15">
        <f>EOMONTH(TablaEgresos[[#This Row],[Fecha]],-1)+1</f>
        <v>46204</v>
      </c>
      <c r="F933" s="14" t="s">
        <v>328</v>
      </c>
    </row>
    <row r="934" spans="1:6" x14ac:dyDescent="0.3">
      <c r="A934" s="8">
        <v>46217</v>
      </c>
      <c r="B934" t="s">
        <v>47</v>
      </c>
      <c r="C934" t="s">
        <v>77</v>
      </c>
      <c r="D934" s="1">
        <v>13937</v>
      </c>
      <c r="E934" s="15">
        <f>EOMONTH(TablaEgresos[[#This Row],[Fecha]],-1)+1</f>
        <v>46204</v>
      </c>
      <c r="F934" s="14" t="s">
        <v>329</v>
      </c>
    </row>
    <row r="935" spans="1:6" x14ac:dyDescent="0.3">
      <c r="A935" s="8">
        <v>46217</v>
      </c>
      <c r="B935" t="s">
        <v>38</v>
      </c>
      <c r="C935" t="s">
        <v>1190</v>
      </c>
      <c r="D935" s="1">
        <v>55</v>
      </c>
      <c r="E935" s="15">
        <f>EOMONTH(TablaEgresos[[#This Row],[Fecha]],-1)+1</f>
        <v>46204</v>
      </c>
      <c r="F935" s="14" t="s">
        <v>330</v>
      </c>
    </row>
    <row r="936" spans="1:6" x14ac:dyDescent="0.3">
      <c r="A936" s="8">
        <v>46217</v>
      </c>
      <c r="B936" t="s">
        <v>313</v>
      </c>
      <c r="C936" t="s">
        <v>1185</v>
      </c>
      <c r="D936" s="1">
        <v>4722899</v>
      </c>
      <c r="E936" s="15">
        <f>EOMONTH(TablaEgresos[[#This Row],[Fecha]],-1)+1</f>
        <v>46204</v>
      </c>
      <c r="F936" s="14" t="s">
        <v>331</v>
      </c>
    </row>
    <row r="937" spans="1:6" x14ac:dyDescent="0.3">
      <c r="A937" s="8">
        <v>46217</v>
      </c>
      <c r="B937" t="s">
        <v>38</v>
      </c>
      <c r="C937" t="s">
        <v>1190</v>
      </c>
      <c r="D937" s="1">
        <v>18891</v>
      </c>
      <c r="E937" s="15">
        <f>EOMONTH(TablaEgresos[[#This Row],[Fecha]],-1)+1</f>
        <v>46204</v>
      </c>
      <c r="F937" s="14" t="s">
        <v>332</v>
      </c>
    </row>
    <row r="938" spans="1:6" x14ac:dyDescent="0.3">
      <c r="A938" s="8">
        <v>46217</v>
      </c>
      <c r="B938" t="s">
        <v>40</v>
      </c>
      <c r="C938" t="s">
        <v>1190</v>
      </c>
      <c r="D938" s="1">
        <v>371</v>
      </c>
      <c r="E938" s="15">
        <f>EOMONTH(TablaEgresos[[#This Row],[Fecha]],-1)+1</f>
        <v>46204</v>
      </c>
      <c r="F938" s="14" t="s">
        <v>333</v>
      </c>
    </row>
    <row r="939" spans="1:6" x14ac:dyDescent="0.3">
      <c r="A939" s="8">
        <v>46217</v>
      </c>
      <c r="B939" t="s">
        <v>314</v>
      </c>
      <c r="C939" t="s">
        <v>78</v>
      </c>
      <c r="D939" s="1">
        <v>1956</v>
      </c>
      <c r="E939" s="15">
        <f>EOMONTH(TablaEgresos[[#This Row],[Fecha]],-1)+1</f>
        <v>46204</v>
      </c>
      <c r="F939" s="14" t="s">
        <v>334</v>
      </c>
    </row>
    <row r="940" spans="1:6" x14ac:dyDescent="0.3">
      <c r="A940" s="8">
        <v>46217</v>
      </c>
      <c r="B940" t="s">
        <v>47</v>
      </c>
      <c r="C940" t="s">
        <v>77</v>
      </c>
      <c r="D940" s="1">
        <v>14988</v>
      </c>
      <c r="E940" s="15">
        <f>EOMONTH(TablaEgresos[[#This Row],[Fecha]],-1)+1</f>
        <v>46204</v>
      </c>
      <c r="F940" s="14" t="s">
        <v>335</v>
      </c>
    </row>
    <row r="941" spans="1:6" x14ac:dyDescent="0.3">
      <c r="A941" s="8">
        <v>46217</v>
      </c>
      <c r="B941" t="s">
        <v>38</v>
      </c>
      <c r="C941" t="s">
        <v>1190</v>
      </c>
      <c r="D941" s="1">
        <v>59</v>
      </c>
      <c r="E941" s="15">
        <f>EOMONTH(TablaEgresos[[#This Row],[Fecha]],-1)+1</f>
        <v>46204</v>
      </c>
      <c r="F941" s="14" t="s">
        <v>336</v>
      </c>
    </row>
    <row r="942" spans="1:6" x14ac:dyDescent="0.3">
      <c r="A942" s="8">
        <v>46217</v>
      </c>
      <c r="B942" t="s">
        <v>47</v>
      </c>
      <c r="C942" t="s">
        <v>77</v>
      </c>
      <c r="D942" s="1">
        <v>16997</v>
      </c>
      <c r="E942" s="15">
        <f>EOMONTH(TablaEgresos[[#This Row],[Fecha]],-1)+1</f>
        <v>46204</v>
      </c>
      <c r="F942" s="14" t="s">
        <v>337</v>
      </c>
    </row>
    <row r="943" spans="1:6" x14ac:dyDescent="0.3">
      <c r="A943" s="8">
        <v>46217</v>
      </c>
      <c r="B943" t="s">
        <v>38</v>
      </c>
      <c r="C943" t="s">
        <v>1190</v>
      </c>
      <c r="D943" s="1">
        <v>67</v>
      </c>
      <c r="E943" s="15">
        <f>EOMONTH(TablaEgresos[[#This Row],[Fecha]],-1)+1</f>
        <v>46204</v>
      </c>
      <c r="F943" s="14" t="s">
        <v>338</v>
      </c>
    </row>
    <row r="944" spans="1:6" x14ac:dyDescent="0.3">
      <c r="A944" s="8">
        <v>46217</v>
      </c>
      <c r="B944" t="s">
        <v>47</v>
      </c>
      <c r="C944" t="s">
        <v>77</v>
      </c>
      <c r="D944" s="1">
        <v>18982</v>
      </c>
      <c r="E944" s="15">
        <f>EOMONTH(TablaEgresos[[#This Row],[Fecha]],-1)+1</f>
        <v>46204</v>
      </c>
      <c r="F944" s="14" t="s">
        <v>325</v>
      </c>
    </row>
    <row r="945" spans="1:6" x14ac:dyDescent="0.3">
      <c r="A945" s="8">
        <v>46218</v>
      </c>
      <c r="B945" t="s">
        <v>35</v>
      </c>
      <c r="C945" t="s">
        <v>95</v>
      </c>
      <c r="D945" s="1">
        <v>12100</v>
      </c>
      <c r="E945" s="15">
        <f>EOMONTH(TablaEgresos[[#This Row],[Fecha]],-1)+1</f>
        <v>46204</v>
      </c>
      <c r="F945" s="14">
        <v>15278893</v>
      </c>
    </row>
    <row r="946" spans="1:6" x14ac:dyDescent="0.3">
      <c r="A946" s="8">
        <v>46218</v>
      </c>
      <c r="B946" t="s">
        <v>38</v>
      </c>
      <c r="C946" t="s">
        <v>1190</v>
      </c>
      <c r="D946" s="1">
        <v>48.4</v>
      </c>
      <c r="E946" s="15">
        <f>EOMONTH(TablaEgresos[[#This Row],[Fecha]],-1)+1</f>
        <v>46204</v>
      </c>
      <c r="F946" s="14">
        <v>15278894</v>
      </c>
    </row>
    <row r="947" spans="1:6" x14ac:dyDescent="0.3">
      <c r="A947" s="8">
        <v>46218</v>
      </c>
      <c r="B947" t="s">
        <v>39</v>
      </c>
      <c r="C947" t="s">
        <v>78</v>
      </c>
      <c r="D947" s="1">
        <v>1942</v>
      </c>
      <c r="E947" s="15">
        <f>EOMONTH(TablaEgresos[[#This Row],[Fecha]],-1)+1</f>
        <v>46204</v>
      </c>
      <c r="F947" s="14">
        <v>15282277</v>
      </c>
    </row>
    <row r="948" spans="1:6" x14ac:dyDescent="0.3">
      <c r="A948" s="8">
        <v>46218</v>
      </c>
      <c r="B948" t="s">
        <v>40</v>
      </c>
      <c r="C948" t="s">
        <v>1190</v>
      </c>
      <c r="D948" s="1">
        <v>368.98</v>
      </c>
      <c r="E948" s="15">
        <f>EOMONTH(TablaEgresos[[#This Row],[Fecha]],-1)+1</f>
        <v>46204</v>
      </c>
      <c r="F948" s="14">
        <v>15282276</v>
      </c>
    </row>
    <row r="949" spans="1:6" x14ac:dyDescent="0.3">
      <c r="A949" s="8">
        <v>46218</v>
      </c>
      <c r="B949" t="s">
        <v>38</v>
      </c>
      <c r="C949" t="s">
        <v>1190</v>
      </c>
      <c r="D949" s="1">
        <v>7400</v>
      </c>
      <c r="E949" s="15">
        <f>EOMONTH(TablaEgresos[[#This Row],[Fecha]],-1)+1</f>
        <v>46204</v>
      </c>
      <c r="F949" s="14">
        <v>15282275</v>
      </c>
    </row>
    <row r="950" spans="1:6" x14ac:dyDescent="0.3">
      <c r="A950" s="8">
        <v>46218</v>
      </c>
      <c r="B950" t="s">
        <v>38</v>
      </c>
      <c r="C950" t="s">
        <v>1190</v>
      </c>
      <c r="D950" s="1">
        <v>22200</v>
      </c>
      <c r="E950" s="15">
        <f>EOMONTH(TablaEgresos[[#This Row],[Fecha]],-1)+1</f>
        <v>46204</v>
      </c>
      <c r="F950" s="14">
        <v>15282415</v>
      </c>
    </row>
    <row r="951" spans="1:6" x14ac:dyDescent="0.3">
      <c r="A951" s="8">
        <v>46218</v>
      </c>
      <c r="B951" t="s">
        <v>38</v>
      </c>
      <c r="C951" t="s">
        <v>1190</v>
      </c>
      <c r="D951" s="1">
        <v>22200</v>
      </c>
      <c r="E951" s="15">
        <f>EOMONTH(TablaEgresos[[#This Row],[Fecha]],-1)+1</f>
        <v>46204</v>
      </c>
      <c r="F951" s="14">
        <v>15282469</v>
      </c>
    </row>
    <row r="952" spans="1:6" x14ac:dyDescent="0.3">
      <c r="A952" s="8">
        <v>46218</v>
      </c>
      <c r="B952" t="s">
        <v>39</v>
      </c>
      <c r="C952" t="s">
        <v>78</v>
      </c>
      <c r="D952" s="1">
        <v>1942</v>
      </c>
      <c r="E952" s="15">
        <f>EOMONTH(TablaEgresos[[#This Row],[Fecha]],-1)+1</f>
        <v>46204</v>
      </c>
      <c r="F952" s="14">
        <v>15282533</v>
      </c>
    </row>
    <row r="953" spans="1:6" x14ac:dyDescent="0.3">
      <c r="A953" s="8">
        <v>46218</v>
      </c>
      <c r="B953" t="s">
        <v>40</v>
      </c>
      <c r="C953" t="s">
        <v>1190</v>
      </c>
      <c r="D953" s="1">
        <v>368.98</v>
      </c>
      <c r="E953" s="15">
        <f>EOMONTH(TablaEgresos[[#This Row],[Fecha]],-1)+1</f>
        <v>46204</v>
      </c>
      <c r="F953" s="14">
        <v>15282532</v>
      </c>
    </row>
    <row r="954" spans="1:6" x14ac:dyDescent="0.3">
      <c r="A954" s="8">
        <v>46218</v>
      </c>
      <c r="B954" t="s">
        <v>38</v>
      </c>
      <c r="C954" t="s">
        <v>1190</v>
      </c>
      <c r="D954" s="1">
        <v>22000</v>
      </c>
      <c r="E954" s="15">
        <f>EOMONTH(TablaEgresos[[#This Row],[Fecha]],-1)+1</f>
        <v>46204</v>
      </c>
      <c r="F954" s="14">
        <v>15282530</v>
      </c>
    </row>
    <row r="955" spans="1:6" x14ac:dyDescent="0.3">
      <c r="A955" s="8">
        <v>46218</v>
      </c>
      <c r="B955" t="s">
        <v>47</v>
      </c>
      <c r="C955" t="s">
        <v>77</v>
      </c>
      <c r="D955" s="1">
        <v>11933</v>
      </c>
      <c r="E955" s="15">
        <f>EOMONTH(TablaEgresos[[#This Row],[Fecha]],-1)+1</f>
        <v>46204</v>
      </c>
      <c r="F955" s="14">
        <v>15283555</v>
      </c>
    </row>
    <row r="956" spans="1:6" x14ac:dyDescent="0.3">
      <c r="A956" s="8">
        <v>46218</v>
      </c>
      <c r="B956" t="s">
        <v>38</v>
      </c>
      <c r="C956" t="s">
        <v>1190</v>
      </c>
      <c r="D956" s="1">
        <v>47.74</v>
      </c>
      <c r="E956" s="15">
        <f>EOMONTH(TablaEgresos[[#This Row],[Fecha]],-1)+1</f>
        <v>46204</v>
      </c>
      <c r="F956" s="14">
        <v>15283553</v>
      </c>
    </row>
    <row r="957" spans="1:6" x14ac:dyDescent="0.3">
      <c r="A957" s="8">
        <v>46218</v>
      </c>
      <c r="B957" t="s">
        <v>38</v>
      </c>
      <c r="C957" t="s">
        <v>1190</v>
      </c>
      <c r="D957" s="1">
        <v>7600</v>
      </c>
      <c r="E957" s="15">
        <f>EOMONTH(TablaEgresos[[#This Row],[Fecha]],-1)+1</f>
        <v>46204</v>
      </c>
      <c r="F957" s="14">
        <v>15283994</v>
      </c>
    </row>
    <row r="958" spans="1:6" x14ac:dyDescent="0.3">
      <c r="A958" s="8">
        <v>46218</v>
      </c>
      <c r="B958" t="s">
        <v>35</v>
      </c>
      <c r="C958" t="s">
        <v>95</v>
      </c>
      <c r="D958" s="1">
        <v>1900000</v>
      </c>
      <c r="E958" s="15">
        <f>EOMONTH(TablaEgresos[[#This Row],[Fecha]],-1)+1</f>
        <v>46204</v>
      </c>
      <c r="F958" s="14">
        <v>15283993</v>
      </c>
    </row>
    <row r="959" spans="1:6" x14ac:dyDescent="0.3">
      <c r="A959" s="8">
        <v>46218</v>
      </c>
      <c r="B959" t="s">
        <v>39</v>
      </c>
      <c r="C959" t="s">
        <v>78</v>
      </c>
      <c r="D959" s="1">
        <v>1931</v>
      </c>
      <c r="E959" s="15">
        <f>EOMONTH(TablaEgresos[[#This Row],[Fecha]],-1)+1</f>
        <v>46204</v>
      </c>
      <c r="F959" s="14">
        <v>15284340</v>
      </c>
    </row>
    <row r="960" spans="1:6" x14ac:dyDescent="0.3">
      <c r="A960" s="8">
        <v>46218</v>
      </c>
      <c r="B960" t="s">
        <v>40</v>
      </c>
      <c r="C960" t="s">
        <v>1190</v>
      </c>
      <c r="D960" s="1">
        <v>366.89</v>
      </c>
      <c r="E960" s="15">
        <f>EOMONTH(TablaEgresos[[#This Row],[Fecha]],-1)+1</f>
        <v>46204</v>
      </c>
      <c r="F960" s="14">
        <v>15284338</v>
      </c>
    </row>
    <row r="961" spans="1:6" x14ac:dyDescent="0.3">
      <c r="A961" s="8">
        <v>46218</v>
      </c>
      <c r="B961" t="s">
        <v>38</v>
      </c>
      <c r="C961" t="s">
        <v>1190</v>
      </c>
      <c r="D961" s="1">
        <v>22971.13</v>
      </c>
      <c r="E961" s="15">
        <f>EOMONTH(TablaEgresos[[#This Row],[Fecha]],-1)+1</f>
        <v>46204</v>
      </c>
      <c r="F961" s="14">
        <v>15284336</v>
      </c>
    </row>
    <row r="962" spans="1:6" x14ac:dyDescent="0.3">
      <c r="A962" s="8">
        <v>46218</v>
      </c>
      <c r="B962" t="s">
        <v>38</v>
      </c>
      <c r="C962" t="s">
        <v>1190</v>
      </c>
      <c r="D962" s="1">
        <v>48.4</v>
      </c>
      <c r="E962" s="15">
        <f>EOMONTH(TablaEgresos[[#This Row],[Fecha]],-1)+1</f>
        <v>46204</v>
      </c>
      <c r="F962" s="14">
        <v>15287695</v>
      </c>
    </row>
    <row r="963" spans="1:6" x14ac:dyDescent="0.3">
      <c r="A963" s="8">
        <v>46218</v>
      </c>
      <c r="B963" t="s">
        <v>35</v>
      </c>
      <c r="C963" t="s">
        <v>95</v>
      </c>
      <c r="D963" s="1">
        <v>12100</v>
      </c>
      <c r="E963" s="15">
        <f>EOMONTH(TablaEgresos[[#This Row],[Fecha]],-1)+1</f>
        <v>46204</v>
      </c>
      <c r="F963" s="14">
        <v>15287694</v>
      </c>
    </row>
    <row r="964" spans="1:6" x14ac:dyDescent="0.3">
      <c r="A964" s="8">
        <v>46218</v>
      </c>
      <c r="B964" t="s">
        <v>38</v>
      </c>
      <c r="C964" t="s">
        <v>1190</v>
      </c>
      <c r="D964" s="1">
        <v>136</v>
      </c>
      <c r="E964" s="15">
        <f>EOMONTH(TablaEgresos[[#This Row],[Fecha]],-1)+1</f>
        <v>46204</v>
      </c>
      <c r="F964" s="14">
        <v>15290813</v>
      </c>
    </row>
    <row r="965" spans="1:6" x14ac:dyDescent="0.3">
      <c r="A965" s="8">
        <v>46218</v>
      </c>
      <c r="B965" t="s">
        <v>35</v>
      </c>
      <c r="C965" t="s">
        <v>95</v>
      </c>
      <c r="D965" s="1">
        <v>34000</v>
      </c>
      <c r="E965" s="15">
        <f>EOMONTH(TablaEgresos[[#This Row],[Fecha]],-1)+1</f>
        <v>46204</v>
      </c>
      <c r="F965" s="14">
        <v>15290812</v>
      </c>
    </row>
    <row r="966" spans="1:6" x14ac:dyDescent="0.3">
      <c r="A966" s="8">
        <v>46218</v>
      </c>
      <c r="B966" t="s">
        <v>35</v>
      </c>
      <c r="C966" t="s">
        <v>95</v>
      </c>
      <c r="D966" s="1">
        <v>967826</v>
      </c>
      <c r="E966" s="15">
        <f>EOMONTH(TablaEgresos[[#This Row],[Fecha]],-1)+1</f>
        <v>46204</v>
      </c>
      <c r="F966" s="14">
        <v>15292652</v>
      </c>
    </row>
    <row r="967" spans="1:6" x14ac:dyDescent="0.3">
      <c r="A967" s="8">
        <v>46218</v>
      </c>
      <c r="B967" t="s">
        <v>38</v>
      </c>
      <c r="C967" t="s">
        <v>1190</v>
      </c>
      <c r="D967" s="1">
        <v>3871.31</v>
      </c>
      <c r="E967" s="15">
        <f>EOMONTH(TablaEgresos[[#This Row],[Fecha]],-1)+1</f>
        <v>46204</v>
      </c>
      <c r="F967" s="14">
        <v>15292653</v>
      </c>
    </row>
    <row r="968" spans="1:6" x14ac:dyDescent="0.3">
      <c r="A968" s="8">
        <v>46218</v>
      </c>
      <c r="B968" t="s">
        <v>38</v>
      </c>
      <c r="C968" t="s">
        <v>1190</v>
      </c>
      <c r="D968" s="1">
        <v>47.78</v>
      </c>
      <c r="E968" s="15">
        <f>EOMONTH(TablaEgresos[[#This Row],[Fecha]],-1)+1</f>
        <v>46204</v>
      </c>
      <c r="F968" s="14">
        <v>15293926</v>
      </c>
    </row>
    <row r="969" spans="1:6" x14ac:dyDescent="0.3">
      <c r="A969" s="8">
        <v>46218</v>
      </c>
      <c r="B969" t="s">
        <v>47</v>
      </c>
      <c r="C969" t="s">
        <v>77</v>
      </c>
      <c r="D969" s="1">
        <v>11944</v>
      </c>
      <c r="E969" s="15">
        <f>EOMONTH(TablaEgresos[[#This Row],[Fecha]],-1)+1</f>
        <v>46204</v>
      </c>
      <c r="F969" s="14">
        <v>15293927</v>
      </c>
    </row>
    <row r="970" spans="1:6" x14ac:dyDescent="0.3">
      <c r="A970" s="8">
        <v>46218</v>
      </c>
      <c r="B970" t="s">
        <v>341</v>
      </c>
      <c r="C970" t="s">
        <v>1186</v>
      </c>
      <c r="D970" s="1">
        <v>1849999.02</v>
      </c>
      <c r="E970" s="15">
        <f>EOMONTH(TablaEgresos[[#This Row],[Fecha]],-1)+1</f>
        <v>46204</v>
      </c>
      <c r="F970" s="14">
        <v>13735571</v>
      </c>
    </row>
    <row r="971" spans="1:6" x14ac:dyDescent="0.3">
      <c r="A971" s="8">
        <v>46218</v>
      </c>
      <c r="B971" t="s">
        <v>47</v>
      </c>
      <c r="C971" t="s">
        <v>77</v>
      </c>
      <c r="D971" s="1">
        <v>21994</v>
      </c>
      <c r="E971" s="15">
        <f>EOMONTH(TablaEgresos[[#This Row],[Fecha]],-1)+1</f>
        <v>46204</v>
      </c>
      <c r="F971" s="14">
        <v>15295324</v>
      </c>
    </row>
    <row r="972" spans="1:6" x14ac:dyDescent="0.3">
      <c r="A972" s="8">
        <v>46218</v>
      </c>
      <c r="B972" t="s">
        <v>38</v>
      </c>
      <c r="C972" t="s">
        <v>1190</v>
      </c>
      <c r="D972" s="1">
        <v>87.98</v>
      </c>
      <c r="E972" s="15">
        <f>EOMONTH(TablaEgresos[[#This Row],[Fecha]],-1)+1</f>
        <v>46204</v>
      </c>
      <c r="F972" s="14">
        <v>15295323</v>
      </c>
    </row>
    <row r="973" spans="1:6" x14ac:dyDescent="0.3">
      <c r="A973" s="8">
        <v>46218</v>
      </c>
      <c r="B973" t="s">
        <v>342</v>
      </c>
      <c r="C973" t="s">
        <v>79</v>
      </c>
      <c r="D973" s="1">
        <v>5550000</v>
      </c>
      <c r="E973" s="15">
        <f>EOMONTH(TablaEgresos[[#This Row],[Fecha]],-1)+1</f>
        <v>46204</v>
      </c>
      <c r="F973" s="14">
        <v>9601434</v>
      </c>
    </row>
    <row r="974" spans="1:6" x14ac:dyDescent="0.3">
      <c r="A974" s="8">
        <v>46218</v>
      </c>
      <c r="B974" t="s">
        <v>343</v>
      </c>
      <c r="C974" t="s">
        <v>79</v>
      </c>
      <c r="D974" s="1">
        <v>5550000</v>
      </c>
      <c r="E974" s="15">
        <f>EOMONTH(TablaEgresos[[#This Row],[Fecha]],-1)+1</f>
        <v>46204</v>
      </c>
      <c r="F974" s="14">
        <v>9601486</v>
      </c>
    </row>
    <row r="975" spans="1:6" x14ac:dyDescent="0.3">
      <c r="A975" s="8">
        <v>46218</v>
      </c>
      <c r="B975" t="s">
        <v>344</v>
      </c>
      <c r="C975" t="s">
        <v>79</v>
      </c>
      <c r="D975" s="1">
        <v>5499999.0199999996</v>
      </c>
      <c r="E975" s="15">
        <f>EOMONTH(TablaEgresos[[#This Row],[Fecha]],-1)+1</f>
        <v>46204</v>
      </c>
      <c r="F975" s="14">
        <v>13735789</v>
      </c>
    </row>
    <row r="976" spans="1:6" x14ac:dyDescent="0.3">
      <c r="A976" s="8">
        <v>46218</v>
      </c>
      <c r="B976" t="s">
        <v>47</v>
      </c>
      <c r="C976" t="s">
        <v>77</v>
      </c>
      <c r="D976" s="1">
        <v>22234</v>
      </c>
      <c r="E976" s="15">
        <f>EOMONTH(TablaEgresos[[#This Row],[Fecha]],-1)+1</f>
        <v>46204</v>
      </c>
      <c r="F976" s="14">
        <v>15295949</v>
      </c>
    </row>
    <row r="977" spans="1:6" x14ac:dyDescent="0.3">
      <c r="A977" s="8">
        <v>46218</v>
      </c>
      <c r="B977" t="s">
        <v>38</v>
      </c>
      <c r="C977" t="s">
        <v>1190</v>
      </c>
      <c r="D977" s="1">
        <v>88.94</v>
      </c>
      <c r="E977" s="15">
        <f>EOMONTH(TablaEgresos[[#This Row],[Fecha]],-1)+1</f>
        <v>46204</v>
      </c>
      <c r="F977" s="14">
        <v>15295948</v>
      </c>
    </row>
    <row r="978" spans="1:6" x14ac:dyDescent="0.3">
      <c r="A978" s="8">
        <v>46218</v>
      </c>
      <c r="B978" t="s">
        <v>345</v>
      </c>
      <c r="C978" t="s">
        <v>1185</v>
      </c>
      <c r="D978" s="1">
        <v>5742780.9800000004</v>
      </c>
      <c r="E978" s="15">
        <f>EOMONTH(TablaEgresos[[#This Row],[Fecha]],-1)+1</f>
        <v>46204</v>
      </c>
      <c r="F978" s="14">
        <v>13736947</v>
      </c>
    </row>
    <row r="979" spans="1:6" x14ac:dyDescent="0.3">
      <c r="A979" s="8">
        <v>46218</v>
      </c>
      <c r="B979" t="s">
        <v>39</v>
      </c>
      <c r="C979" t="s">
        <v>78</v>
      </c>
      <c r="D979" s="1">
        <v>1935</v>
      </c>
      <c r="E979" s="15">
        <f>EOMONTH(TablaEgresos[[#This Row],[Fecha]],-1)+1</f>
        <v>46204</v>
      </c>
      <c r="F979" s="14">
        <v>15297761</v>
      </c>
    </row>
    <row r="980" spans="1:6" x14ac:dyDescent="0.3">
      <c r="A980" s="8">
        <v>46218</v>
      </c>
      <c r="B980" t="s">
        <v>40</v>
      </c>
      <c r="C980" t="s">
        <v>1190</v>
      </c>
      <c r="D980" s="1">
        <v>367.65</v>
      </c>
      <c r="E980" s="15">
        <f>EOMONTH(TablaEgresos[[#This Row],[Fecha]],-1)+1</f>
        <v>46204</v>
      </c>
      <c r="F980" s="14">
        <v>15297760</v>
      </c>
    </row>
    <row r="981" spans="1:6" x14ac:dyDescent="0.3">
      <c r="A981" s="8">
        <v>46218</v>
      </c>
      <c r="B981" t="s">
        <v>38</v>
      </c>
      <c r="C981" t="s">
        <v>1190</v>
      </c>
      <c r="D981" s="1">
        <v>13200</v>
      </c>
      <c r="E981" s="15">
        <f>EOMONTH(TablaEgresos[[#This Row],[Fecha]],-1)+1</f>
        <v>46204</v>
      </c>
      <c r="F981" s="14">
        <v>15297759</v>
      </c>
    </row>
    <row r="982" spans="1:6" x14ac:dyDescent="0.3">
      <c r="A982" s="8">
        <v>46218</v>
      </c>
      <c r="B982" t="s">
        <v>346</v>
      </c>
      <c r="C982" t="s">
        <v>1186</v>
      </c>
      <c r="D982" s="1">
        <v>3299999.35</v>
      </c>
      <c r="E982" s="15">
        <f>EOMONTH(TablaEgresos[[#This Row],[Fecha]],-1)+1</f>
        <v>46204</v>
      </c>
      <c r="F982" s="14">
        <v>13745764</v>
      </c>
    </row>
    <row r="983" spans="1:6" x14ac:dyDescent="0.3">
      <c r="A983" s="8">
        <v>46219</v>
      </c>
      <c r="B983" t="s">
        <v>1164</v>
      </c>
      <c r="C983" t="s">
        <v>76</v>
      </c>
      <c r="D983" s="1">
        <v>106000</v>
      </c>
      <c r="E983" s="15">
        <v>46204</v>
      </c>
      <c r="F983" s="14">
        <v>36780223</v>
      </c>
    </row>
    <row r="984" spans="1:6" x14ac:dyDescent="0.3">
      <c r="A984" s="8">
        <v>46219</v>
      </c>
      <c r="B984" t="s">
        <v>1165</v>
      </c>
      <c r="C984" t="s">
        <v>1190</v>
      </c>
      <c r="D984" s="1">
        <v>424</v>
      </c>
      <c r="E984" s="15">
        <v>46204</v>
      </c>
      <c r="F984" s="14">
        <v>15312821</v>
      </c>
    </row>
    <row r="985" spans="1:6" x14ac:dyDescent="0.3">
      <c r="A985" s="8">
        <v>46219</v>
      </c>
      <c r="B985" t="s">
        <v>1165</v>
      </c>
      <c r="C985" t="s">
        <v>1190</v>
      </c>
      <c r="D985" s="1">
        <v>175</v>
      </c>
      <c r="E985" s="15">
        <v>46204</v>
      </c>
      <c r="F985" s="14">
        <v>15318759</v>
      </c>
    </row>
    <row r="986" spans="1:6" x14ac:dyDescent="0.3">
      <c r="A986" s="8">
        <v>46219</v>
      </c>
      <c r="B986" t="s">
        <v>492</v>
      </c>
      <c r="C986" t="s">
        <v>81</v>
      </c>
      <c r="D986" s="1">
        <v>43950</v>
      </c>
      <c r="E986" s="15">
        <v>46204</v>
      </c>
      <c r="F986" s="14">
        <v>15060696</v>
      </c>
    </row>
    <row r="987" spans="1:6" x14ac:dyDescent="0.3">
      <c r="A987" s="8">
        <v>46219</v>
      </c>
      <c r="B987" t="s">
        <v>1165</v>
      </c>
      <c r="C987" t="s">
        <v>1190</v>
      </c>
      <c r="D987" s="1">
        <v>4288</v>
      </c>
      <c r="E987" s="15">
        <v>46204</v>
      </c>
      <c r="F987" s="14">
        <v>15329867</v>
      </c>
    </row>
    <row r="988" spans="1:6" x14ac:dyDescent="0.3">
      <c r="A988" s="8">
        <v>46219</v>
      </c>
      <c r="B988" t="s">
        <v>819</v>
      </c>
      <c r="C988" t="s">
        <v>80</v>
      </c>
      <c r="D988" s="1">
        <v>1072041</v>
      </c>
      <c r="E988" s="15">
        <v>46204</v>
      </c>
      <c r="F988" s="14">
        <v>15071514</v>
      </c>
    </row>
    <row r="989" spans="1:6" x14ac:dyDescent="0.3">
      <c r="A989" s="8"/>
      <c r="D989" s="1"/>
      <c r="E989" s="15"/>
      <c r="F989" s="14"/>
    </row>
    <row r="990" spans="1:6" x14ac:dyDescent="0.3">
      <c r="A990" s="8"/>
      <c r="D990" s="1"/>
      <c r="E990" s="15"/>
      <c r="F990" s="14"/>
    </row>
    <row r="991" spans="1:6" x14ac:dyDescent="0.3">
      <c r="A991" s="8"/>
      <c r="D991" s="1"/>
      <c r="E991" s="15"/>
      <c r="F991" s="14"/>
    </row>
    <row r="992" spans="1:6" x14ac:dyDescent="0.3">
      <c r="A992" s="8"/>
      <c r="D992" s="1"/>
      <c r="E992" s="15"/>
      <c r="F992" s="14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5E7C211-1AC2-4AA2-8199-E9F4E8BCC8AD}">
          <x14:formula1>
            <xm:f>Presupuesto!$A$102:$A$132</xm:f>
          </x14:formula1>
          <xm:sqref>C2:C1200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D2C55-5D86-4868-AE64-4524163F36B7}">
  <sheetPr>
    <tabColor rgb="FF9AA0A6"/>
  </sheetPr>
  <dimension ref="A1:E193"/>
  <sheetViews>
    <sheetView workbookViewId="0">
      <selection activeCell="B22" sqref="B22"/>
    </sheetView>
  </sheetViews>
  <sheetFormatPr baseColWidth="10" defaultRowHeight="14.4" x14ac:dyDescent="0.3"/>
  <cols>
    <col min="1" max="1" width="14.77734375" customWidth="1"/>
    <col min="2" max="2" width="48.109375" customWidth="1"/>
    <col min="3" max="5" width="17.5546875" customWidth="1"/>
  </cols>
  <sheetData>
    <row r="1" spans="1:5" x14ac:dyDescent="0.3">
      <c r="A1" t="s">
        <v>33</v>
      </c>
      <c r="B1" t="s">
        <v>34</v>
      </c>
      <c r="C1" t="s">
        <v>74</v>
      </c>
      <c r="D1" t="s">
        <v>75</v>
      </c>
      <c r="E1" t="s">
        <v>103</v>
      </c>
    </row>
    <row r="2" spans="1:5" x14ac:dyDescent="0.3">
      <c r="A2" s="8">
        <v>46086</v>
      </c>
      <c r="B2" t="s">
        <v>293</v>
      </c>
      <c r="C2" s="1">
        <v>3800000</v>
      </c>
      <c r="D2" s="15">
        <v>46082</v>
      </c>
      <c r="E2" s="14">
        <v>11495562</v>
      </c>
    </row>
    <row r="3" spans="1:5" x14ac:dyDescent="0.3">
      <c r="A3" s="8">
        <v>46086</v>
      </c>
      <c r="B3" t="s">
        <v>293</v>
      </c>
      <c r="C3" s="1">
        <v>2000000</v>
      </c>
      <c r="D3" s="15">
        <v>46082</v>
      </c>
      <c r="E3" s="14">
        <v>11499515</v>
      </c>
    </row>
    <row r="4" spans="1:5" x14ac:dyDescent="0.3">
      <c r="A4" s="8">
        <v>46111</v>
      </c>
      <c r="B4" t="s">
        <v>293</v>
      </c>
      <c r="C4" s="1">
        <v>5490000</v>
      </c>
      <c r="D4" s="15">
        <v>46082</v>
      </c>
      <c r="E4" s="14">
        <v>12127838</v>
      </c>
    </row>
    <row r="5" spans="1:5" x14ac:dyDescent="0.3">
      <c r="A5" s="8">
        <v>46111</v>
      </c>
      <c r="B5" t="s">
        <v>293</v>
      </c>
      <c r="C5" s="1">
        <v>1050000</v>
      </c>
      <c r="D5" s="15">
        <v>46082</v>
      </c>
      <c r="E5" s="14">
        <v>12133642</v>
      </c>
    </row>
    <row r="6" spans="1:5" x14ac:dyDescent="0.3">
      <c r="A6" s="8">
        <v>46111</v>
      </c>
      <c r="B6" t="s">
        <v>293</v>
      </c>
      <c r="C6" s="1">
        <v>842000</v>
      </c>
      <c r="D6" s="15">
        <v>46082</v>
      </c>
      <c r="E6" s="14">
        <v>12135928</v>
      </c>
    </row>
    <row r="7" spans="1:5" x14ac:dyDescent="0.3">
      <c r="A7" s="8">
        <v>46112</v>
      </c>
      <c r="B7" t="s">
        <v>293</v>
      </c>
      <c r="C7" s="1">
        <v>836965</v>
      </c>
      <c r="D7" s="15">
        <v>46082</v>
      </c>
      <c r="E7" s="14">
        <v>12164634</v>
      </c>
    </row>
    <row r="8" spans="1:5" x14ac:dyDescent="0.3">
      <c r="A8" s="8">
        <v>46112</v>
      </c>
      <c r="B8" t="s">
        <v>1162</v>
      </c>
      <c r="C8" s="1">
        <v>361656.15</v>
      </c>
      <c r="D8" s="15">
        <v>46082</v>
      </c>
      <c r="E8" s="14">
        <v>12156353</v>
      </c>
    </row>
    <row r="9" spans="1:5" x14ac:dyDescent="0.3">
      <c r="A9" s="8">
        <v>46112</v>
      </c>
      <c r="B9" t="s">
        <v>293</v>
      </c>
      <c r="C9" s="1">
        <v>700000</v>
      </c>
      <c r="D9" s="15">
        <v>46082</v>
      </c>
      <c r="E9" s="14">
        <v>12169514</v>
      </c>
    </row>
    <row r="10" spans="1:5" x14ac:dyDescent="0.3">
      <c r="A10" s="8">
        <v>46112</v>
      </c>
      <c r="B10" t="s">
        <v>1162</v>
      </c>
      <c r="C10" s="1">
        <v>988303.72</v>
      </c>
      <c r="D10" s="15">
        <v>46082</v>
      </c>
      <c r="E10" s="14">
        <v>12164483</v>
      </c>
    </row>
    <row r="11" spans="1:5" x14ac:dyDescent="0.3">
      <c r="A11" s="8">
        <v>46113</v>
      </c>
      <c r="B11" t="s">
        <v>293</v>
      </c>
      <c r="C11" s="1">
        <v>1249086</v>
      </c>
      <c r="D11" s="15">
        <v>46113</v>
      </c>
      <c r="E11" s="14">
        <v>30361247</v>
      </c>
    </row>
    <row r="12" spans="1:5" x14ac:dyDescent="0.3">
      <c r="A12" s="8">
        <v>46113</v>
      </c>
      <c r="B12" t="s">
        <v>293</v>
      </c>
      <c r="C12" s="1">
        <v>1525000</v>
      </c>
      <c r="D12" s="15">
        <v>46113</v>
      </c>
      <c r="E12" s="14">
        <v>30389158</v>
      </c>
    </row>
    <row r="13" spans="1:5" x14ac:dyDescent="0.3">
      <c r="A13" s="8">
        <v>46114</v>
      </c>
      <c r="B13" t="s">
        <v>293</v>
      </c>
      <c r="C13" s="1">
        <v>465000</v>
      </c>
      <c r="D13" s="15">
        <v>46113</v>
      </c>
      <c r="E13" s="14">
        <v>30456631</v>
      </c>
    </row>
    <row r="14" spans="1:5" x14ac:dyDescent="0.3">
      <c r="A14" s="8">
        <v>46116</v>
      </c>
      <c r="B14" t="s">
        <v>477</v>
      </c>
      <c r="C14" s="1">
        <v>3733.3</v>
      </c>
      <c r="D14" s="15">
        <v>46113</v>
      </c>
      <c r="E14" s="14"/>
    </row>
    <row r="15" spans="1:5" x14ac:dyDescent="0.3">
      <c r="A15" s="8">
        <v>46116</v>
      </c>
      <c r="B15" t="s">
        <v>293</v>
      </c>
      <c r="C15" s="1">
        <v>629400</v>
      </c>
      <c r="D15" s="15">
        <v>46113</v>
      </c>
      <c r="E15" s="14">
        <v>30524870</v>
      </c>
    </row>
    <row r="16" spans="1:5" x14ac:dyDescent="0.3">
      <c r="A16" s="8">
        <v>46118</v>
      </c>
      <c r="B16" t="s">
        <v>293</v>
      </c>
      <c r="C16" s="1">
        <v>1890600</v>
      </c>
      <c r="D16" s="15">
        <v>46113</v>
      </c>
      <c r="E16" s="14">
        <v>30619696</v>
      </c>
    </row>
    <row r="17" spans="1:5" x14ac:dyDescent="0.3">
      <c r="A17" s="8">
        <v>46119</v>
      </c>
      <c r="B17" t="s">
        <v>293</v>
      </c>
      <c r="C17" s="1">
        <v>3207500</v>
      </c>
      <c r="D17" s="15">
        <v>46113</v>
      </c>
      <c r="E17" s="14">
        <v>30724001</v>
      </c>
    </row>
    <row r="18" spans="1:5" x14ac:dyDescent="0.3">
      <c r="A18" s="8">
        <v>46120</v>
      </c>
      <c r="B18" t="s">
        <v>293</v>
      </c>
      <c r="C18" s="1">
        <v>1280000</v>
      </c>
      <c r="D18" s="15">
        <v>46113</v>
      </c>
      <c r="E18" s="14">
        <v>30738672</v>
      </c>
    </row>
    <row r="19" spans="1:5" x14ac:dyDescent="0.3">
      <c r="A19" s="8">
        <v>46120</v>
      </c>
      <c r="B19" t="s">
        <v>293</v>
      </c>
      <c r="C19" s="1">
        <v>1700000</v>
      </c>
      <c r="D19" s="15">
        <v>46113</v>
      </c>
      <c r="E19" s="14">
        <v>30771092</v>
      </c>
    </row>
    <row r="20" spans="1:5" x14ac:dyDescent="0.3">
      <c r="A20" s="8">
        <v>46120</v>
      </c>
      <c r="B20" t="s">
        <v>295</v>
      </c>
      <c r="C20" s="1">
        <v>15</v>
      </c>
      <c r="D20" s="15">
        <v>46113</v>
      </c>
      <c r="E20" s="14">
        <v>12020050</v>
      </c>
    </row>
    <row r="21" spans="1:5" x14ac:dyDescent="0.3">
      <c r="A21" s="8">
        <v>46120</v>
      </c>
      <c r="B21" t="s">
        <v>477</v>
      </c>
      <c r="C21" s="1">
        <v>3749.33</v>
      </c>
      <c r="D21" s="15">
        <v>46113</v>
      </c>
      <c r="E21" s="14"/>
    </row>
    <row r="22" spans="1:5" x14ac:dyDescent="0.3">
      <c r="A22" s="8">
        <v>46120</v>
      </c>
      <c r="B22" t="s">
        <v>293</v>
      </c>
      <c r="C22" s="1">
        <v>3000000</v>
      </c>
      <c r="D22" s="15">
        <v>46113</v>
      </c>
      <c r="E22" s="14">
        <v>30848868</v>
      </c>
    </row>
    <row r="23" spans="1:5" x14ac:dyDescent="0.3">
      <c r="A23" s="8">
        <v>46120</v>
      </c>
      <c r="B23" t="s">
        <v>293</v>
      </c>
      <c r="C23" s="1">
        <v>2030000</v>
      </c>
      <c r="D23" s="15">
        <v>46113</v>
      </c>
      <c r="E23" s="14">
        <v>30848904</v>
      </c>
    </row>
    <row r="24" spans="1:5" x14ac:dyDescent="0.3">
      <c r="A24" s="8">
        <v>46121</v>
      </c>
      <c r="B24" t="s">
        <v>293</v>
      </c>
      <c r="C24" s="1">
        <v>177000</v>
      </c>
      <c r="D24" s="15">
        <v>46113</v>
      </c>
      <c r="E24" s="14">
        <v>30869787</v>
      </c>
    </row>
    <row r="25" spans="1:5" x14ac:dyDescent="0.3">
      <c r="A25" s="8">
        <v>46121</v>
      </c>
      <c r="B25" t="s">
        <v>293</v>
      </c>
      <c r="C25" s="1">
        <v>331000</v>
      </c>
      <c r="D25" s="15">
        <v>46113</v>
      </c>
      <c r="E25" s="14">
        <v>30888259</v>
      </c>
    </row>
    <row r="26" spans="1:5" x14ac:dyDescent="0.3">
      <c r="A26" s="8">
        <v>46121</v>
      </c>
      <c r="B26" t="s">
        <v>293</v>
      </c>
      <c r="C26" s="1">
        <v>179000</v>
      </c>
      <c r="D26" s="15">
        <v>46113</v>
      </c>
      <c r="E26" s="14">
        <v>30893152</v>
      </c>
    </row>
    <row r="27" spans="1:5" x14ac:dyDescent="0.3">
      <c r="A27" s="8">
        <v>46122</v>
      </c>
      <c r="B27" t="s">
        <v>293</v>
      </c>
      <c r="C27" s="1">
        <v>160000</v>
      </c>
      <c r="D27" s="15">
        <v>46113</v>
      </c>
      <c r="E27" s="14">
        <v>30925586</v>
      </c>
    </row>
    <row r="28" spans="1:5" x14ac:dyDescent="0.3">
      <c r="A28" s="8">
        <v>46122</v>
      </c>
      <c r="B28" t="s">
        <v>295</v>
      </c>
      <c r="C28" s="1">
        <v>14.96</v>
      </c>
      <c r="D28" s="15">
        <v>46113</v>
      </c>
      <c r="E28" s="14">
        <v>12067702</v>
      </c>
    </row>
    <row r="29" spans="1:5" x14ac:dyDescent="0.3">
      <c r="A29" s="8">
        <v>46122</v>
      </c>
      <c r="B29" t="s">
        <v>478</v>
      </c>
      <c r="C29" s="1">
        <v>3737.7</v>
      </c>
      <c r="D29" s="15">
        <v>46113</v>
      </c>
      <c r="E29" s="14"/>
    </row>
    <row r="30" spans="1:5" x14ac:dyDescent="0.3">
      <c r="A30" s="8">
        <v>46122</v>
      </c>
      <c r="B30" t="s">
        <v>293</v>
      </c>
      <c r="C30" s="1">
        <v>998000</v>
      </c>
      <c r="D30" s="15">
        <v>46113</v>
      </c>
      <c r="E30" s="14">
        <v>30943563</v>
      </c>
    </row>
    <row r="31" spans="1:5" x14ac:dyDescent="0.3">
      <c r="A31" s="8">
        <v>46123</v>
      </c>
      <c r="B31" t="s">
        <v>293</v>
      </c>
      <c r="C31" s="1">
        <v>1135000</v>
      </c>
      <c r="D31" s="15">
        <v>46113</v>
      </c>
      <c r="E31" s="14">
        <v>30985355</v>
      </c>
    </row>
    <row r="32" spans="1:5" x14ac:dyDescent="0.3">
      <c r="A32" s="8">
        <v>46125</v>
      </c>
      <c r="B32" t="s">
        <v>295</v>
      </c>
      <c r="C32" s="1">
        <v>14.78</v>
      </c>
      <c r="D32" s="15">
        <v>46113</v>
      </c>
      <c r="E32" s="14">
        <v>12148003</v>
      </c>
    </row>
    <row r="33" spans="1:5" x14ac:dyDescent="0.3">
      <c r="A33" s="8">
        <v>46125</v>
      </c>
      <c r="B33" t="s">
        <v>478</v>
      </c>
      <c r="C33" s="1">
        <v>3693</v>
      </c>
      <c r="D33" s="15">
        <v>46113</v>
      </c>
      <c r="E33" s="14"/>
    </row>
    <row r="34" spans="1:5" x14ac:dyDescent="0.3">
      <c r="A34" s="8">
        <v>46125</v>
      </c>
      <c r="B34" t="s">
        <v>293</v>
      </c>
      <c r="C34" s="1">
        <v>1580000</v>
      </c>
      <c r="D34" s="15">
        <v>46113</v>
      </c>
      <c r="E34" s="14">
        <v>31076255</v>
      </c>
    </row>
    <row r="35" spans="1:5" x14ac:dyDescent="0.3">
      <c r="A35" s="8">
        <v>46127</v>
      </c>
      <c r="B35" t="s">
        <v>479</v>
      </c>
      <c r="C35" s="1">
        <v>2000</v>
      </c>
      <c r="D35" s="15">
        <v>46113</v>
      </c>
      <c r="E35" s="14">
        <v>31151421</v>
      </c>
    </row>
    <row r="36" spans="1:5" x14ac:dyDescent="0.3">
      <c r="A36" s="8">
        <v>46127</v>
      </c>
      <c r="B36" t="s">
        <v>293</v>
      </c>
      <c r="C36" s="1">
        <v>2295000</v>
      </c>
      <c r="D36" s="15">
        <v>46113</v>
      </c>
      <c r="E36" s="14">
        <v>31156007</v>
      </c>
    </row>
    <row r="37" spans="1:5" x14ac:dyDescent="0.3">
      <c r="A37" s="8">
        <v>46127</v>
      </c>
      <c r="B37" t="s">
        <v>293</v>
      </c>
      <c r="C37" s="1">
        <v>890000</v>
      </c>
      <c r="D37" s="15">
        <v>46113</v>
      </c>
      <c r="E37" s="14">
        <v>31186688</v>
      </c>
    </row>
    <row r="38" spans="1:5" x14ac:dyDescent="0.3">
      <c r="A38" s="8">
        <v>46128</v>
      </c>
      <c r="B38" t="s">
        <v>479</v>
      </c>
      <c r="C38" s="1">
        <v>30000000</v>
      </c>
      <c r="D38" s="15">
        <v>46113</v>
      </c>
      <c r="E38" s="14">
        <v>31233024</v>
      </c>
    </row>
    <row r="39" spans="1:5" x14ac:dyDescent="0.3">
      <c r="A39" s="8">
        <v>46128</v>
      </c>
      <c r="B39" t="s">
        <v>479</v>
      </c>
      <c r="C39" s="1">
        <v>60000000</v>
      </c>
      <c r="D39" s="15">
        <v>46113</v>
      </c>
      <c r="E39" s="14">
        <v>31233025</v>
      </c>
    </row>
    <row r="40" spans="1:5" x14ac:dyDescent="0.3">
      <c r="A40" s="8">
        <v>46128</v>
      </c>
      <c r="B40" t="s">
        <v>293</v>
      </c>
      <c r="C40" s="1">
        <v>3455000</v>
      </c>
      <c r="D40" s="15">
        <v>46113</v>
      </c>
      <c r="E40" s="14">
        <v>31234634</v>
      </c>
    </row>
    <row r="41" spans="1:5" x14ac:dyDescent="0.3">
      <c r="A41" s="8">
        <v>46129</v>
      </c>
      <c r="B41" t="s">
        <v>479</v>
      </c>
      <c r="C41" s="1">
        <v>59000000</v>
      </c>
      <c r="D41" s="15">
        <v>46113</v>
      </c>
      <c r="E41" s="14">
        <v>31286900</v>
      </c>
    </row>
    <row r="42" spans="1:5" x14ac:dyDescent="0.3">
      <c r="A42" s="8">
        <v>46129</v>
      </c>
      <c r="B42" t="s">
        <v>479</v>
      </c>
      <c r="C42" s="1">
        <v>1000000</v>
      </c>
      <c r="D42" s="15">
        <v>46113</v>
      </c>
      <c r="E42" s="14">
        <v>31286902</v>
      </c>
    </row>
    <row r="43" spans="1:5" x14ac:dyDescent="0.3">
      <c r="A43" s="8">
        <v>46129</v>
      </c>
      <c r="B43" t="s">
        <v>293</v>
      </c>
      <c r="C43" s="1">
        <v>3190000</v>
      </c>
      <c r="D43" s="15">
        <v>46113</v>
      </c>
      <c r="E43" s="14">
        <v>31290847</v>
      </c>
    </row>
    <row r="44" spans="1:5" x14ac:dyDescent="0.3">
      <c r="A44" s="8">
        <v>46130</v>
      </c>
      <c r="B44" t="s">
        <v>293</v>
      </c>
      <c r="C44" s="1">
        <v>820000</v>
      </c>
      <c r="D44" s="15">
        <v>46113</v>
      </c>
      <c r="E44" s="14">
        <v>31331087</v>
      </c>
    </row>
    <row r="45" spans="1:5" x14ac:dyDescent="0.3">
      <c r="A45" s="8">
        <v>46132</v>
      </c>
      <c r="B45" t="s">
        <v>293</v>
      </c>
      <c r="C45" s="1">
        <v>5120000</v>
      </c>
      <c r="D45" s="15">
        <v>46113</v>
      </c>
      <c r="E45" s="14">
        <v>31416196</v>
      </c>
    </row>
    <row r="46" spans="1:5" x14ac:dyDescent="0.3">
      <c r="A46" s="8">
        <v>46133</v>
      </c>
      <c r="B46" t="s">
        <v>293</v>
      </c>
      <c r="C46" s="1">
        <v>2160000</v>
      </c>
      <c r="D46" s="15">
        <v>46113</v>
      </c>
      <c r="E46" s="14">
        <v>31444301</v>
      </c>
    </row>
    <row r="47" spans="1:5" x14ac:dyDescent="0.3">
      <c r="A47" s="8">
        <v>46133</v>
      </c>
      <c r="B47" t="s">
        <v>293</v>
      </c>
      <c r="C47" s="1">
        <v>1245000</v>
      </c>
      <c r="D47" s="15">
        <v>46113</v>
      </c>
      <c r="E47" s="14">
        <v>31459692</v>
      </c>
    </row>
    <row r="48" spans="1:5" x14ac:dyDescent="0.3">
      <c r="A48" s="8">
        <v>46135</v>
      </c>
      <c r="B48" t="s">
        <v>293</v>
      </c>
      <c r="C48" s="1">
        <v>5290000</v>
      </c>
      <c r="D48" s="15">
        <v>46113</v>
      </c>
      <c r="E48" s="14">
        <v>31575180</v>
      </c>
    </row>
    <row r="49" spans="1:5" x14ac:dyDescent="0.3">
      <c r="A49" s="8">
        <v>46139</v>
      </c>
      <c r="B49" t="s">
        <v>296</v>
      </c>
      <c r="C49" s="1">
        <v>3950000</v>
      </c>
      <c r="D49" s="15">
        <v>46113</v>
      </c>
      <c r="E49" s="14">
        <v>31742468</v>
      </c>
    </row>
    <row r="50" spans="1:5" x14ac:dyDescent="0.3">
      <c r="A50" s="8">
        <v>46139</v>
      </c>
      <c r="B50" t="s">
        <v>293</v>
      </c>
      <c r="C50" s="1">
        <v>4115000</v>
      </c>
      <c r="D50" s="15">
        <v>46113</v>
      </c>
      <c r="E50" s="14">
        <v>31753372</v>
      </c>
    </row>
    <row r="51" spans="1:5" x14ac:dyDescent="0.3">
      <c r="A51" s="8">
        <v>46140</v>
      </c>
      <c r="B51" t="s">
        <v>293</v>
      </c>
      <c r="C51" s="1">
        <v>2905000</v>
      </c>
      <c r="D51" s="15">
        <v>46113</v>
      </c>
      <c r="E51" s="14">
        <v>31798608</v>
      </c>
    </row>
    <row r="52" spans="1:5" x14ac:dyDescent="0.3">
      <c r="A52" s="8">
        <v>46142</v>
      </c>
      <c r="B52" t="s">
        <v>293</v>
      </c>
      <c r="C52" s="1">
        <v>3678000</v>
      </c>
      <c r="D52" s="15">
        <v>46113</v>
      </c>
      <c r="E52" s="14">
        <v>31900192</v>
      </c>
    </row>
    <row r="53" spans="1:5" x14ac:dyDescent="0.3">
      <c r="A53" s="8">
        <v>46146</v>
      </c>
      <c r="B53" t="s">
        <v>296</v>
      </c>
      <c r="C53" s="1">
        <v>6990364</v>
      </c>
      <c r="D53" s="15">
        <v>46143</v>
      </c>
      <c r="E53" s="14" t="s">
        <v>757</v>
      </c>
    </row>
    <row r="54" spans="1:5" x14ac:dyDescent="0.3">
      <c r="A54" s="8">
        <v>46148</v>
      </c>
      <c r="B54" t="s">
        <v>293</v>
      </c>
      <c r="C54" s="1">
        <v>5345219</v>
      </c>
      <c r="D54" s="15">
        <v>46143</v>
      </c>
      <c r="E54" s="14" t="s">
        <v>758</v>
      </c>
    </row>
    <row r="55" spans="1:5" x14ac:dyDescent="0.3">
      <c r="A55" s="8">
        <v>46148</v>
      </c>
      <c r="B55" t="s">
        <v>295</v>
      </c>
      <c r="C55" s="1">
        <v>18.84</v>
      </c>
      <c r="D55" s="15">
        <v>46143</v>
      </c>
      <c r="E55" s="14" t="s">
        <v>759</v>
      </c>
    </row>
    <row r="56" spans="1:5" x14ac:dyDescent="0.3">
      <c r="A56" s="8">
        <v>46148</v>
      </c>
      <c r="B56" t="s">
        <v>294</v>
      </c>
      <c r="C56" s="1">
        <v>4709.2700000000004</v>
      </c>
      <c r="D56" s="15">
        <v>46143</v>
      </c>
      <c r="E56" s="14" t="s">
        <v>536</v>
      </c>
    </row>
    <row r="57" spans="1:5" x14ac:dyDescent="0.3">
      <c r="A57" s="8">
        <v>46149</v>
      </c>
      <c r="B57" t="s">
        <v>293</v>
      </c>
      <c r="C57" s="1">
        <v>471000</v>
      </c>
      <c r="D57" s="15">
        <v>46143</v>
      </c>
      <c r="E57" s="14" t="s">
        <v>760</v>
      </c>
    </row>
    <row r="58" spans="1:5" x14ac:dyDescent="0.3">
      <c r="A58" s="8">
        <v>46150</v>
      </c>
      <c r="B58" t="s">
        <v>297</v>
      </c>
      <c r="C58" s="1">
        <v>44412.61</v>
      </c>
      <c r="D58" s="15">
        <v>46143</v>
      </c>
      <c r="E58" s="14" t="s">
        <v>761</v>
      </c>
    </row>
    <row r="59" spans="1:5" x14ac:dyDescent="0.3">
      <c r="A59" s="8">
        <v>46152</v>
      </c>
      <c r="B59" t="s">
        <v>295</v>
      </c>
      <c r="C59" s="1">
        <v>15.13</v>
      </c>
      <c r="D59" s="15">
        <v>46143</v>
      </c>
      <c r="E59" s="14" t="s">
        <v>762</v>
      </c>
    </row>
    <row r="60" spans="1:5" x14ac:dyDescent="0.3">
      <c r="A60" s="8">
        <v>46152</v>
      </c>
      <c r="B60" t="s">
        <v>294</v>
      </c>
      <c r="C60" s="1">
        <v>3780.57</v>
      </c>
      <c r="D60" s="15">
        <v>46143</v>
      </c>
      <c r="E60" s="14" t="s">
        <v>536</v>
      </c>
    </row>
    <row r="61" spans="1:5" x14ac:dyDescent="0.3">
      <c r="A61" s="8">
        <v>46152</v>
      </c>
      <c r="B61" t="s">
        <v>293</v>
      </c>
      <c r="C61" s="1">
        <v>3110000</v>
      </c>
      <c r="D61" s="15">
        <v>46143</v>
      </c>
      <c r="E61" s="14" t="s">
        <v>763</v>
      </c>
    </row>
    <row r="62" spans="1:5" x14ac:dyDescent="0.3">
      <c r="A62" s="8">
        <v>46152</v>
      </c>
      <c r="B62" t="s">
        <v>295</v>
      </c>
      <c r="C62" s="1">
        <v>273.7</v>
      </c>
      <c r="D62" s="15">
        <v>46143</v>
      </c>
      <c r="E62" s="14" t="s">
        <v>764</v>
      </c>
    </row>
    <row r="63" spans="1:5" x14ac:dyDescent="0.3">
      <c r="A63" s="8">
        <v>46152</v>
      </c>
      <c r="B63" t="s">
        <v>294</v>
      </c>
      <c r="C63" s="1">
        <v>68423</v>
      </c>
      <c r="D63" s="15">
        <v>46143</v>
      </c>
      <c r="E63" s="14" t="s">
        <v>536</v>
      </c>
    </row>
    <row r="64" spans="1:5" x14ac:dyDescent="0.3">
      <c r="A64" s="8">
        <v>46152</v>
      </c>
      <c r="B64" t="s">
        <v>295</v>
      </c>
      <c r="C64" s="1">
        <v>99.9</v>
      </c>
      <c r="D64" s="15">
        <v>46143</v>
      </c>
      <c r="E64" s="14" t="s">
        <v>765</v>
      </c>
    </row>
    <row r="65" spans="1:5" x14ac:dyDescent="0.3">
      <c r="A65" s="8">
        <v>46152</v>
      </c>
      <c r="B65" t="s">
        <v>294</v>
      </c>
      <c r="C65" s="1">
        <v>24973</v>
      </c>
      <c r="D65" s="15">
        <v>46143</v>
      </c>
      <c r="E65" s="14" t="s">
        <v>536</v>
      </c>
    </row>
    <row r="66" spans="1:5" x14ac:dyDescent="0.3">
      <c r="A66" s="8">
        <v>46152</v>
      </c>
      <c r="B66" t="s">
        <v>295</v>
      </c>
      <c r="C66" s="1">
        <v>79.05</v>
      </c>
      <c r="D66" s="15">
        <v>46143</v>
      </c>
      <c r="E66" s="14" t="s">
        <v>766</v>
      </c>
    </row>
    <row r="67" spans="1:5" x14ac:dyDescent="0.3">
      <c r="A67" s="8">
        <v>46152</v>
      </c>
      <c r="B67" t="s">
        <v>294</v>
      </c>
      <c r="C67" s="1">
        <v>19762</v>
      </c>
      <c r="D67" s="15">
        <v>46143</v>
      </c>
      <c r="E67" s="14" t="s">
        <v>536</v>
      </c>
    </row>
    <row r="68" spans="1:5" x14ac:dyDescent="0.3">
      <c r="A68" s="8">
        <v>46152</v>
      </c>
      <c r="B68" t="s">
        <v>295</v>
      </c>
      <c r="C68" s="1">
        <v>15.22</v>
      </c>
      <c r="D68" s="15">
        <v>46143</v>
      </c>
      <c r="E68" s="14" t="s">
        <v>767</v>
      </c>
    </row>
    <row r="69" spans="1:5" x14ac:dyDescent="0.3">
      <c r="A69" s="8">
        <v>46152</v>
      </c>
      <c r="B69" t="s">
        <v>294</v>
      </c>
      <c r="C69" s="1">
        <v>3803.86</v>
      </c>
      <c r="D69" s="15">
        <v>46143</v>
      </c>
      <c r="E69" s="14" t="s">
        <v>536</v>
      </c>
    </row>
    <row r="70" spans="1:5" x14ac:dyDescent="0.3">
      <c r="A70" s="8">
        <v>46152</v>
      </c>
      <c r="B70" t="s">
        <v>295</v>
      </c>
      <c r="C70" s="1">
        <v>21.61</v>
      </c>
      <c r="D70" s="15">
        <v>46143</v>
      </c>
      <c r="E70" s="14" t="s">
        <v>768</v>
      </c>
    </row>
    <row r="71" spans="1:5" x14ac:dyDescent="0.3">
      <c r="A71" s="8">
        <v>46152</v>
      </c>
      <c r="B71" t="s">
        <v>294</v>
      </c>
      <c r="C71" s="1">
        <v>5401.48</v>
      </c>
      <c r="D71" s="15">
        <v>46143</v>
      </c>
      <c r="E71" s="14" t="s">
        <v>536</v>
      </c>
    </row>
    <row r="72" spans="1:5" x14ac:dyDescent="0.3">
      <c r="A72" s="8">
        <v>46152</v>
      </c>
      <c r="B72" t="s">
        <v>295</v>
      </c>
      <c r="C72" s="1">
        <v>112.7</v>
      </c>
      <c r="D72" s="15">
        <v>46143</v>
      </c>
      <c r="E72" s="14" t="s">
        <v>769</v>
      </c>
    </row>
    <row r="73" spans="1:5" x14ac:dyDescent="0.3">
      <c r="A73" s="8">
        <v>46152</v>
      </c>
      <c r="B73" t="s">
        <v>294</v>
      </c>
      <c r="C73" s="1">
        <v>14900</v>
      </c>
      <c r="D73" s="15">
        <v>46143</v>
      </c>
      <c r="E73" s="14" t="s">
        <v>536</v>
      </c>
    </row>
    <row r="74" spans="1:5" x14ac:dyDescent="0.3">
      <c r="A74" s="8">
        <v>46154</v>
      </c>
      <c r="B74" t="s">
        <v>295</v>
      </c>
      <c r="C74" s="1">
        <v>14.89</v>
      </c>
      <c r="D74" s="15">
        <v>46143</v>
      </c>
      <c r="E74" s="14" t="s">
        <v>770</v>
      </c>
    </row>
    <row r="75" spans="1:5" x14ac:dyDescent="0.3">
      <c r="A75" s="8">
        <v>46154</v>
      </c>
      <c r="B75" t="s">
        <v>294</v>
      </c>
      <c r="C75" s="1">
        <v>3721</v>
      </c>
      <c r="D75" s="15">
        <v>46143</v>
      </c>
      <c r="E75" s="14" t="s">
        <v>536</v>
      </c>
    </row>
    <row r="76" spans="1:5" x14ac:dyDescent="0.3">
      <c r="A76" s="8">
        <v>46155</v>
      </c>
      <c r="B76" t="s">
        <v>293</v>
      </c>
      <c r="C76" s="1">
        <v>441200</v>
      </c>
      <c r="D76" s="15">
        <v>46143</v>
      </c>
      <c r="E76" s="14" t="s">
        <v>771</v>
      </c>
    </row>
    <row r="77" spans="1:5" x14ac:dyDescent="0.3">
      <c r="A77" s="8">
        <v>46155</v>
      </c>
      <c r="B77" t="s">
        <v>293</v>
      </c>
      <c r="C77" s="1">
        <v>180000</v>
      </c>
      <c r="D77" s="15">
        <v>46143</v>
      </c>
      <c r="E77" s="14" t="s">
        <v>772</v>
      </c>
    </row>
    <row r="78" spans="1:5" x14ac:dyDescent="0.3">
      <c r="A78" s="8">
        <v>46156</v>
      </c>
      <c r="B78" t="s">
        <v>295</v>
      </c>
      <c r="C78" s="1">
        <v>389.94</v>
      </c>
      <c r="D78" s="15">
        <v>46143</v>
      </c>
      <c r="E78" s="14" t="s">
        <v>773</v>
      </c>
    </row>
    <row r="79" spans="1:5" x14ac:dyDescent="0.3">
      <c r="A79" s="8">
        <v>46156</v>
      </c>
      <c r="B79" t="s">
        <v>294</v>
      </c>
      <c r="C79" s="1">
        <v>97484</v>
      </c>
      <c r="D79" s="15">
        <v>46143</v>
      </c>
      <c r="E79" s="14" t="s">
        <v>536</v>
      </c>
    </row>
    <row r="80" spans="1:5" x14ac:dyDescent="0.3">
      <c r="A80" s="8">
        <v>46156</v>
      </c>
      <c r="B80" t="s">
        <v>295</v>
      </c>
      <c r="C80" s="1">
        <v>218.23</v>
      </c>
      <c r="D80" s="15">
        <v>46143</v>
      </c>
      <c r="E80" s="14" t="s">
        <v>774</v>
      </c>
    </row>
    <row r="81" spans="1:5" x14ac:dyDescent="0.3">
      <c r="A81" s="8">
        <v>46156</v>
      </c>
      <c r="B81" t="s">
        <v>294</v>
      </c>
      <c r="C81" s="1">
        <v>54556</v>
      </c>
      <c r="D81" s="15">
        <v>46143</v>
      </c>
      <c r="E81" s="14" t="s">
        <v>536</v>
      </c>
    </row>
    <row r="82" spans="1:5" x14ac:dyDescent="0.3">
      <c r="A82" s="8">
        <v>46156</v>
      </c>
      <c r="B82" t="s">
        <v>293</v>
      </c>
      <c r="C82" s="1">
        <v>4521600</v>
      </c>
      <c r="D82" s="15">
        <v>46143</v>
      </c>
      <c r="E82" s="14" t="s">
        <v>775</v>
      </c>
    </row>
    <row r="83" spans="1:5" x14ac:dyDescent="0.3">
      <c r="A83" s="8">
        <v>46156</v>
      </c>
      <c r="B83" t="s">
        <v>293</v>
      </c>
      <c r="C83" s="1">
        <v>310000</v>
      </c>
      <c r="D83" s="15">
        <v>46143</v>
      </c>
      <c r="E83" s="14" t="s">
        <v>776</v>
      </c>
    </row>
    <row r="84" spans="1:5" x14ac:dyDescent="0.3">
      <c r="A84" s="8">
        <v>46156</v>
      </c>
      <c r="B84" t="s">
        <v>295</v>
      </c>
      <c r="C84" s="1">
        <v>224.16</v>
      </c>
      <c r="D84" s="15">
        <v>46143</v>
      </c>
      <c r="E84" s="14" t="s">
        <v>777</v>
      </c>
    </row>
    <row r="85" spans="1:5" x14ac:dyDescent="0.3">
      <c r="A85" s="8">
        <v>46156</v>
      </c>
      <c r="B85" t="s">
        <v>294</v>
      </c>
      <c r="C85" s="1">
        <v>56038</v>
      </c>
      <c r="D85" s="15">
        <v>46143</v>
      </c>
      <c r="E85" s="14" t="s">
        <v>536</v>
      </c>
    </row>
    <row r="86" spans="1:5" x14ac:dyDescent="0.3">
      <c r="A86" s="8">
        <v>46157</v>
      </c>
      <c r="B86" t="s">
        <v>295</v>
      </c>
      <c r="C86" s="1">
        <v>52.44</v>
      </c>
      <c r="D86" s="15">
        <v>46143</v>
      </c>
      <c r="E86" s="14" t="s">
        <v>778</v>
      </c>
    </row>
    <row r="87" spans="1:5" x14ac:dyDescent="0.3">
      <c r="A87" s="8">
        <v>46157</v>
      </c>
      <c r="B87" t="s">
        <v>294</v>
      </c>
      <c r="C87" s="1">
        <v>13108</v>
      </c>
      <c r="D87" s="15">
        <v>46143</v>
      </c>
      <c r="E87" s="14" t="s">
        <v>536</v>
      </c>
    </row>
    <row r="88" spans="1:5" x14ac:dyDescent="0.3">
      <c r="A88" s="8">
        <v>46158</v>
      </c>
      <c r="B88" t="s">
        <v>295</v>
      </c>
      <c r="C88" s="1">
        <v>37.75</v>
      </c>
      <c r="D88" s="15">
        <v>46143</v>
      </c>
      <c r="E88" s="14" t="s">
        <v>779</v>
      </c>
    </row>
    <row r="89" spans="1:5" x14ac:dyDescent="0.3">
      <c r="A89" s="8">
        <v>46158</v>
      </c>
      <c r="B89" t="s">
        <v>294</v>
      </c>
      <c r="C89" s="1">
        <v>9437</v>
      </c>
      <c r="D89" s="15">
        <v>46143</v>
      </c>
      <c r="E89" s="14" t="s">
        <v>536</v>
      </c>
    </row>
    <row r="90" spans="1:5" x14ac:dyDescent="0.3">
      <c r="A90" s="8">
        <v>46161</v>
      </c>
      <c r="B90" t="s">
        <v>296</v>
      </c>
      <c r="C90" s="1">
        <v>16168906</v>
      </c>
      <c r="D90" s="15">
        <v>46143</v>
      </c>
      <c r="E90" s="14" t="s">
        <v>780</v>
      </c>
    </row>
    <row r="91" spans="1:5" x14ac:dyDescent="0.3">
      <c r="A91" s="8">
        <v>46161</v>
      </c>
      <c r="B91" t="s">
        <v>293</v>
      </c>
      <c r="C91" s="1">
        <v>739950</v>
      </c>
      <c r="D91" s="15">
        <v>46143</v>
      </c>
      <c r="E91" s="14" t="s">
        <v>781</v>
      </c>
    </row>
    <row r="92" spans="1:5" x14ac:dyDescent="0.3">
      <c r="A92" s="8">
        <v>46162</v>
      </c>
      <c r="B92" t="s">
        <v>293</v>
      </c>
      <c r="C92" s="1">
        <v>1675000</v>
      </c>
      <c r="D92" s="15">
        <v>46143</v>
      </c>
      <c r="E92" s="14" t="s">
        <v>782</v>
      </c>
    </row>
    <row r="93" spans="1:5" x14ac:dyDescent="0.3">
      <c r="A93" s="8">
        <v>46162</v>
      </c>
      <c r="B93" t="s">
        <v>293</v>
      </c>
      <c r="C93" s="1">
        <v>6080000</v>
      </c>
      <c r="D93" s="15">
        <v>46143</v>
      </c>
      <c r="E93" s="14" t="s">
        <v>783</v>
      </c>
    </row>
    <row r="94" spans="1:5" x14ac:dyDescent="0.3">
      <c r="A94" s="8">
        <v>46162</v>
      </c>
      <c r="B94" t="s">
        <v>293</v>
      </c>
      <c r="C94" s="1">
        <v>210000</v>
      </c>
      <c r="D94" s="15">
        <v>46143</v>
      </c>
      <c r="E94" s="14" t="s">
        <v>784</v>
      </c>
    </row>
    <row r="95" spans="1:5" x14ac:dyDescent="0.3">
      <c r="A95" s="8">
        <v>46162</v>
      </c>
      <c r="B95" t="s">
        <v>295</v>
      </c>
      <c r="C95" s="1">
        <v>94.36</v>
      </c>
      <c r="D95" s="15">
        <v>46143</v>
      </c>
      <c r="E95" s="14" t="s">
        <v>785</v>
      </c>
    </row>
    <row r="96" spans="1:5" x14ac:dyDescent="0.3">
      <c r="A96" s="8">
        <v>46162</v>
      </c>
      <c r="B96" t="s">
        <v>294</v>
      </c>
      <c r="C96" s="1">
        <v>23589</v>
      </c>
      <c r="D96" s="15">
        <v>46143</v>
      </c>
      <c r="E96" s="14" t="s">
        <v>536</v>
      </c>
    </row>
    <row r="97" spans="1:5" x14ac:dyDescent="0.3">
      <c r="A97" s="8">
        <v>46163</v>
      </c>
      <c r="B97" t="s">
        <v>293</v>
      </c>
      <c r="C97" s="1">
        <v>1250000</v>
      </c>
      <c r="D97" s="15">
        <v>46143</v>
      </c>
      <c r="E97" s="14" t="s">
        <v>786</v>
      </c>
    </row>
    <row r="98" spans="1:5" x14ac:dyDescent="0.3">
      <c r="A98" s="8">
        <v>46163</v>
      </c>
      <c r="B98" t="s">
        <v>293</v>
      </c>
      <c r="C98" s="1">
        <v>150000</v>
      </c>
      <c r="D98" s="15">
        <v>46143</v>
      </c>
      <c r="E98" s="14" t="s">
        <v>787</v>
      </c>
    </row>
    <row r="99" spans="1:5" x14ac:dyDescent="0.3">
      <c r="A99" s="8">
        <v>46164</v>
      </c>
      <c r="B99" t="s">
        <v>293</v>
      </c>
      <c r="C99" s="1">
        <v>153045</v>
      </c>
      <c r="D99" s="15">
        <v>46143</v>
      </c>
      <c r="E99" s="14" t="s">
        <v>788</v>
      </c>
    </row>
    <row r="100" spans="1:5" x14ac:dyDescent="0.3">
      <c r="A100" s="8">
        <v>46164</v>
      </c>
      <c r="B100" t="s">
        <v>295</v>
      </c>
      <c r="C100" s="1">
        <v>61.4</v>
      </c>
      <c r="D100" s="15">
        <v>46143</v>
      </c>
      <c r="E100" s="14" t="s">
        <v>789</v>
      </c>
    </row>
    <row r="101" spans="1:5" x14ac:dyDescent="0.3">
      <c r="A101" s="8">
        <v>46164</v>
      </c>
      <c r="B101" t="s">
        <v>294</v>
      </c>
      <c r="C101" s="1">
        <v>15349</v>
      </c>
      <c r="D101" s="15">
        <v>46143</v>
      </c>
      <c r="E101" s="14" t="s">
        <v>536</v>
      </c>
    </row>
    <row r="102" spans="1:5" x14ac:dyDescent="0.3">
      <c r="A102" s="8">
        <v>46165</v>
      </c>
      <c r="B102" t="s">
        <v>295</v>
      </c>
      <c r="C102" s="1">
        <v>44.25</v>
      </c>
      <c r="D102" s="15">
        <v>46143</v>
      </c>
      <c r="E102" s="14" t="s">
        <v>790</v>
      </c>
    </row>
    <row r="103" spans="1:5" x14ac:dyDescent="0.3">
      <c r="A103" s="8">
        <v>46165</v>
      </c>
      <c r="B103" t="s">
        <v>294</v>
      </c>
      <c r="C103" s="1">
        <v>11062</v>
      </c>
      <c r="D103" s="15">
        <v>46143</v>
      </c>
      <c r="E103" s="14" t="s">
        <v>536</v>
      </c>
    </row>
    <row r="104" spans="1:5" x14ac:dyDescent="0.3">
      <c r="A104" s="8">
        <v>46166</v>
      </c>
      <c r="B104" t="s">
        <v>295</v>
      </c>
      <c r="C104" s="1">
        <v>85.04</v>
      </c>
      <c r="D104" s="15">
        <v>46143</v>
      </c>
      <c r="E104" s="14" t="s">
        <v>791</v>
      </c>
    </row>
    <row r="105" spans="1:5" x14ac:dyDescent="0.3">
      <c r="A105" s="8">
        <v>46166</v>
      </c>
      <c r="B105" t="s">
        <v>294</v>
      </c>
      <c r="C105" s="1">
        <v>21260</v>
      </c>
      <c r="D105" s="15">
        <v>46143</v>
      </c>
      <c r="E105" s="14" t="s">
        <v>536</v>
      </c>
    </row>
    <row r="106" spans="1:5" x14ac:dyDescent="0.3">
      <c r="A106" s="8">
        <v>46167</v>
      </c>
      <c r="B106" t="s">
        <v>293</v>
      </c>
      <c r="C106" s="1">
        <v>650000</v>
      </c>
      <c r="D106" s="15">
        <v>46143</v>
      </c>
      <c r="E106" s="14" t="s">
        <v>792</v>
      </c>
    </row>
    <row r="107" spans="1:5" x14ac:dyDescent="0.3">
      <c r="A107" s="8">
        <v>46167</v>
      </c>
      <c r="B107" t="s">
        <v>293</v>
      </c>
      <c r="C107" s="1">
        <v>3445000</v>
      </c>
      <c r="D107" s="15">
        <v>46143</v>
      </c>
      <c r="E107" s="14" t="s">
        <v>793</v>
      </c>
    </row>
    <row r="108" spans="1:5" x14ac:dyDescent="0.3">
      <c r="A108" s="8">
        <v>46168</v>
      </c>
      <c r="B108" t="s">
        <v>756</v>
      </c>
      <c r="C108" s="1">
        <v>94630.399999999994</v>
      </c>
      <c r="D108" s="15">
        <v>46143</v>
      </c>
      <c r="E108" s="14" t="s">
        <v>794</v>
      </c>
    </row>
    <row r="109" spans="1:5" x14ac:dyDescent="0.3">
      <c r="A109" s="8">
        <v>46169</v>
      </c>
      <c r="B109" t="s">
        <v>296</v>
      </c>
      <c r="C109" s="1">
        <v>6440181</v>
      </c>
      <c r="D109" s="15">
        <v>46143</v>
      </c>
      <c r="E109" s="14" t="s">
        <v>795</v>
      </c>
    </row>
    <row r="110" spans="1:5" x14ac:dyDescent="0.3">
      <c r="A110" s="8">
        <v>46170</v>
      </c>
      <c r="B110" t="s">
        <v>293</v>
      </c>
      <c r="C110" s="1">
        <v>3150000</v>
      </c>
      <c r="D110" s="15">
        <v>46143</v>
      </c>
      <c r="E110" s="14" t="s">
        <v>796</v>
      </c>
    </row>
    <row r="111" spans="1:5" x14ac:dyDescent="0.3">
      <c r="A111" s="8">
        <v>46171</v>
      </c>
      <c r="B111" t="s">
        <v>296</v>
      </c>
      <c r="C111" s="1">
        <v>5357321</v>
      </c>
      <c r="D111" s="15">
        <v>46143</v>
      </c>
      <c r="E111" s="14" t="s">
        <v>797</v>
      </c>
    </row>
    <row r="112" spans="1:5" x14ac:dyDescent="0.3">
      <c r="A112" s="8">
        <v>46172</v>
      </c>
      <c r="B112" t="s">
        <v>293</v>
      </c>
      <c r="C112" s="1">
        <v>748000</v>
      </c>
      <c r="D112" s="15">
        <v>46143</v>
      </c>
      <c r="E112" s="14" t="s">
        <v>798</v>
      </c>
    </row>
    <row r="113" spans="1:5" x14ac:dyDescent="0.3">
      <c r="A113" s="8">
        <v>46174</v>
      </c>
      <c r="B113" t="s">
        <v>1116</v>
      </c>
      <c r="C113" s="1">
        <v>18949</v>
      </c>
      <c r="D113" s="15">
        <v>46174</v>
      </c>
      <c r="E113" s="14" t="s">
        <v>536</v>
      </c>
    </row>
    <row r="114" spans="1:5" x14ac:dyDescent="0.3">
      <c r="A114" s="8">
        <v>46174</v>
      </c>
      <c r="B114" t="s">
        <v>296</v>
      </c>
      <c r="C114" s="1">
        <v>4429703</v>
      </c>
      <c r="D114" s="15">
        <v>46174</v>
      </c>
      <c r="E114" s="14" t="s">
        <v>1120</v>
      </c>
    </row>
    <row r="115" spans="1:5" x14ac:dyDescent="0.3">
      <c r="A115" s="8">
        <v>46174</v>
      </c>
      <c r="B115" t="s">
        <v>1116</v>
      </c>
      <c r="C115" s="1">
        <v>13461</v>
      </c>
      <c r="D115" s="15">
        <v>46174</v>
      </c>
      <c r="E115" s="14" t="s">
        <v>536</v>
      </c>
    </row>
    <row r="116" spans="1:5" x14ac:dyDescent="0.3">
      <c r="A116" s="8">
        <v>46174</v>
      </c>
      <c r="B116" t="s">
        <v>1116</v>
      </c>
      <c r="C116" s="1">
        <v>13492</v>
      </c>
      <c r="D116" s="15">
        <v>46174</v>
      </c>
      <c r="E116" s="14" t="s">
        <v>536</v>
      </c>
    </row>
    <row r="117" spans="1:5" x14ac:dyDescent="0.3">
      <c r="A117" s="8">
        <v>46175</v>
      </c>
      <c r="B117" t="s">
        <v>293</v>
      </c>
      <c r="C117" s="1">
        <v>6265754</v>
      </c>
      <c r="D117" s="15">
        <v>46174</v>
      </c>
      <c r="E117" s="14" t="s">
        <v>1121</v>
      </c>
    </row>
    <row r="118" spans="1:5" x14ac:dyDescent="0.3">
      <c r="A118" s="8">
        <v>46175</v>
      </c>
      <c r="B118" t="s">
        <v>293</v>
      </c>
      <c r="C118" s="1">
        <v>1084000</v>
      </c>
      <c r="D118" s="15">
        <v>46174</v>
      </c>
      <c r="E118" s="14" t="s">
        <v>1122</v>
      </c>
    </row>
    <row r="119" spans="1:5" x14ac:dyDescent="0.3">
      <c r="A119" s="8">
        <v>46177</v>
      </c>
      <c r="B119" t="s">
        <v>296</v>
      </c>
      <c r="C119" s="1">
        <v>8067942</v>
      </c>
      <c r="D119" s="15">
        <v>46174</v>
      </c>
      <c r="E119" s="14" t="s">
        <v>1123</v>
      </c>
    </row>
    <row r="120" spans="1:5" x14ac:dyDescent="0.3">
      <c r="A120" s="8">
        <v>46177</v>
      </c>
      <c r="B120" t="s">
        <v>295</v>
      </c>
      <c r="C120" s="1">
        <v>323.75</v>
      </c>
      <c r="D120" s="15">
        <v>46174</v>
      </c>
      <c r="E120" s="14" t="s">
        <v>1124</v>
      </c>
    </row>
    <row r="121" spans="1:5" x14ac:dyDescent="0.3">
      <c r="A121" s="8">
        <v>46177</v>
      </c>
      <c r="B121" t="s">
        <v>478</v>
      </c>
      <c r="C121" s="1">
        <v>80937</v>
      </c>
      <c r="D121" s="15">
        <v>46174</v>
      </c>
      <c r="E121" s="14" t="s">
        <v>536</v>
      </c>
    </row>
    <row r="122" spans="1:5" x14ac:dyDescent="0.3">
      <c r="A122" s="8">
        <v>46177</v>
      </c>
      <c r="B122" t="s">
        <v>1117</v>
      </c>
      <c r="C122" s="1">
        <v>63453.94</v>
      </c>
      <c r="D122" s="15">
        <v>46174</v>
      </c>
      <c r="E122" s="14" t="s">
        <v>536</v>
      </c>
    </row>
    <row r="123" spans="1:5" x14ac:dyDescent="0.3">
      <c r="A123" s="8">
        <v>46180</v>
      </c>
      <c r="B123" t="s">
        <v>295</v>
      </c>
      <c r="C123" s="1">
        <v>340.53</v>
      </c>
      <c r="D123" s="15">
        <v>46174</v>
      </c>
      <c r="E123" s="14" t="s">
        <v>1125</v>
      </c>
    </row>
    <row r="124" spans="1:5" x14ac:dyDescent="0.3">
      <c r="A124" s="8">
        <v>46180</v>
      </c>
      <c r="B124" t="s">
        <v>478</v>
      </c>
      <c r="C124" s="1">
        <v>85132</v>
      </c>
      <c r="D124" s="15">
        <v>46174</v>
      </c>
      <c r="E124" s="14" t="s">
        <v>536</v>
      </c>
    </row>
    <row r="125" spans="1:5" x14ac:dyDescent="0.3">
      <c r="A125" s="8">
        <v>46181</v>
      </c>
      <c r="B125" t="s">
        <v>295</v>
      </c>
      <c r="C125" s="1">
        <v>175.8</v>
      </c>
      <c r="D125" s="15">
        <v>46174</v>
      </c>
      <c r="E125" s="14" t="s">
        <v>1126</v>
      </c>
    </row>
    <row r="126" spans="1:5" x14ac:dyDescent="0.3">
      <c r="A126" s="8">
        <v>46181</v>
      </c>
      <c r="B126" t="s">
        <v>1116</v>
      </c>
      <c r="C126" s="1">
        <v>43948</v>
      </c>
      <c r="D126" s="15">
        <v>46174</v>
      </c>
      <c r="E126" s="14" t="s">
        <v>536</v>
      </c>
    </row>
    <row r="127" spans="1:5" x14ac:dyDescent="0.3">
      <c r="A127" s="8">
        <v>46181</v>
      </c>
      <c r="B127" t="s">
        <v>295</v>
      </c>
      <c r="C127" s="1">
        <v>183.77</v>
      </c>
      <c r="D127" s="15">
        <v>46174</v>
      </c>
      <c r="E127" s="14" t="s">
        <v>1127</v>
      </c>
    </row>
    <row r="128" spans="1:5" x14ac:dyDescent="0.3">
      <c r="A128" s="8">
        <v>46181</v>
      </c>
      <c r="B128" t="s">
        <v>478</v>
      </c>
      <c r="C128" s="1">
        <v>45941</v>
      </c>
      <c r="D128" s="15">
        <v>46174</v>
      </c>
      <c r="E128" s="14" t="s">
        <v>536</v>
      </c>
    </row>
    <row r="129" spans="1:5" x14ac:dyDescent="0.3">
      <c r="A129" s="8">
        <v>46182</v>
      </c>
      <c r="B129" t="s">
        <v>295</v>
      </c>
      <c r="C129" s="1">
        <v>91.78</v>
      </c>
      <c r="D129" s="15">
        <v>46174</v>
      </c>
      <c r="E129" s="14" t="s">
        <v>1128</v>
      </c>
    </row>
    <row r="130" spans="1:5" x14ac:dyDescent="0.3">
      <c r="A130" s="8">
        <v>46182</v>
      </c>
      <c r="B130" t="s">
        <v>1116</v>
      </c>
      <c r="C130" s="1">
        <v>22943</v>
      </c>
      <c r="D130" s="15">
        <v>46174</v>
      </c>
      <c r="E130" s="14" t="s">
        <v>536</v>
      </c>
    </row>
    <row r="131" spans="1:5" x14ac:dyDescent="0.3">
      <c r="A131" s="8">
        <v>46182</v>
      </c>
      <c r="B131" t="s">
        <v>296</v>
      </c>
      <c r="C131" s="1">
        <v>115359</v>
      </c>
      <c r="D131" s="15">
        <v>46174</v>
      </c>
      <c r="E131" s="14" t="s">
        <v>1129</v>
      </c>
    </row>
    <row r="132" spans="1:5" x14ac:dyDescent="0.3">
      <c r="A132" s="8">
        <v>46182</v>
      </c>
      <c r="B132" t="s">
        <v>296</v>
      </c>
      <c r="C132" s="1">
        <v>7500000</v>
      </c>
      <c r="D132" s="15">
        <v>46174</v>
      </c>
      <c r="E132" s="14" t="s">
        <v>1130</v>
      </c>
    </row>
    <row r="133" spans="1:5" x14ac:dyDescent="0.3">
      <c r="A133" s="8">
        <v>46184</v>
      </c>
      <c r="B133" t="s">
        <v>293</v>
      </c>
      <c r="C133" s="1">
        <v>3000000</v>
      </c>
      <c r="D133" s="15">
        <v>46174</v>
      </c>
      <c r="E133" s="14" t="s">
        <v>1131</v>
      </c>
    </row>
    <row r="134" spans="1:5" x14ac:dyDescent="0.3">
      <c r="A134" s="8">
        <v>46184</v>
      </c>
      <c r="B134" t="s">
        <v>296</v>
      </c>
      <c r="C134" s="1">
        <v>2874150</v>
      </c>
      <c r="D134" s="15">
        <v>46174</v>
      </c>
      <c r="E134" s="14" t="s">
        <v>1132</v>
      </c>
    </row>
    <row r="135" spans="1:5" x14ac:dyDescent="0.3">
      <c r="A135" s="8">
        <v>46185</v>
      </c>
      <c r="B135" t="s">
        <v>293</v>
      </c>
      <c r="C135" s="1">
        <v>775000</v>
      </c>
      <c r="D135" s="15">
        <v>46174</v>
      </c>
      <c r="E135" s="14" t="s">
        <v>1133</v>
      </c>
    </row>
    <row r="136" spans="1:5" x14ac:dyDescent="0.3">
      <c r="A136" s="8">
        <v>46185</v>
      </c>
      <c r="B136" t="s">
        <v>296</v>
      </c>
      <c r="C136" s="1">
        <v>7728035</v>
      </c>
      <c r="D136" s="15">
        <v>46174</v>
      </c>
      <c r="E136" s="14" t="s">
        <v>1134</v>
      </c>
    </row>
    <row r="137" spans="1:5" x14ac:dyDescent="0.3">
      <c r="A137" s="8">
        <v>46189</v>
      </c>
      <c r="B137" t="s">
        <v>296</v>
      </c>
      <c r="C137" s="1">
        <v>4760000</v>
      </c>
      <c r="D137" s="15">
        <v>46174</v>
      </c>
      <c r="E137" s="14" t="s">
        <v>1135</v>
      </c>
    </row>
    <row r="138" spans="1:5" x14ac:dyDescent="0.3">
      <c r="A138" s="8">
        <v>46189</v>
      </c>
      <c r="B138" t="s">
        <v>296</v>
      </c>
      <c r="C138" s="1">
        <v>4264607</v>
      </c>
      <c r="D138" s="15">
        <v>46174</v>
      </c>
      <c r="E138" s="14" t="s">
        <v>1136</v>
      </c>
    </row>
    <row r="139" spans="1:5" x14ac:dyDescent="0.3">
      <c r="A139" s="8">
        <v>46189</v>
      </c>
      <c r="B139" t="s">
        <v>295</v>
      </c>
      <c r="C139" s="1">
        <v>35.96</v>
      </c>
      <c r="D139" s="15">
        <v>46174</v>
      </c>
      <c r="E139" s="14" t="s">
        <v>1137</v>
      </c>
    </row>
    <row r="140" spans="1:5" x14ac:dyDescent="0.3">
      <c r="A140" s="8">
        <v>46189</v>
      </c>
      <c r="B140" t="s">
        <v>478</v>
      </c>
      <c r="C140" s="1">
        <v>8988</v>
      </c>
      <c r="D140" s="15">
        <v>46174</v>
      </c>
      <c r="E140" s="14" t="s">
        <v>536</v>
      </c>
    </row>
    <row r="141" spans="1:5" x14ac:dyDescent="0.3">
      <c r="A141" s="8">
        <v>46189</v>
      </c>
      <c r="B141" t="s">
        <v>295</v>
      </c>
      <c r="C141" s="1">
        <v>104</v>
      </c>
      <c r="D141" s="15">
        <v>46174</v>
      </c>
      <c r="E141" s="14" t="s">
        <v>1138</v>
      </c>
    </row>
    <row r="142" spans="1:5" x14ac:dyDescent="0.3">
      <c r="A142" s="8">
        <v>46189</v>
      </c>
      <c r="B142" t="s">
        <v>478</v>
      </c>
      <c r="C142" s="1">
        <v>25998</v>
      </c>
      <c r="D142" s="15">
        <v>46174</v>
      </c>
      <c r="E142" s="14" t="s">
        <v>536</v>
      </c>
    </row>
    <row r="143" spans="1:5" x14ac:dyDescent="0.3">
      <c r="A143" s="8">
        <v>46191</v>
      </c>
      <c r="B143" t="s">
        <v>296</v>
      </c>
      <c r="C143" s="1">
        <v>3500000</v>
      </c>
      <c r="D143" s="15">
        <v>46174</v>
      </c>
      <c r="E143" s="14" t="s">
        <v>1139</v>
      </c>
    </row>
    <row r="144" spans="1:5" x14ac:dyDescent="0.3">
      <c r="A144" s="8">
        <v>46191</v>
      </c>
      <c r="B144" t="s">
        <v>293</v>
      </c>
      <c r="C144" s="1">
        <v>3855534</v>
      </c>
      <c r="D144" s="15">
        <v>46174</v>
      </c>
      <c r="E144" s="14" t="s">
        <v>1140</v>
      </c>
    </row>
    <row r="145" spans="1:5" x14ac:dyDescent="0.3">
      <c r="A145" s="8">
        <v>46192</v>
      </c>
      <c r="B145" t="s">
        <v>296</v>
      </c>
      <c r="C145" s="1">
        <v>6497500</v>
      </c>
      <c r="D145" s="15">
        <v>46174</v>
      </c>
      <c r="E145" s="14" t="s">
        <v>1141</v>
      </c>
    </row>
    <row r="146" spans="1:5" x14ac:dyDescent="0.3">
      <c r="A146" s="8">
        <v>46192</v>
      </c>
      <c r="B146" t="s">
        <v>295</v>
      </c>
      <c r="C146" s="1">
        <v>47.83</v>
      </c>
      <c r="D146" s="15">
        <v>46174</v>
      </c>
      <c r="E146" s="14" t="s">
        <v>1142</v>
      </c>
    </row>
    <row r="147" spans="1:5" x14ac:dyDescent="0.3">
      <c r="A147" s="8">
        <v>46192</v>
      </c>
      <c r="B147" t="s">
        <v>478</v>
      </c>
      <c r="C147" s="1">
        <v>11957</v>
      </c>
      <c r="D147" s="15">
        <v>46174</v>
      </c>
      <c r="E147" s="14" t="s">
        <v>536</v>
      </c>
    </row>
    <row r="148" spans="1:5" x14ac:dyDescent="0.3">
      <c r="A148" s="8">
        <v>46193</v>
      </c>
      <c r="B148" t="s">
        <v>293</v>
      </c>
      <c r="C148" s="1">
        <v>300000</v>
      </c>
      <c r="D148" s="15">
        <v>46174</v>
      </c>
      <c r="E148" s="14" t="s">
        <v>1143</v>
      </c>
    </row>
    <row r="149" spans="1:5" x14ac:dyDescent="0.3">
      <c r="A149" s="8">
        <v>46194</v>
      </c>
      <c r="B149" t="s">
        <v>293</v>
      </c>
      <c r="C149" s="1">
        <v>189208</v>
      </c>
      <c r="D149" s="15">
        <v>46174</v>
      </c>
      <c r="E149" s="14" t="s">
        <v>1144</v>
      </c>
    </row>
    <row r="150" spans="1:5" x14ac:dyDescent="0.3">
      <c r="A150" s="8">
        <v>46195</v>
      </c>
      <c r="B150" t="s">
        <v>1118</v>
      </c>
      <c r="C150" s="1">
        <v>400000000</v>
      </c>
      <c r="D150" s="15">
        <v>46174</v>
      </c>
      <c r="E150" s="14" t="s">
        <v>1145</v>
      </c>
    </row>
    <row r="151" spans="1:5" x14ac:dyDescent="0.3">
      <c r="A151" s="8">
        <v>46195</v>
      </c>
      <c r="B151" t="s">
        <v>1118</v>
      </c>
      <c r="C151" s="1">
        <v>350000000</v>
      </c>
      <c r="D151" s="15">
        <v>46174</v>
      </c>
      <c r="E151" s="14" t="s">
        <v>1146</v>
      </c>
    </row>
    <row r="152" spans="1:5" x14ac:dyDescent="0.3">
      <c r="A152" s="8">
        <v>46195</v>
      </c>
      <c r="B152" t="s">
        <v>296</v>
      </c>
      <c r="C152" s="1">
        <v>5700000</v>
      </c>
      <c r="D152" s="15">
        <v>46174</v>
      </c>
      <c r="E152" s="14" t="s">
        <v>1147</v>
      </c>
    </row>
    <row r="153" spans="1:5" x14ac:dyDescent="0.3">
      <c r="A153" s="8">
        <v>46195</v>
      </c>
      <c r="B153" t="s">
        <v>1118</v>
      </c>
      <c r="C153" s="1">
        <v>140000000</v>
      </c>
      <c r="D153" s="15">
        <v>46174</v>
      </c>
      <c r="E153" s="14" t="s">
        <v>1148</v>
      </c>
    </row>
    <row r="154" spans="1:5" x14ac:dyDescent="0.3">
      <c r="A154" s="8">
        <v>46195</v>
      </c>
      <c r="B154" t="s">
        <v>296</v>
      </c>
      <c r="C154" s="1">
        <v>6157542</v>
      </c>
      <c r="D154" s="15">
        <v>46174</v>
      </c>
      <c r="E154" s="14" t="s">
        <v>1149</v>
      </c>
    </row>
    <row r="155" spans="1:5" x14ac:dyDescent="0.3">
      <c r="A155" s="8">
        <v>46198</v>
      </c>
      <c r="B155" t="s">
        <v>293</v>
      </c>
      <c r="C155" s="1">
        <v>249600</v>
      </c>
      <c r="D155" s="15">
        <v>46174</v>
      </c>
      <c r="E155" s="14" t="s">
        <v>1150</v>
      </c>
    </row>
    <row r="156" spans="1:5" x14ac:dyDescent="0.3">
      <c r="A156" s="8">
        <v>46198</v>
      </c>
      <c r="B156" t="s">
        <v>295</v>
      </c>
      <c r="C156" s="1">
        <v>14.12</v>
      </c>
      <c r="D156" s="15">
        <v>46174</v>
      </c>
      <c r="E156" s="14" t="s">
        <v>1151</v>
      </c>
    </row>
    <row r="157" spans="1:5" x14ac:dyDescent="0.3">
      <c r="A157" s="8">
        <v>46198</v>
      </c>
      <c r="B157" t="s">
        <v>478</v>
      </c>
      <c r="C157" s="1">
        <v>3528.72</v>
      </c>
      <c r="D157" s="15">
        <v>46174</v>
      </c>
      <c r="E157" s="14" t="s">
        <v>536</v>
      </c>
    </row>
    <row r="158" spans="1:5" x14ac:dyDescent="0.3">
      <c r="A158" s="8">
        <v>46199</v>
      </c>
      <c r="B158" t="s">
        <v>1119</v>
      </c>
      <c r="C158" s="1">
        <v>0.4</v>
      </c>
      <c r="D158" s="15">
        <v>46174</v>
      </c>
      <c r="E158" s="14" t="s">
        <v>536</v>
      </c>
    </row>
    <row r="159" spans="1:5" x14ac:dyDescent="0.3">
      <c r="A159" s="8">
        <v>46199</v>
      </c>
      <c r="B159" t="s">
        <v>478</v>
      </c>
      <c r="C159" s="1">
        <v>100</v>
      </c>
      <c r="D159" s="15">
        <v>46174</v>
      </c>
      <c r="E159" s="14" t="s">
        <v>536</v>
      </c>
    </row>
    <row r="160" spans="1:5" x14ac:dyDescent="0.3">
      <c r="A160" s="8">
        <v>46199</v>
      </c>
      <c r="B160" t="s">
        <v>295</v>
      </c>
      <c r="C160" s="1">
        <v>0.4</v>
      </c>
      <c r="D160" s="15">
        <v>46174</v>
      </c>
      <c r="E160" s="14" t="s">
        <v>1152</v>
      </c>
    </row>
    <row r="161" spans="1:5" x14ac:dyDescent="0.3">
      <c r="A161" s="8">
        <v>46199</v>
      </c>
      <c r="B161" t="s">
        <v>478</v>
      </c>
      <c r="C161" s="1">
        <v>100</v>
      </c>
      <c r="D161" s="15">
        <v>46174</v>
      </c>
      <c r="E161" s="14" t="s">
        <v>536</v>
      </c>
    </row>
    <row r="162" spans="1:5" x14ac:dyDescent="0.3">
      <c r="A162" s="8">
        <v>46199</v>
      </c>
      <c r="B162" t="s">
        <v>295</v>
      </c>
      <c r="C162" s="1">
        <v>0.4</v>
      </c>
      <c r="D162" s="15">
        <v>46174</v>
      </c>
      <c r="E162" s="14" t="s">
        <v>1153</v>
      </c>
    </row>
    <row r="163" spans="1:5" x14ac:dyDescent="0.3">
      <c r="A163" s="8">
        <v>46199</v>
      </c>
      <c r="B163" t="s">
        <v>478</v>
      </c>
      <c r="C163" s="1">
        <v>100</v>
      </c>
      <c r="D163" s="15">
        <v>46174</v>
      </c>
      <c r="E163" s="14" t="s">
        <v>536</v>
      </c>
    </row>
    <row r="164" spans="1:5" x14ac:dyDescent="0.3">
      <c r="A164" s="8">
        <v>46199</v>
      </c>
      <c r="B164" t="s">
        <v>295</v>
      </c>
      <c r="C164" s="1">
        <v>99.8</v>
      </c>
      <c r="D164" s="15">
        <v>46174</v>
      </c>
      <c r="E164" s="14" t="s">
        <v>1154</v>
      </c>
    </row>
    <row r="165" spans="1:5" x14ac:dyDescent="0.3">
      <c r="A165" s="8">
        <v>46199</v>
      </c>
      <c r="B165" t="s">
        <v>478</v>
      </c>
      <c r="C165" s="1">
        <v>24950</v>
      </c>
      <c r="D165" s="15">
        <v>46174</v>
      </c>
      <c r="E165" s="14" t="s">
        <v>536</v>
      </c>
    </row>
    <row r="166" spans="1:5" x14ac:dyDescent="0.3">
      <c r="A166" s="8">
        <v>46199</v>
      </c>
      <c r="B166" t="s">
        <v>295</v>
      </c>
      <c r="C166" s="1">
        <v>91.94</v>
      </c>
      <c r="D166" s="15">
        <v>46174</v>
      </c>
      <c r="E166" s="14" t="s">
        <v>1155</v>
      </c>
    </row>
    <row r="167" spans="1:5" x14ac:dyDescent="0.3">
      <c r="A167" s="8">
        <v>46199</v>
      </c>
      <c r="B167" t="s">
        <v>478</v>
      </c>
      <c r="C167" s="1">
        <v>22984</v>
      </c>
      <c r="D167" s="15">
        <v>46174</v>
      </c>
      <c r="E167" s="14" t="s">
        <v>536</v>
      </c>
    </row>
    <row r="168" spans="1:5" x14ac:dyDescent="0.3">
      <c r="A168" s="8">
        <v>46200</v>
      </c>
      <c r="B168" t="s">
        <v>295</v>
      </c>
      <c r="C168" s="1">
        <v>47.74</v>
      </c>
      <c r="D168" s="15">
        <v>46174</v>
      </c>
      <c r="E168" s="14" t="s">
        <v>1156</v>
      </c>
    </row>
    <row r="169" spans="1:5" x14ac:dyDescent="0.3">
      <c r="A169" s="8">
        <v>46200</v>
      </c>
      <c r="B169" t="s">
        <v>1116</v>
      </c>
      <c r="C169" s="1">
        <v>11934</v>
      </c>
      <c r="D169" s="15">
        <v>46174</v>
      </c>
      <c r="E169" s="14" t="s">
        <v>536</v>
      </c>
    </row>
    <row r="170" spans="1:5" x14ac:dyDescent="0.3">
      <c r="A170" s="8">
        <v>46200</v>
      </c>
      <c r="B170" t="s">
        <v>295</v>
      </c>
      <c r="C170" s="1">
        <v>43.77</v>
      </c>
      <c r="D170" s="15">
        <v>46174</v>
      </c>
      <c r="E170" s="14" t="s">
        <v>1157</v>
      </c>
    </row>
    <row r="171" spans="1:5" x14ac:dyDescent="0.3">
      <c r="A171" s="8">
        <v>46200</v>
      </c>
      <c r="B171" t="s">
        <v>478</v>
      </c>
      <c r="C171" s="1">
        <v>10941</v>
      </c>
      <c r="D171" s="15">
        <v>46174</v>
      </c>
      <c r="E171" s="14" t="s">
        <v>536</v>
      </c>
    </row>
    <row r="172" spans="1:5" x14ac:dyDescent="0.3">
      <c r="A172" s="8">
        <v>46203</v>
      </c>
      <c r="B172" t="s">
        <v>293</v>
      </c>
      <c r="C172" s="1">
        <v>150737</v>
      </c>
      <c r="D172" s="15">
        <v>46174</v>
      </c>
      <c r="E172" s="14" t="s">
        <v>1158</v>
      </c>
    </row>
    <row r="173" spans="1:5" x14ac:dyDescent="0.3">
      <c r="A173" s="8">
        <v>46203</v>
      </c>
      <c r="B173" t="s">
        <v>296</v>
      </c>
      <c r="C173" s="1">
        <v>11803000</v>
      </c>
      <c r="D173" s="15">
        <v>46174</v>
      </c>
      <c r="E173" s="14" t="s">
        <v>1159</v>
      </c>
    </row>
    <row r="174" spans="1:5" x14ac:dyDescent="0.3">
      <c r="A174" s="8">
        <v>46203</v>
      </c>
      <c r="B174" t="s">
        <v>296</v>
      </c>
      <c r="C174" s="1">
        <v>16503000</v>
      </c>
      <c r="D174" s="15">
        <v>46174</v>
      </c>
      <c r="E174" s="14" t="s">
        <v>1160</v>
      </c>
    </row>
    <row r="175" spans="1:5" x14ac:dyDescent="0.3">
      <c r="A175" s="8">
        <v>46203</v>
      </c>
      <c r="B175" t="s">
        <v>293</v>
      </c>
      <c r="C175" s="1">
        <v>6395000</v>
      </c>
      <c r="D175" s="15">
        <v>46174</v>
      </c>
      <c r="E175" s="14" t="s">
        <v>1161</v>
      </c>
    </row>
    <row r="176" spans="1:5" x14ac:dyDescent="0.3">
      <c r="A176" s="8">
        <v>46204</v>
      </c>
      <c r="B176" t="s">
        <v>293</v>
      </c>
      <c r="C176" s="1">
        <v>4350495</v>
      </c>
      <c r="D176" s="15">
        <f>EOMONTH(TablaIngresos[[#This Row],[Fecha]],-1)+1</f>
        <v>46204</v>
      </c>
      <c r="E176" s="14" t="s">
        <v>298</v>
      </c>
    </row>
    <row r="177" spans="1:5" x14ac:dyDescent="0.3">
      <c r="A177" s="8">
        <v>46207</v>
      </c>
      <c r="B177" t="s">
        <v>294</v>
      </c>
      <c r="C177" s="1">
        <v>6000</v>
      </c>
      <c r="D177" s="15">
        <f>EOMONTH(TablaIngresos[[#This Row],[Fecha]],-1)+1</f>
        <v>46204</v>
      </c>
      <c r="E177" s="14" t="s">
        <v>300</v>
      </c>
    </row>
    <row r="178" spans="1:5" x14ac:dyDescent="0.3">
      <c r="A178" s="8">
        <v>46207</v>
      </c>
      <c r="B178" t="s">
        <v>295</v>
      </c>
      <c r="C178" s="1">
        <v>123.89</v>
      </c>
      <c r="D178" s="15">
        <f>EOMONTH(TablaIngresos[[#This Row],[Fecha]],-1)+1</f>
        <v>46204</v>
      </c>
      <c r="E178" s="14" t="s">
        <v>299</v>
      </c>
    </row>
    <row r="179" spans="1:5" x14ac:dyDescent="0.3">
      <c r="A179" s="8">
        <v>46209</v>
      </c>
      <c r="B179" t="s">
        <v>296</v>
      </c>
      <c r="C179" s="1">
        <v>17697129</v>
      </c>
      <c r="D179" s="15">
        <f>EOMONTH(TablaIngresos[[#This Row],[Fecha]],-1)+1</f>
        <v>46204</v>
      </c>
      <c r="E179" s="14" t="s">
        <v>304</v>
      </c>
    </row>
    <row r="180" spans="1:5" x14ac:dyDescent="0.3">
      <c r="A180" s="8">
        <v>46209</v>
      </c>
      <c r="B180" t="s">
        <v>297</v>
      </c>
      <c r="C180" s="1">
        <v>386378.44</v>
      </c>
      <c r="D180" s="15">
        <f>EOMONTH(TablaIngresos[[#This Row],[Fecha]],-1)+1</f>
        <v>46204</v>
      </c>
      <c r="E180" s="14" t="s">
        <v>305</v>
      </c>
    </row>
    <row r="181" spans="1:5" x14ac:dyDescent="0.3">
      <c r="A181" s="8">
        <v>46209</v>
      </c>
      <c r="B181" t="s">
        <v>293</v>
      </c>
      <c r="C181" s="1">
        <v>6251300</v>
      </c>
      <c r="D181" s="15">
        <f>EOMONTH(TablaIngresos[[#This Row],[Fecha]],-1)+1</f>
        <v>46204</v>
      </c>
      <c r="E181" s="14" t="s">
        <v>301</v>
      </c>
    </row>
    <row r="182" spans="1:5" x14ac:dyDescent="0.3">
      <c r="A182" s="8">
        <v>46209</v>
      </c>
      <c r="B182" t="s">
        <v>293</v>
      </c>
      <c r="C182" s="1">
        <v>5850000</v>
      </c>
      <c r="D182" s="15">
        <f>EOMONTH(TablaIngresos[[#This Row],[Fecha]],-1)+1</f>
        <v>46204</v>
      </c>
      <c r="E182" s="14" t="s">
        <v>302</v>
      </c>
    </row>
    <row r="183" spans="1:5" x14ac:dyDescent="0.3">
      <c r="A183" s="8">
        <v>46209</v>
      </c>
      <c r="B183" t="s">
        <v>296</v>
      </c>
      <c r="C183" s="1">
        <v>4740000</v>
      </c>
      <c r="D183" s="15">
        <f>EOMONTH(TablaIngresos[[#This Row],[Fecha]],-1)+1</f>
        <v>46204</v>
      </c>
      <c r="E183" s="14" t="s">
        <v>303</v>
      </c>
    </row>
    <row r="184" spans="1:5" x14ac:dyDescent="0.3">
      <c r="A184" s="8">
        <v>46212</v>
      </c>
      <c r="B184" t="s">
        <v>293</v>
      </c>
      <c r="C184" s="1">
        <v>665400</v>
      </c>
      <c r="D184" s="15">
        <f>EOMONTH(TablaIngresos[[#This Row],[Fecha]],-1)+1</f>
        <v>46204</v>
      </c>
      <c r="E184" s="14" t="s">
        <v>306</v>
      </c>
    </row>
    <row r="185" spans="1:5" x14ac:dyDescent="0.3">
      <c r="A185" s="8">
        <v>46214</v>
      </c>
      <c r="B185" t="s">
        <v>293</v>
      </c>
      <c r="C185" s="1">
        <v>5850000</v>
      </c>
      <c r="D185" s="15">
        <f>EOMONTH(TablaIngresos[[#This Row],[Fecha]],-1)+1</f>
        <v>46204</v>
      </c>
      <c r="E185" s="14" t="s">
        <v>307</v>
      </c>
    </row>
    <row r="186" spans="1:5" x14ac:dyDescent="0.3">
      <c r="A186" s="8">
        <v>46217</v>
      </c>
      <c r="B186" t="s">
        <v>296</v>
      </c>
      <c r="C186" s="1">
        <v>16224494</v>
      </c>
      <c r="D186" s="15">
        <f>EOMONTH(TablaIngresos[[#This Row],[Fecha]],-1)+1</f>
        <v>46204</v>
      </c>
      <c r="E186" s="14" t="s">
        <v>308</v>
      </c>
    </row>
    <row r="187" spans="1:5" x14ac:dyDescent="0.3">
      <c r="A187" s="8">
        <v>46217</v>
      </c>
      <c r="B187" t="s">
        <v>296</v>
      </c>
      <c r="C187" s="1">
        <v>16820000</v>
      </c>
      <c r="D187" s="15">
        <f>EOMONTH(TablaIngresos[[#This Row],[Fecha]],-1)+1</f>
        <v>46204</v>
      </c>
      <c r="E187" s="14" t="s">
        <v>309</v>
      </c>
    </row>
    <row r="188" spans="1:5" x14ac:dyDescent="0.3">
      <c r="A188" s="8">
        <v>46218</v>
      </c>
      <c r="B188" t="s">
        <v>295</v>
      </c>
      <c r="C188" s="1">
        <v>87.98</v>
      </c>
      <c r="D188" s="15">
        <f>EOMONTH(TablaIngresos[[#This Row],[Fecha]],-1)+1</f>
        <v>46204</v>
      </c>
      <c r="E188" s="14" t="s">
        <v>347</v>
      </c>
    </row>
    <row r="189" spans="1:5" x14ac:dyDescent="0.3">
      <c r="A189" s="8">
        <v>46218</v>
      </c>
      <c r="B189" t="s">
        <v>294</v>
      </c>
      <c r="C189" s="1">
        <v>21994</v>
      </c>
      <c r="D189" s="15">
        <f>EOMONTH(TablaIngresos[[#This Row],[Fecha]],-1)+1</f>
        <v>46204</v>
      </c>
      <c r="E189" s="14" t="s">
        <v>348</v>
      </c>
    </row>
    <row r="190" spans="1:5" x14ac:dyDescent="0.3">
      <c r="A190" s="8"/>
      <c r="C190" s="1"/>
      <c r="D190" s="15"/>
      <c r="E190" s="14"/>
    </row>
    <row r="191" spans="1:5" x14ac:dyDescent="0.3">
      <c r="A191" s="8"/>
      <c r="C191" s="1"/>
      <c r="D191" s="15"/>
      <c r="E191" s="14"/>
    </row>
    <row r="192" spans="1:5" x14ac:dyDescent="0.3">
      <c r="A192" s="8"/>
      <c r="C192" s="1"/>
      <c r="D192" s="15"/>
      <c r="E192" s="14"/>
    </row>
    <row r="193" spans="1:5" x14ac:dyDescent="0.3">
      <c r="A193" s="8"/>
      <c r="C193" s="1"/>
      <c r="D193" s="15"/>
      <c r="E193" s="1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D761E-42B3-42EC-A4CE-B83D31F885E7}">
  <sheetPr>
    <tabColor rgb="FFDADCE0"/>
  </sheetPr>
  <dimension ref="A1:Q136"/>
  <sheetViews>
    <sheetView tabSelected="1" zoomScale="80" zoomScaleNormal="80" workbookViewId="0">
      <selection activeCell="K29" sqref="K29"/>
    </sheetView>
  </sheetViews>
  <sheetFormatPr baseColWidth="10" defaultRowHeight="14.4" x14ac:dyDescent="0.3"/>
  <cols>
    <col min="1" max="1" width="18.109375" style="2" bestFit="1" customWidth="1"/>
    <col min="2" max="2" width="14.88671875" style="2" bestFit="1" customWidth="1"/>
    <col min="3" max="3" width="16.77734375" style="2" bestFit="1" customWidth="1"/>
    <col min="4" max="6" width="13.5546875" style="2" bestFit="1" customWidth="1"/>
    <col min="7" max="7" width="11.5546875" style="2" bestFit="1" customWidth="1"/>
    <col min="8" max="8" width="12.109375" style="2" bestFit="1" customWidth="1"/>
    <col min="9" max="9" width="11.44140625" style="2" bestFit="1" customWidth="1"/>
    <col min="10" max="10" width="12.21875" style="2" bestFit="1" customWidth="1"/>
    <col min="11" max="11" width="11.6640625" style="2" bestFit="1" customWidth="1"/>
    <col min="12" max="12" width="12.33203125" style="2" bestFit="1" customWidth="1"/>
    <col min="13" max="13" width="11.6640625" style="2" bestFit="1" customWidth="1"/>
    <col min="14" max="14" width="12.5546875" style="2" bestFit="1" customWidth="1"/>
    <col min="15" max="15" width="11.5546875" style="2" bestFit="1" customWidth="1"/>
    <col min="16" max="16" width="11.33203125" style="2" bestFit="1" customWidth="1"/>
    <col min="17" max="17" width="12.44140625" style="2" bestFit="1" customWidth="1"/>
  </cols>
  <sheetData>
    <row r="1" spans="1:17" s="5" customFormat="1" x14ac:dyDescent="0.3">
      <c r="A1" s="3" t="s">
        <v>29</v>
      </c>
      <c r="B1" s="3" t="s">
        <v>8</v>
      </c>
      <c r="C1" s="3" t="s">
        <v>9</v>
      </c>
      <c r="D1" s="4">
        <v>46204</v>
      </c>
      <c r="E1" s="4">
        <v>46235</v>
      </c>
      <c r="F1" s="4">
        <v>46266</v>
      </c>
      <c r="G1" s="4">
        <v>46296</v>
      </c>
      <c r="H1" s="4">
        <v>46327</v>
      </c>
      <c r="I1" s="4">
        <v>46357</v>
      </c>
      <c r="J1" s="4">
        <v>46388</v>
      </c>
      <c r="K1" s="4">
        <v>46419</v>
      </c>
      <c r="L1" s="4">
        <v>46447</v>
      </c>
      <c r="M1" s="4">
        <v>46478</v>
      </c>
      <c r="N1" s="4">
        <v>46508</v>
      </c>
      <c r="O1" s="4">
        <v>46539</v>
      </c>
      <c r="P1" s="4">
        <v>46569</v>
      </c>
      <c r="Q1" s="3"/>
    </row>
    <row r="2" spans="1:17" x14ac:dyDescent="0.3">
      <c r="A2" s="2" t="s">
        <v>0</v>
      </c>
      <c r="B2" s="1">
        <v>22000000</v>
      </c>
      <c r="C2" s="1">
        <v>2000000</v>
      </c>
      <c r="D2" s="1">
        <v>2000000</v>
      </c>
      <c r="E2" s="1">
        <v>2000000</v>
      </c>
      <c r="F2" s="1">
        <v>2000000</v>
      </c>
      <c r="G2" s="1">
        <v>2000000</v>
      </c>
      <c r="H2" s="1">
        <v>2000000</v>
      </c>
      <c r="I2" s="1">
        <v>2000000</v>
      </c>
      <c r="J2" s="1">
        <v>2000000</v>
      </c>
      <c r="K2" s="1">
        <v>2000000</v>
      </c>
      <c r="L2" s="1">
        <v>2000000</v>
      </c>
      <c r="M2" s="1">
        <v>2000000</v>
      </c>
      <c r="N2" s="1">
        <v>2000000</v>
      </c>
      <c r="O2" s="1">
        <v>0</v>
      </c>
      <c r="P2" s="1">
        <v>0</v>
      </c>
      <c r="Q2" s="1">
        <f t="shared" ref="Q2:Q6" si="0">SUM(D2:P2)</f>
        <v>22000000</v>
      </c>
    </row>
    <row r="3" spans="1:17" x14ac:dyDescent="0.3">
      <c r="A3" s="2" t="s">
        <v>1</v>
      </c>
      <c r="B3" s="1">
        <v>110000000</v>
      </c>
      <c r="C3" s="1">
        <v>4500000</v>
      </c>
      <c r="D3" s="1"/>
      <c r="E3" s="1">
        <v>2000000</v>
      </c>
      <c r="F3" s="1">
        <v>2000000</v>
      </c>
      <c r="G3" s="1">
        <v>2000000</v>
      </c>
      <c r="H3" s="1">
        <v>2000000</v>
      </c>
      <c r="I3" s="1">
        <v>2000000</v>
      </c>
      <c r="J3" s="1">
        <v>2000000</v>
      </c>
      <c r="K3" s="1">
        <v>2000000</v>
      </c>
      <c r="L3" s="1">
        <v>2000000</v>
      </c>
      <c r="M3" s="1">
        <v>2000000</v>
      </c>
      <c r="N3" s="1">
        <v>2000000</v>
      </c>
      <c r="O3" s="1">
        <v>2000000</v>
      </c>
      <c r="P3" s="1">
        <v>2000000</v>
      </c>
      <c r="Q3" s="1">
        <f t="shared" si="0"/>
        <v>24000000</v>
      </c>
    </row>
    <row r="4" spans="1:17" x14ac:dyDescent="0.3">
      <c r="A4" s="2" t="s">
        <v>2</v>
      </c>
      <c r="B4" s="1">
        <v>4500000</v>
      </c>
      <c r="C4" s="1">
        <v>1000000</v>
      </c>
      <c r="D4" s="1">
        <v>1000000</v>
      </c>
      <c r="E4" s="1">
        <v>1000000</v>
      </c>
      <c r="F4" s="1">
        <v>1000000</v>
      </c>
      <c r="G4" s="1">
        <v>1000000</v>
      </c>
      <c r="H4" s="1">
        <v>500000</v>
      </c>
      <c r="Q4" s="1">
        <f t="shared" si="0"/>
        <v>4500000</v>
      </c>
    </row>
    <row r="5" spans="1:17" x14ac:dyDescent="0.3">
      <c r="A5" s="2" t="s">
        <v>3</v>
      </c>
      <c r="B5" s="1">
        <v>2150000</v>
      </c>
      <c r="C5" s="1">
        <v>700000</v>
      </c>
      <c r="D5" s="1">
        <v>700000</v>
      </c>
      <c r="E5" s="1">
        <v>700000</v>
      </c>
      <c r="F5" s="1">
        <v>700000</v>
      </c>
      <c r="Q5" s="1">
        <f t="shared" si="0"/>
        <v>2100000</v>
      </c>
    </row>
    <row r="6" spans="1:17" hidden="1" x14ac:dyDescent="0.3">
      <c r="A6" s="2" t="s">
        <v>30</v>
      </c>
      <c r="B6" s="1">
        <v>11910248</v>
      </c>
      <c r="C6" s="1"/>
      <c r="D6" s="1">
        <v>1150000</v>
      </c>
      <c r="E6" s="1">
        <v>1150000</v>
      </c>
      <c r="F6" s="1">
        <v>1150000</v>
      </c>
      <c r="G6" s="1">
        <v>1150000</v>
      </c>
      <c r="H6" s="1">
        <v>1150000</v>
      </c>
      <c r="I6" s="1">
        <v>1150000</v>
      </c>
      <c r="J6" s="1">
        <v>1150000</v>
      </c>
      <c r="K6" s="1">
        <v>1150000</v>
      </c>
      <c r="L6" s="1">
        <v>1150000</v>
      </c>
      <c r="M6" s="1">
        <v>1150000</v>
      </c>
      <c r="N6" s="1">
        <v>1150000</v>
      </c>
      <c r="O6" s="1">
        <v>1150000</v>
      </c>
      <c r="P6" s="1">
        <v>1150000</v>
      </c>
      <c r="Q6" s="1">
        <f t="shared" si="0"/>
        <v>14950000</v>
      </c>
    </row>
    <row r="7" spans="1:17" x14ac:dyDescent="0.3">
      <c r="A7" s="2" t="s">
        <v>4</v>
      </c>
      <c r="B7" s="1">
        <v>6500000</v>
      </c>
      <c r="C7" s="1">
        <v>3250000</v>
      </c>
      <c r="D7" s="6">
        <v>6500000</v>
      </c>
      <c r="E7" s="1">
        <v>0</v>
      </c>
      <c r="F7" s="1">
        <v>0</v>
      </c>
    </row>
    <row r="8" spans="1:17" x14ac:dyDescent="0.3">
      <c r="A8" s="7" t="s">
        <v>5</v>
      </c>
      <c r="B8" s="1">
        <v>11149418</v>
      </c>
      <c r="C8" s="1">
        <v>4500000</v>
      </c>
      <c r="D8" s="6">
        <v>9200000</v>
      </c>
      <c r="E8" s="1"/>
      <c r="F8" s="1"/>
    </row>
    <row r="9" spans="1:17" x14ac:dyDescent="0.3">
      <c r="A9" s="7" t="s">
        <v>6</v>
      </c>
      <c r="B9" s="1">
        <v>74000000</v>
      </c>
      <c r="C9" s="1">
        <v>20000000</v>
      </c>
      <c r="D9" s="6">
        <v>20000000</v>
      </c>
      <c r="E9" s="1">
        <v>20000000</v>
      </c>
      <c r="F9" s="1">
        <v>20000000</v>
      </c>
    </row>
    <row r="10" spans="1:17" x14ac:dyDescent="0.3">
      <c r="A10" s="2" t="s">
        <v>7</v>
      </c>
      <c r="B10" s="1">
        <v>18000000</v>
      </c>
      <c r="C10" s="1">
        <v>2500000</v>
      </c>
      <c r="D10" s="1">
        <v>2500000</v>
      </c>
      <c r="E10" s="1">
        <v>2500000</v>
      </c>
      <c r="F10" s="1">
        <v>2500000</v>
      </c>
    </row>
    <row r="11" spans="1:17" x14ac:dyDescent="0.3">
      <c r="A11" s="7" t="s">
        <v>10</v>
      </c>
      <c r="B11" s="1">
        <v>45000000</v>
      </c>
      <c r="C11" s="1"/>
      <c r="D11" s="6">
        <v>25000000</v>
      </c>
      <c r="E11" s="1">
        <v>25000000</v>
      </c>
      <c r="F11" s="1">
        <v>0</v>
      </c>
    </row>
    <row r="12" spans="1:17" x14ac:dyDescent="0.3">
      <c r="A12" s="7" t="s">
        <v>11</v>
      </c>
      <c r="B12" s="1">
        <v>25000000</v>
      </c>
      <c r="C12" s="1"/>
      <c r="D12" s="6">
        <v>25000000</v>
      </c>
      <c r="E12" s="1">
        <v>0</v>
      </c>
      <c r="F12" s="1">
        <v>0</v>
      </c>
    </row>
    <row r="13" spans="1:17" x14ac:dyDescent="0.3">
      <c r="A13" s="7" t="s">
        <v>12</v>
      </c>
      <c r="B13" s="1">
        <v>25000000</v>
      </c>
      <c r="C13" s="1"/>
      <c r="D13" s="6">
        <v>25000000</v>
      </c>
      <c r="E13" s="1">
        <v>0</v>
      </c>
      <c r="F13" s="1">
        <v>0</v>
      </c>
    </row>
    <row r="14" spans="1:17" x14ac:dyDescent="0.3">
      <c r="A14" s="2" t="s">
        <v>13</v>
      </c>
      <c r="B14" s="1">
        <f>2016000+900000</f>
        <v>2916000</v>
      </c>
      <c r="C14" s="1"/>
      <c r="D14" s="1">
        <f>+B14/2</f>
        <v>1458000</v>
      </c>
      <c r="E14" s="1">
        <f>+B14/2</f>
        <v>1458000</v>
      </c>
      <c r="F14" s="1">
        <f>+C14/2</f>
        <v>0</v>
      </c>
    </row>
    <row r="15" spans="1:17" x14ac:dyDescent="0.3">
      <c r="A15" s="2" t="s">
        <v>14</v>
      </c>
      <c r="B15" s="1">
        <f>3920000+1750000</f>
        <v>5670000</v>
      </c>
      <c r="C15" s="1"/>
      <c r="D15" s="1">
        <f>+B15/2</f>
        <v>2835000</v>
      </c>
      <c r="E15" s="1">
        <f>+B15/2</f>
        <v>2835000</v>
      </c>
      <c r="F15" s="1">
        <f>+C15/2</f>
        <v>0</v>
      </c>
    </row>
    <row r="16" spans="1:17" x14ac:dyDescent="0.3">
      <c r="A16" s="2" t="s">
        <v>28</v>
      </c>
      <c r="B16" s="1"/>
      <c r="C16" s="1"/>
      <c r="D16" s="6">
        <v>9613928</v>
      </c>
      <c r="E16" s="1">
        <v>6940905</v>
      </c>
      <c r="F16" s="1">
        <v>6940905</v>
      </c>
    </row>
    <row r="17" spans="1:6" x14ac:dyDescent="0.3">
      <c r="A17" s="7" t="s">
        <v>31</v>
      </c>
      <c r="B17" s="1"/>
      <c r="C17" s="1"/>
      <c r="D17" s="6">
        <v>6123788</v>
      </c>
      <c r="E17" s="1">
        <f>6123788+14000000</f>
        <v>20123788</v>
      </c>
      <c r="F17" s="1">
        <f>6123788+14000000</f>
        <v>20123788</v>
      </c>
    </row>
    <row r="18" spans="1:6" x14ac:dyDescent="0.3">
      <c r="A18" s="2" t="s">
        <v>32</v>
      </c>
      <c r="B18" s="1"/>
      <c r="C18" s="1"/>
      <c r="D18" s="1">
        <v>14000000</v>
      </c>
      <c r="E18" s="1"/>
      <c r="F18" s="1"/>
    </row>
    <row r="19" spans="1:6" x14ac:dyDescent="0.3">
      <c r="A19" s="7" t="s">
        <v>15</v>
      </c>
      <c r="B19" s="1"/>
      <c r="C19" s="1"/>
      <c r="D19" s="1">
        <v>1742319</v>
      </c>
      <c r="E19" s="1">
        <v>1742319</v>
      </c>
      <c r="F19" s="1">
        <v>1742319</v>
      </c>
    </row>
    <row r="20" spans="1:6" x14ac:dyDescent="0.3">
      <c r="A20" s="2" t="s">
        <v>16</v>
      </c>
      <c r="B20" s="1"/>
      <c r="C20" s="1"/>
      <c r="D20" s="1">
        <v>2361033</v>
      </c>
      <c r="E20" s="1">
        <v>2361033</v>
      </c>
      <c r="F20" s="1">
        <v>2361033</v>
      </c>
    </row>
    <row r="21" spans="1:6" x14ac:dyDescent="0.3">
      <c r="A21" s="2" t="s">
        <v>17</v>
      </c>
      <c r="B21" s="1"/>
      <c r="C21" s="1"/>
      <c r="D21" s="1">
        <v>1780601</v>
      </c>
      <c r="E21" s="1">
        <v>1780601</v>
      </c>
      <c r="F21" s="1">
        <v>1780601</v>
      </c>
    </row>
    <row r="22" spans="1:6" x14ac:dyDescent="0.3">
      <c r="A22" s="2" t="s">
        <v>21</v>
      </c>
      <c r="B22" s="1"/>
      <c r="C22" s="1"/>
      <c r="D22" s="1">
        <v>5000000</v>
      </c>
      <c r="E22" s="1">
        <v>5000000</v>
      </c>
      <c r="F22" s="1">
        <v>5000000</v>
      </c>
    </row>
    <row r="23" spans="1:6" x14ac:dyDescent="0.3">
      <c r="A23" s="2" t="s">
        <v>22</v>
      </c>
      <c r="B23" s="1"/>
      <c r="C23" s="1"/>
      <c r="D23" s="1">
        <v>495000</v>
      </c>
      <c r="E23" s="1">
        <v>495000</v>
      </c>
      <c r="F23" s="1">
        <v>495000</v>
      </c>
    </row>
    <row r="24" spans="1:6" x14ac:dyDescent="0.3">
      <c r="A24" s="2" t="s">
        <v>18</v>
      </c>
      <c r="B24" s="1"/>
      <c r="C24" s="1"/>
      <c r="D24" s="1">
        <f>3890000*2</f>
        <v>7780000</v>
      </c>
      <c r="E24" s="1">
        <f>3890000*2</f>
        <v>7780000</v>
      </c>
      <c r="F24" s="1">
        <f>3890000*2</f>
        <v>7780000</v>
      </c>
    </row>
    <row r="25" spans="1:6" x14ac:dyDescent="0.3">
      <c r="A25" s="2" t="s">
        <v>19</v>
      </c>
      <c r="B25" s="1"/>
      <c r="C25" s="1"/>
      <c r="D25" s="1">
        <v>750000</v>
      </c>
      <c r="E25" s="1">
        <v>750000</v>
      </c>
      <c r="F25" s="1">
        <v>750000</v>
      </c>
    </row>
    <row r="26" spans="1:6" x14ac:dyDescent="0.3">
      <c r="A26" s="2" t="s">
        <v>20</v>
      </c>
      <c r="B26" s="1"/>
      <c r="C26" s="1"/>
      <c r="D26" s="1"/>
    </row>
    <row r="27" spans="1:6" x14ac:dyDescent="0.3">
      <c r="A27" s="2" t="s">
        <v>25</v>
      </c>
      <c r="B27" s="1"/>
      <c r="C27" s="1"/>
      <c r="D27" s="1">
        <v>16000000</v>
      </c>
      <c r="E27" s="1">
        <v>16000000</v>
      </c>
      <c r="F27" s="1">
        <v>16000000</v>
      </c>
    </row>
    <row r="28" spans="1:6" x14ac:dyDescent="0.3">
      <c r="A28" s="2" t="s">
        <v>26</v>
      </c>
      <c r="B28" s="1"/>
      <c r="C28" s="1"/>
      <c r="D28" s="1">
        <v>3000000</v>
      </c>
      <c r="E28" s="1">
        <v>1500000</v>
      </c>
      <c r="F28" s="1">
        <v>1500000</v>
      </c>
    </row>
    <row r="29" spans="1:6" x14ac:dyDescent="0.3">
      <c r="B29" s="1"/>
      <c r="C29" s="1"/>
    </row>
    <row r="30" spans="1:6" x14ac:dyDescent="0.3">
      <c r="B30" s="1">
        <f>SUM(B2:B29)</f>
        <v>363795666</v>
      </c>
      <c r="C30" s="1">
        <f>SUM(C2:C29)</f>
        <v>38450000</v>
      </c>
      <c r="D30" s="1">
        <f>SUM(D2:D29)</f>
        <v>190989669</v>
      </c>
      <c r="E30" s="1">
        <f>SUM(E2:E29)</f>
        <v>123116646</v>
      </c>
      <c r="F30" s="1">
        <f>SUM(F2:F29)</f>
        <v>93823646</v>
      </c>
    </row>
    <row r="31" spans="1:6" x14ac:dyDescent="0.3">
      <c r="B31" s="1"/>
      <c r="C31" s="1"/>
      <c r="D31" s="1" t="e">
        <f>819114630-#REF!</f>
        <v>#REF!</v>
      </c>
      <c r="E31" s="1" t="e">
        <f>+D35</f>
        <v>#REF!</v>
      </c>
      <c r="F31" s="1" t="e">
        <f>+E35</f>
        <v>#REF!</v>
      </c>
    </row>
    <row r="32" spans="1:6" x14ac:dyDescent="0.3">
      <c r="B32" s="1"/>
      <c r="C32" s="1"/>
      <c r="D32" s="1" t="e">
        <f>+D31-D30</f>
        <v>#REF!</v>
      </c>
      <c r="E32" s="1" t="e">
        <f>+E31-E30</f>
        <v>#REF!</v>
      </c>
      <c r="F32" s="1" t="e">
        <f>+F31-F30</f>
        <v>#REF!</v>
      </c>
    </row>
    <row r="33" spans="2:6" x14ac:dyDescent="0.3">
      <c r="B33" s="1"/>
      <c r="C33" s="1" t="s">
        <v>23</v>
      </c>
      <c r="D33" s="1">
        <f>+(179900*100)*4</f>
        <v>71960000</v>
      </c>
      <c r="E33" s="1">
        <f>+D33*1.6</f>
        <v>115136000</v>
      </c>
      <c r="F33" s="1">
        <f>+E33*1.6</f>
        <v>184217600</v>
      </c>
    </row>
    <row r="34" spans="2:6" x14ac:dyDescent="0.3">
      <c r="B34" s="1"/>
      <c r="C34" s="1" t="s">
        <v>24</v>
      </c>
      <c r="D34" s="1">
        <v>30000000</v>
      </c>
      <c r="E34" s="1">
        <f>+D34*1.6</f>
        <v>48000000</v>
      </c>
      <c r="F34" s="1">
        <f>+E34*1.6</f>
        <v>76800000</v>
      </c>
    </row>
    <row r="35" spans="2:6" x14ac:dyDescent="0.3">
      <c r="B35" s="1"/>
      <c r="C35" s="1" t="s">
        <v>27</v>
      </c>
      <c r="D35" s="1" t="e">
        <f>+D32+D33+D34</f>
        <v>#REF!</v>
      </c>
      <c r="E35" s="1" t="e">
        <f>+E32+E33+E34</f>
        <v>#REF!</v>
      </c>
      <c r="F35" s="1" t="e">
        <f>+F32+F33+F34</f>
        <v>#REF!</v>
      </c>
    </row>
    <row r="36" spans="2:6" x14ac:dyDescent="0.3">
      <c r="B36" s="1"/>
      <c r="C36" s="1"/>
    </row>
    <row r="37" spans="2:6" x14ac:dyDescent="0.3">
      <c r="B37" s="1"/>
      <c r="C37" s="1"/>
    </row>
    <row r="38" spans="2:6" x14ac:dyDescent="0.3">
      <c r="B38" s="1"/>
      <c r="C38" s="1"/>
    </row>
    <row r="39" spans="2:6" x14ac:dyDescent="0.3">
      <c r="B39" s="1"/>
      <c r="C39" s="1"/>
    </row>
    <row r="40" spans="2:6" x14ac:dyDescent="0.3">
      <c r="B40" s="1"/>
      <c r="C40" s="1"/>
    </row>
    <row r="41" spans="2:6" x14ac:dyDescent="0.3">
      <c r="B41" s="1"/>
      <c r="C41" s="1"/>
    </row>
    <row r="42" spans="2:6" x14ac:dyDescent="0.3">
      <c r="B42" s="1"/>
      <c r="C42" s="1"/>
    </row>
    <row r="43" spans="2:6" x14ac:dyDescent="0.3">
      <c r="B43" s="1"/>
      <c r="C43" s="1"/>
    </row>
    <row r="44" spans="2:6" x14ac:dyDescent="0.3">
      <c r="B44" s="1"/>
      <c r="C44" s="1"/>
    </row>
    <row r="45" spans="2:6" x14ac:dyDescent="0.3">
      <c r="B45" s="1"/>
      <c r="C45" s="1"/>
    </row>
    <row r="46" spans="2:6" x14ac:dyDescent="0.3">
      <c r="B46" s="1"/>
      <c r="C46" s="1"/>
    </row>
    <row r="47" spans="2:6" x14ac:dyDescent="0.3">
      <c r="B47" s="1"/>
      <c r="C47" s="1"/>
    </row>
    <row r="48" spans="2:6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</sheetData>
  <autoFilter ref="A1:Q28" xr:uid="{3AFD761E-42B3-42EC-A4CE-B83D31F885E7}"/>
  <pageMargins left="0.7" right="0.7" top="0.75" bottom="0.75" header="0.3" footer="0.3"/>
  <ignoredErrors>
    <ignoredError sqref="Q2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23B6-8609-48C3-8D15-C142DFC69706}">
  <sheetPr>
    <tabColor rgb="FFDADCE0"/>
  </sheetPr>
  <dimension ref="A1:L16"/>
  <sheetViews>
    <sheetView workbookViewId="0">
      <selection activeCell="L26" sqref="L26"/>
    </sheetView>
  </sheetViews>
  <sheetFormatPr baseColWidth="10" defaultRowHeight="14.4" x14ac:dyDescent="0.3"/>
  <cols>
    <col min="1" max="1" width="39.77734375" style="21" bestFit="1" customWidth="1"/>
    <col min="2" max="2" width="11" style="21" bestFit="1" customWidth="1"/>
    <col min="3" max="3" width="20.88671875" style="21" bestFit="1" customWidth="1"/>
    <col min="4" max="4" width="15.44140625" style="21" bestFit="1" customWidth="1"/>
    <col min="5" max="5" width="10.109375" style="21" bestFit="1" customWidth="1"/>
    <col min="6" max="6" width="11.88671875" style="21" bestFit="1" customWidth="1"/>
    <col min="7" max="7" width="12.109375" style="21" bestFit="1" customWidth="1"/>
    <col min="8" max="8" width="10.109375" style="21" bestFit="1" customWidth="1"/>
    <col min="9" max="9" width="12.109375" style="21" bestFit="1" customWidth="1"/>
    <col min="10" max="10" width="14.44140625" style="21" bestFit="1" customWidth="1"/>
    <col min="11" max="11" width="17.5546875" style="21" bestFit="1" customWidth="1"/>
    <col min="12" max="12" width="11.77734375" style="21" bestFit="1" customWidth="1"/>
    <col min="13" max="16384" width="11.5546875" style="21"/>
  </cols>
  <sheetData>
    <row r="1" spans="1:12" ht="15.6" x14ac:dyDescent="0.3">
      <c r="A1" s="32" t="s">
        <v>402</v>
      </c>
    </row>
    <row r="2" spans="1:12" x14ac:dyDescent="0.3">
      <c r="A2" s="31" t="s">
        <v>33</v>
      </c>
      <c r="B2" s="31" t="s">
        <v>401</v>
      </c>
      <c r="C2" s="31" t="s">
        <v>400</v>
      </c>
      <c r="D2" s="31" t="s">
        <v>399</v>
      </c>
      <c r="E2" s="31" t="s">
        <v>398</v>
      </c>
      <c r="F2" s="31" t="s">
        <v>397</v>
      </c>
      <c r="G2" s="31" t="s">
        <v>396</v>
      </c>
      <c r="H2" s="31" t="s">
        <v>395</v>
      </c>
      <c r="I2" s="31" t="s">
        <v>394</v>
      </c>
      <c r="J2" s="31" t="s">
        <v>393</v>
      </c>
      <c r="K2" s="31" t="s">
        <v>392</v>
      </c>
      <c r="L2" s="31" t="s">
        <v>391</v>
      </c>
    </row>
    <row r="3" spans="1:12" x14ac:dyDescent="0.3">
      <c r="A3" s="29">
        <v>46078</v>
      </c>
      <c r="B3" s="21" t="s">
        <v>390</v>
      </c>
      <c r="C3" s="21" t="s">
        <v>389</v>
      </c>
      <c r="D3" s="30">
        <v>10</v>
      </c>
      <c r="E3" s="30">
        <v>13</v>
      </c>
      <c r="F3" s="30"/>
      <c r="G3" s="24">
        <v>110436733</v>
      </c>
      <c r="H3" s="24">
        <v>1049149</v>
      </c>
      <c r="I3" s="24">
        <v>21182318</v>
      </c>
      <c r="J3" s="24">
        <f t="shared" ref="J3:J10" si="0">G3+H3+I3</f>
        <v>132668200</v>
      </c>
      <c r="K3" s="29">
        <f>A3+'Proyeccion ingresos'!$C$4</f>
        <v>46228</v>
      </c>
      <c r="L3" s="28">
        <f t="shared" ref="L3:L10" si="1">EOMONTH(K3,-1)+1</f>
        <v>46204</v>
      </c>
    </row>
    <row r="4" spans="1:12" x14ac:dyDescent="0.3">
      <c r="A4" s="29">
        <v>46086</v>
      </c>
      <c r="B4" s="21" t="s">
        <v>388</v>
      </c>
      <c r="C4" s="21" t="s">
        <v>382</v>
      </c>
      <c r="D4" s="30">
        <v>10</v>
      </c>
      <c r="E4" s="30"/>
      <c r="F4" s="30"/>
      <c r="G4" s="24">
        <v>56389740</v>
      </c>
      <c r="H4" s="24">
        <v>535703</v>
      </c>
      <c r="I4" s="24">
        <v>10815834</v>
      </c>
      <c r="J4" s="24">
        <f t="shared" si="0"/>
        <v>67741277</v>
      </c>
      <c r="K4" s="29">
        <f>A4+'Proyeccion ingresos'!$C$4</f>
        <v>46236</v>
      </c>
      <c r="L4" s="28">
        <f t="shared" si="1"/>
        <v>46235</v>
      </c>
    </row>
    <row r="5" spans="1:12" x14ac:dyDescent="0.3">
      <c r="A5" s="29">
        <v>46128</v>
      </c>
      <c r="B5" s="21" t="s">
        <v>387</v>
      </c>
      <c r="C5" s="21" t="s">
        <v>386</v>
      </c>
      <c r="D5" s="30"/>
      <c r="E5" s="30"/>
      <c r="F5" s="30"/>
      <c r="G5" s="24">
        <v>12187605</v>
      </c>
      <c r="H5" s="24">
        <v>0</v>
      </c>
      <c r="I5" s="24">
        <v>2315645</v>
      </c>
      <c r="J5" s="24">
        <f t="shared" si="0"/>
        <v>14503250</v>
      </c>
      <c r="K5" s="29">
        <f>A5+'Proyeccion ingresos'!$C$4</f>
        <v>46278</v>
      </c>
      <c r="L5" s="28">
        <f t="shared" si="1"/>
        <v>46266</v>
      </c>
    </row>
    <row r="6" spans="1:12" x14ac:dyDescent="0.3">
      <c r="A6" s="29">
        <v>46137</v>
      </c>
      <c r="B6" s="21" t="s">
        <v>385</v>
      </c>
      <c r="C6" s="21" t="s">
        <v>384</v>
      </c>
      <c r="D6" s="30">
        <v>10</v>
      </c>
      <c r="E6" s="30">
        <v>2</v>
      </c>
      <c r="F6" s="30"/>
      <c r="G6" s="24">
        <v>64704662</v>
      </c>
      <c r="H6" s="24">
        <v>614695</v>
      </c>
      <c r="I6" s="24">
        <v>12410678</v>
      </c>
      <c r="J6" s="24">
        <f t="shared" si="0"/>
        <v>77730035</v>
      </c>
      <c r="K6" s="29">
        <f>A6+'Proyeccion ingresos'!$C$4</f>
        <v>46287</v>
      </c>
      <c r="L6" s="28">
        <f t="shared" si="1"/>
        <v>46266</v>
      </c>
    </row>
    <row r="7" spans="1:12" x14ac:dyDescent="0.3">
      <c r="A7" s="29">
        <v>46141</v>
      </c>
      <c r="B7" s="21" t="s">
        <v>383</v>
      </c>
      <c r="C7" s="21" t="s">
        <v>382</v>
      </c>
      <c r="D7" s="30">
        <v>10</v>
      </c>
      <c r="E7" s="30"/>
      <c r="F7" s="30"/>
      <c r="G7" s="24">
        <v>56389740</v>
      </c>
      <c r="H7" s="24">
        <v>535703</v>
      </c>
      <c r="I7" s="24">
        <v>10815834</v>
      </c>
      <c r="J7" s="24">
        <f t="shared" si="0"/>
        <v>67741277</v>
      </c>
      <c r="K7" s="29">
        <f>A7+'Proyeccion ingresos'!$C$4</f>
        <v>46291</v>
      </c>
      <c r="L7" s="28">
        <f t="shared" si="1"/>
        <v>46266</v>
      </c>
    </row>
    <row r="8" spans="1:12" x14ac:dyDescent="0.3">
      <c r="A8" s="29">
        <v>46171</v>
      </c>
      <c r="B8" s="21" t="s">
        <v>381</v>
      </c>
      <c r="C8" s="21" t="s">
        <v>380</v>
      </c>
      <c r="D8" s="30">
        <v>22</v>
      </c>
      <c r="E8" s="30"/>
      <c r="F8" s="30"/>
      <c r="G8" s="24">
        <v>124057428</v>
      </c>
      <c r="H8" s="24">
        <v>1178545</v>
      </c>
      <c r="I8" s="24">
        <v>23794835</v>
      </c>
      <c r="J8" s="24">
        <f t="shared" si="0"/>
        <v>149030808</v>
      </c>
      <c r="K8" s="29">
        <f>A8+'Proyeccion ingresos'!$C$4</f>
        <v>46321</v>
      </c>
      <c r="L8" s="28">
        <f t="shared" si="1"/>
        <v>46296</v>
      </c>
    </row>
    <row r="9" spans="1:12" x14ac:dyDescent="0.3">
      <c r="A9" s="29">
        <v>46182</v>
      </c>
      <c r="B9" s="21" t="s">
        <v>379</v>
      </c>
      <c r="C9" s="21" t="s">
        <v>378</v>
      </c>
      <c r="D9" s="30">
        <v>13</v>
      </c>
      <c r="E9" s="30"/>
      <c r="F9" s="30"/>
      <c r="G9" s="24">
        <v>73306662</v>
      </c>
      <c r="H9" s="24">
        <v>696413</v>
      </c>
      <c r="I9" s="24">
        <v>14060584</v>
      </c>
      <c r="J9" s="24">
        <f t="shared" si="0"/>
        <v>88063659</v>
      </c>
      <c r="K9" s="29">
        <f>A9+'Proyeccion ingresos'!$C$4</f>
        <v>46332</v>
      </c>
      <c r="L9" s="28">
        <f t="shared" si="1"/>
        <v>46327</v>
      </c>
    </row>
    <row r="10" spans="1:12" x14ac:dyDescent="0.3">
      <c r="A10" s="29">
        <v>46193</v>
      </c>
      <c r="B10" s="21" t="s">
        <v>377</v>
      </c>
      <c r="C10" s="21" t="s">
        <v>376</v>
      </c>
      <c r="D10" s="30"/>
      <c r="E10" s="30"/>
      <c r="F10" s="30">
        <v>20</v>
      </c>
      <c r="G10" s="24">
        <v>139518980</v>
      </c>
      <c r="H10" s="24">
        <v>1325430</v>
      </c>
      <c r="I10" s="24">
        <v>26760438</v>
      </c>
      <c r="J10" s="24">
        <f t="shared" si="0"/>
        <v>167604848</v>
      </c>
      <c r="K10" s="29">
        <f>A10+'Proyeccion ingresos'!$C$4</f>
        <v>46343</v>
      </c>
      <c r="L10" s="28">
        <f t="shared" si="1"/>
        <v>46327</v>
      </c>
    </row>
    <row r="11" spans="1:12" x14ac:dyDescent="0.3">
      <c r="A11" s="25" t="s">
        <v>96</v>
      </c>
      <c r="D11" s="27">
        <f t="shared" ref="D11:J11" si="2">SUM(D3:D10)</f>
        <v>75</v>
      </c>
      <c r="E11" s="27">
        <f t="shared" si="2"/>
        <v>15</v>
      </c>
      <c r="F11" s="27">
        <f t="shared" si="2"/>
        <v>20</v>
      </c>
      <c r="G11" s="26">
        <f t="shared" si="2"/>
        <v>636991550</v>
      </c>
      <c r="H11" s="26">
        <f t="shared" si="2"/>
        <v>5935638</v>
      </c>
      <c r="I11" s="26">
        <f t="shared" si="2"/>
        <v>122156166</v>
      </c>
      <c r="J11" s="26">
        <f t="shared" si="2"/>
        <v>765083354</v>
      </c>
    </row>
    <row r="13" spans="1:12" x14ac:dyDescent="0.3">
      <c r="A13" s="25" t="s">
        <v>375</v>
      </c>
      <c r="C13" s="25" t="s">
        <v>374</v>
      </c>
      <c r="D13" s="25" t="s">
        <v>373</v>
      </c>
      <c r="E13" s="25" t="s">
        <v>372</v>
      </c>
    </row>
    <row r="14" spans="1:12" x14ac:dyDescent="0.3">
      <c r="A14" s="21" t="s">
        <v>371</v>
      </c>
      <c r="C14" s="24">
        <f>J6+J7</f>
        <v>145471312</v>
      </c>
      <c r="D14" s="23">
        <f>'Proyeccion ingresos'!H14</f>
        <v>145471312</v>
      </c>
      <c r="E14" s="22">
        <f>C14-D14</f>
        <v>0</v>
      </c>
    </row>
    <row r="15" spans="1:12" x14ac:dyDescent="0.3">
      <c r="A15" s="21" t="s">
        <v>370</v>
      </c>
      <c r="C15" s="24">
        <f>J8</f>
        <v>149030808</v>
      </c>
      <c r="D15" s="23">
        <f>'Proyeccion ingresos'!I14</f>
        <v>149030808</v>
      </c>
      <c r="E15" s="22">
        <f>C15-D15</f>
        <v>0</v>
      </c>
    </row>
    <row r="16" spans="1:12" x14ac:dyDescent="0.3">
      <c r="A16" s="21" t="s">
        <v>369</v>
      </c>
      <c r="C16" s="24">
        <f>J9+J10</f>
        <v>255668507</v>
      </c>
      <c r="D16" s="23">
        <f>'Proyeccion ingresos'!J14</f>
        <v>255668507</v>
      </c>
      <c r="E16" s="22">
        <f>C16-D16</f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Inicio</vt:lpstr>
      <vt:lpstr>Control</vt:lpstr>
      <vt:lpstr>Pagos semana</vt:lpstr>
      <vt:lpstr>Presupuesto</vt:lpstr>
      <vt:lpstr>Segundo semestre</vt:lpstr>
      <vt:lpstr>Proyeccion ingresos</vt:lpstr>
      <vt:lpstr>Base real egresos</vt:lpstr>
      <vt:lpstr>Base real ingresos</vt:lpstr>
      <vt:lpstr>Flujo pago deudas</vt:lpstr>
      <vt:lpstr>Facturas Auteco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San Juan</dc:creator>
  <cp:lastModifiedBy>Andres San Juan</cp:lastModifiedBy>
  <dcterms:created xsi:type="dcterms:W3CDTF">2026-06-22T22:40:48Z</dcterms:created>
  <dcterms:modified xsi:type="dcterms:W3CDTF">2026-07-18T01:46:00Z</dcterms:modified>
</cp:coreProperties>
</file>