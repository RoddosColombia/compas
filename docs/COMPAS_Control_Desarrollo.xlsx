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18" t="inlineStr">
        <is>
          <t>2.0 · Fase 0</t>
        </is>
      </c>
      <c r="B20" s="18">
        <f>COUNTIF(Tareas!B:B,A20)</f>
        <v/>
      </c>
      <c r="C20" s="18">
        <f>COUNTIFS(Tareas!B:B,A20,Tareas!F:F,"Hecha")+COUNTIFS(Tareas!B:B,A20,Tareas!F:F,"Verificada")</f>
        <v/>
      </c>
      <c r="D20" s="19">
        <f>IF(B20=0,0,C20/B20)</f>
        <v/>
      </c>
    </row>
    <row r="21">
      <c r="A21" s="18" t="inlineStr">
        <is>
          <t>2.0 · Funcional</t>
        </is>
      </c>
      <c r="B21" s="18">
        <f>COUNTIF(Tareas!B:B,A21)</f>
        <v/>
      </c>
      <c r="C21" s="18">
        <f>COUNTIFS(Tareas!B:B,A21,Tareas!F:F,"Hecha")+COUNTIFS(Tareas!B:B,A21,Tareas!F:F,"Verificada")</f>
        <v/>
      </c>
      <c r="D21" s="19">
        <f>IF(B21=0,0,C21/B21)</f>
        <v/>
      </c>
    </row>
    <row r="22">
      <c r="A22" s="18" t="inlineStr">
        <is>
          <t>2.0 · Visual</t>
        </is>
      </c>
      <c r="B22" s="18">
        <f>COUNTIF(Tareas!B:B,A22)</f>
        <v/>
      </c>
      <c r="C22" s="18">
        <f>COUNTIFS(Tareas!B:B,A22,Tareas!F:F,"Hecha")+COUNTIFS(Tareas!B:B,A22,Tareas!F:F,"Verificada")</f>
        <v/>
      </c>
      <c r="D22" s="19">
        <f>IF(B22=0,0,C22/B22)</f>
        <v/>
      </c>
    </row>
    <row r="23">
      <c r="A23" s="18" t="inlineStr">
        <is>
          <t>2.0 · Gates</t>
        </is>
      </c>
      <c r="B23" s="18">
        <f>COUNTIF(Tareas!B:B,A23)</f>
        <v/>
      </c>
      <c r="C23" s="18">
        <f>COUNTIFS(Tareas!B:B,A23,Tareas!F:F,"Hecha")+COUNTIFS(Tareas!B:B,A23,Tareas!F:F,"Verificada")</f>
        <v/>
      </c>
      <c r="D23" s="19">
        <f>IF(B23=0,0,C23/B23)</f>
        <v/>
      </c>
    </row>
    <row r="24">
      <c r="A24" s="18" t="inlineStr">
        <is>
          <t>2.0 · Backlog</t>
        </is>
      </c>
      <c r="B24" s="18">
        <f>COUNTIF(Tareas!B:B,A24)</f>
        <v/>
      </c>
      <c r="C24" s="18">
        <f>COUNTIFS(Tareas!B:B,A24,Tareas!F:F,"Hecha")+COUNTIFS(Tareas!B:B,A24,Tareas!F:F,"Verificada")</f>
        <v/>
      </c>
      <c r="D24" s="19">
        <f>IF(B24=0,0,C24/B24)</f>
        <v/>
      </c>
    </row>
    <row r="25">
      <c r="A25" s="18" t="inlineStr">
        <is>
          <t>TOTAL</t>
        </is>
      </c>
      <c r="B25" s="18">
        <f>SUM(B7:B24)</f>
        <v/>
      </c>
      <c r="C25" s="18">
        <f>SUM(C7:C24)</f>
        <v/>
      </c>
      <c r="D25" s="19">
        <f>IF(B25=0,0,C25/B25)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9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s="12" t="inlineStr">
        <is>
          <t>KIMI-E75-7-RETRO</t>
        </is>
      </c>
      <c r="B163" s="12" t="inlineStr">
        <is>
          <t>FABS</t>
        </is>
      </c>
      <c r="D163" s="12"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s="12" t="inlineStr">
        <is>
          <t>Andres</t>
        </is>
      </c>
      <c r="F163" s="12" t="inlineStr">
        <is>
          <t>En curso</t>
        </is>
      </c>
      <c r="H163" s="12" t="inlineStr">
        <is>
          <t>PAQUETE.pdf listo en planning/phases/ciclo-mensual/auditorias/RETRO-I/. Falta: el CEO lo sube a Kimi y pega la respuesta en RESPUESTA.md de la misma carpeta.</t>
        </is>
      </c>
    </row>
    <row r="164">
      <c r="A164" s="18" t="inlineStr">
        <is>
          <t>F0-1</t>
        </is>
      </c>
      <c r="B164" s="18" t="inlineStr">
        <is>
          <t>2.0 · Fase 0</t>
        </is>
      </c>
      <c r="C164" s="18" t="n"/>
      <c r="D164" s="22" t="inlineStr">
        <is>
          <t>spec-miner: registro de capacidades C1–C11 (docs/CAPACIDADES.md) con evidencia real (módulo, tests, ruta de front, carpeta de gate)</t>
        </is>
      </c>
      <c r="E164" s="18" t="inlineStr">
        <is>
          <t>Andrés</t>
        </is>
      </c>
      <c r="F164" s="18" t="inlineStr">
        <is>
          <t>Hecha</t>
        </is>
      </c>
      <c r="G164" s="18" t="inlineStr">
        <is>
          <t>2026-08-27</t>
        </is>
      </c>
      <c r="H164" s="22" t="inlineStr">
        <is>
          <t>docs/CAPACIDADES.md — registro C1–C11 spec-minado (4 agentes Explore). Hallazgo: C7/C8/C10/C11 estaban ✅ en código pese a figurar ❌ en PROJECT.md; C9 parcial (sin pantalla)</t>
        </is>
      </c>
      <c r="I164" s="18" t="n"/>
    </row>
    <row r="165">
      <c r="A165" s="18" t="inlineStr">
        <is>
          <t>F0-2</t>
        </is>
      </c>
      <c r="B165" s="18" t="inlineStr">
        <is>
          <t>2.0 · Fase 0</t>
        </is>
      </c>
      <c r="C165" s="18" t="n"/>
      <c r="D165" s="22" t="inlineStr">
        <is>
          <t>Candado del motor: golden-master de proyectar() OBLIGATORIO en CI para todo PR que toque backend/app/proyeccion/</t>
        </is>
      </c>
      <c r="E165" s="18" t="inlineStr">
        <is>
          <t>Andrés</t>
        </is>
      </c>
      <c r="F165" s="18" t="inlineStr">
        <is>
          <t>Hecha</t>
        </is>
      </c>
      <c r="G165" s="18" t="inlineStr">
        <is>
          <t>2026-08-27</t>
        </is>
      </c>
      <c r="H165" s="22" t="inlineStr">
        <is>
          <t>docs/CANDADO_MOTOR.md + jobs golden-master y motor-parity-guard en .github/workflows/ci.yml. Falta marcar required en branch protection (paso CEO)</t>
        </is>
      </c>
      <c r="I165" s="18" t="n"/>
    </row>
    <row r="166">
      <c r="A166" s="18" t="inlineStr">
        <is>
          <t>F0-3</t>
        </is>
      </c>
      <c r="B166" s="18" t="inlineStr">
        <is>
          <t>2.0 · Fase 0</t>
        </is>
      </c>
      <c r="C166" s="18" t="n"/>
      <c r="D166" s="22" t="inlineStr">
        <is>
          <t>DESIGN.md (RV-V1): 8 reglas de gráficos + paleta de marca como tokens, derivada de src/index.css</t>
        </is>
      </c>
      <c r="E166" s="18" t="inlineStr">
        <is>
          <t>Andrés</t>
        </is>
      </c>
      <c r="F166" s="18" t="inlineStr">
        <is>
          <t>Hecha</t>
        </is>
      </c>
      <c r="G166" s="18" t="inlineStr">
        <is>
          <t>2026-08-27</t>
        </is>
      </c>
      <c r="H166" s="22" t="inlineStr">
        <is>
          <t>docs/DESIGN.md — 8 reglas de gramática + paleta como tokens derivada de src/index.css + tokens de rol para RV-V2</t>
        </is>
      </c>
      <c r="I166" s="18" t="n"/>
    </row>
    <row r="167">
      <c r="A167" s="18" t="inlineStr">
        <is>
          <t>AND-1</t>
        </is>
      </c>
      <c r="B167" s="18" t="inlineStr">
        <is>
          <t>2.0 · Fase 0</t>
        </is>
      </c>
      <c r="C167" s="18" t="n"/>
      <c r="D167" s="22" t="inlineStr">
        <is>
          <t>Andamio: SkillSpector/AgentShield — escanear toda skill/herramienta antes de instalar</t>
        </is>
      </c>
      <c r="E167" s="18" t="inlineStr">
        <is>
          <t>Andrés</t>
        </is>
      </c>
      <c r="F167" s="18" t="inlineStr">
        <is>
          <t>Pendiente</t>
        </is>
      </c>
      <c r="G167" s="18" t="n"/>
      <c r="H167" s="22" t="inlineStr">
        <is>
          <t>Fundacional §6.1 (nada se instala sin escanear)</t>
        </is>
      </c>
      <c r="I167" s="18" t="n"/>
    </row>
    <row r="168">
      <c r="A168" s="18" t="inlineStr">
        <is>
          <t>AND-2</t>
        </is>
      </c>
      <c r="B168" s="18" t="inlineStr">
        <is>
          <t>2.0 · Fase 0</t>
        </is>
      </c>
      <c r="C168" s="18" t="n"/>
      <c r="D168" s="22" t="inlineStr">
        <is>
          <t>Andamio: ECC por proyecto (perfil core, hooks apagados, solo reglas de Python, tag fijado)</t>
        </is>
      </c>
      <c r="E168" s="18" t="inlineStr">
        <is>
          <t>Andrés</t>
        </is>
      </c>
      <c r="F168" s="18" t="inlineStr">
        <is>
          <t>Pendiente</t>
        </is>
      </c>
      <c r="G168" s="18" t="n"/>
      <c r="H168" s="22" t="inlineStr">
        <is>
          <t>Fundacional §6.2</t>
        </is>
      </c>
      <c r="I168" s="18" t="n"/>
    </row>
    <row r="169">
      <c r="A169" s="18" t="inlineStr">
        <is>
          <t>AND-3</t>
        </is>
      </c>
      <c r="B169" s="18" t="inlineStr">
        <is>
          <t>2.0 · Fase 0</t>
        </is>
      </c>
      <c r="C169" s="18" t="n"/>
      <c r="D169" s="22" t="inlineStr">
        <is>
          <t>Andamio: skills spec-miner + tdd-guide instaladas (mapa código→capacidades; protege el golden-master)</t>
        </is>
      </c>
      <c r="E169" s="18" t="inlineStr">
        <is>
          <t>Andrés</t>
        </is>
      </c>
      <c r="F169" s="18" t="inlineStr">
        <is>
          <t>Pendiente</t>
        </is>
      </c>
      <c r="G169" s="18" t="n"/>
      <c r="H169" s="22" t="inlineStr">
        <is>
          <t>Fundacional §6.3</t>
        </is>
      </c>
      <c r="I169" s="18" t="n"/>
    </row>
    <row r="170">
      <c r="A170" s="18" t="inlineStr">
        <is>
          <t>AND-4</t>
        </is>
      </c>
      <c r="B170" s="18" t="inlineStr">
        <is>
          <t>2.0 · Fase 0</t>
        </is>
      </c>
      <c r="C170" s="18" t="n"/>
      <c r="D170" s="22" t="inlineStr">
        <is>
          <t>Andamio: chrome-devtools-mcp (ojos) + tweakcn (tokens de marca)</t>
        </is>
      </c>
      <c r="E170" s="18" t="inlineStr">
        <is>
          <t>Andrés</t>
        </is>
      </c>
      <c r="F170" s="18" t="inlineStr">
        <is>
          <t>Pendiente</t>
        </is>
      </c>
      <c r="G170" s="18" t="n"/>
      <c r="H170" s="22" t="inlineStr">
        <is>
          <t>Fundacional §6.4</t>
        </is>
      </c>
      <c r="I170" s="18" t="n"/>
    </row>
    <row r="171">
      <c r="A171" s="18" t="inlineStr">
        <is>
          <t>AND-5</t>
        </is>
      </c>
      <c r="B171" s="18" t="inlineStr">
        <is>
          <t>2.0 · Fase 0</t>
        </is>
      </c>
      <c r="C171" s="18" t="n"/>
      <c r="D171" s="22" t="inlineStr">
        <is>
          <t>Andamio: Semgrep + Trivy + lost-pixel/axe integrados al CI (se activan como gates)</t>
        </is>
      </c>
      <c r="E171" s="18" t="inlineStr">
        <is>
          <t>Andrés</t>
        </is>
      </c>
      <c r="F171" s="18" t="inlineStr">
        <is>
          <t>Pendiente</t>
        </is>
      </c>
      <c r="G171" s="18" t="n"/>
      <c r="H171" s="22" t="inlineStr">
        <is>
          <t>Fundacional §6.3/§6.4; enforcement en 2.0 · Gates</t>
        </is>
      </c>
      <c r="I171" s="18" t="n"/>
    </row>
    <row r="172">
      <c r="A172" s="18" t="inlineStr">
        <is>
          <t>RF-F1</t>
        </is>
      </c>
      <c r="B172" s="18" t="inlineStr">
        <is>
          <t>2.0 · Funcional</t>
        </is>
      </c>
      <c r="C172" s="18" t="n"/>
      <c r="D172" s="22" t="inlineStr">
        <is>
          <t>Reglas sembradas con patrones reales: semilla desde Base real egresos; «Por clasificar» deja de ser el mayor rubro; ≥90% clasificados; sello clasificada_por/at + regla_id</t>
        </is>
      </c>
      <c r="E172" s="18" t="inlineStr">
        <is>
          <t>Andrés</t>
        </is>
      </c>
      <c r="F172" s="18" t="inlineStr">
        <is>
          <t>Pendiente</t>
        </is>
      </c>
      <c r="G172" s="18" t="n"/>
      <c r="H172" s="22" t="inlineStr">
        <is>
          <t>MUST · Fundacional §2 RF-F1</t>
        </is>
      </c>
      <c r="I172" s="18" t="n"/>
    </row>
    <row r="173">
      <c r="A173" s="18" t="inlineStr">
        <is>
          <t>RF-F2</t>
        </is>
      </c>
      <c r="B173" s="18" t="inlineStr">
        <is>
          <t>2.0 · Funcional</t>
        </is>
      </c>
      <c r="C173" s="18" t="n"/>
      <c r="D173" s="22" t="inlineStr">
        <is>
          <t>Costura presupuesto→proyección: Ajuste.rubro_id entra al cálculo; aprobar el mes genera ajustes (D-2) y serie versionada; golden-master intacto</t>
        </is>
      </c>
      <c r="E173" s="18" t="inlineStr">
        <is>
          <t>Andrés</t>
        </is>
      </c>
      <c r="F173" s="18" t="inlineStr">
        <is>
          <t>Pendiente</t>
        </is>
      </c>
      <c r="G173" s="18" t="n"/>
      <c r="H173" s="22" t="inlineStr">
        <is>
          <t>MUST · §2 RF-F2</t>
        </is>
      </c>
      <c r="I173" s="18" t="n"/>
    </row>
    <row r="174">
      <c r="A174" s="18" t="inlineStr">
        <is>
          <t>RF-F3</t>
        </is>
      </c>
      <c r="B174" s="18" t="inlineStr">
        <is>
          <t>2.0 · Funcional</t>
        </is>
      </c>
      <c r="C174" s="18" t="n"/>
      <c r="D174" s="22" t="inlineStr">
        <is>
          <t>Objetivo como regla de valles: umbral de atención administrable (D-1); valle como entidad (entrada/fondo/salida/profundidad/duración); 2 clases de alerta; reusa valles.py</t>
        </is>
      </c>
      <c r="E174" s="18" t="inlineStr">
        <is>
          <t>Andrés</t>
        </is>
      </c>
      <c r="F174" s="18" t="inlineStr">
        <is>
          <t>Pendiente</t>
        </is>
      </c>
      <c r="G174" s="18" t="n"/>
      <c r="H174" s="22" t="inlineStr">
        <is>
          <t>MUST · §2 RF-F3</t>
        </is>
      </c>
      <c r="I174" s="18" t="n"/>
    </row>
    <row r="175">
      <c r="A175" s="18" t="inlineStr">
        <is>
          <t>RF-F4</t>
        </is>
      </c>
      <c r="B175" s="18" t="inlineStr">
        <is>
          <t>2.0 · Funcional</t>
        </is>
      </c>
      <c r="C175" s="18" t="n"/>
      <c r="D175" s="22" t="inlineStr">
        <is>
          <t>Techo de gasto en ventana: techo_gasto_ventana(mes_inicio, ventana=9, referencia) — bandera roja si el valle dentro de la ventana perfora la atención</t>
        </is>
      </c>
      <c r="E175" s="18" t="inlineStr">
        <is>
          <t>Andrés</t>
        </is>
      </c>
      <c r="F175" s="18" t="inlineStr">
        <is>
          <t>Pendiente</t>
        </is>
      </c>
      <c r="G175" s="18" t="n"/>
      <c r="H175" s="22" t="inlineStr">
        <is>
          <t>MUST · §2 RF-F4</t>
        </is>
      </c>
      <c r="I175" s="18" t="n"/>
    </row>
    <row r="176">
      <c r="A176" s="18" t="inlineStr">
        <is>
          <t>RF-F5</t>
        </is>
      </c>
      <c r="B176" s="18" t="inlineStr">
        <is>
          <t>2.0 · Funcional</t>
        </is>
      </c>
      <c r="C176" s="18" t="n"/>
      <c r="D176" s="22" t="inlineStr">
        <is>
          <t>Solvers dentro de la app: techo, objetivo de venta (goal_seek) y unidades (solver_unidades) en la cabina y en proyección; cada alerta de valle con sus 3 palancas</t>
        </is>
      </c>
      <c r="E176" s="18" t="inlineStr">
        <is>
          <t>Andrés</t>
        </is>
      </c>
      <c r="F176" s="18" t="inlineStr">
        <is>
          <t>Pendiente</t>
        </is>
      </c>
      <c r="G176" s="18" t="n"/>
      <c r="H176" s="22" t="inlineStr">
        <is>
          <t>MUST · §2 RF-F5</t>
        </is>
      </c>
      <c r="I176" s="18" t="n"/>
    </row>
    <row r="177">
      <c r="A177" s="18" t="inlineStr">
        <is>
          <t>RF-F6</t>
        </is>
      </c>
      <c r="B177" s="18" t="inlineStr">
        <is>
          <t>2.0 · Funcional</t>
        </is>
      </c>
      <c r="C177" s="18" t="n"/>
      <c r="D177" s="22" t="inlineStr">
        <is>
          <t>Cargas idempotentes por huella — antes de que entre Bancolombia en septiembre</t>
        </is>
      </c>
      <c r="E177" s="18" t="inlineStr">
        <is>
          <t>Andrés</t>
        </is>
      </c>
      <c r="F177" s="18" t="inlineStr">
        <is>
          <t>Pendiente</t>
        </is>
      </c>
      <c r="G177" s="18" t="n"/>
      <c r="H177" s="22" t="inlineStr">
        <is>
          <t>SHOULD · §2 RF-F6</t>
        </is>
      </c>
      <c r="I177" s="18" t="n"/>
    </row>
    <row r="178">
      <c r="A178" s="18" t="inlineStr">
        <is>
          <t>RF-F7</t>
        </is>
      </c>
      <c r="B178" s="18" t="inlineStr">
        <is>
          <t>2.0 · Funcional</t>
        </is>
      </c>
      <c r="C178" s="18" t="n"/>
      <c r="D178" s="22" t="inlineStr">
        <is>
          <t>Recomendaciones por impacto: reparto del recorte por rubro (motor corrido al revés)</t>
        </is>
      </c>
      <c r="E178" s="18" t="inlineStr">
        <is>
          <t>Andrés</t>
        </is>
      </c>
      <c r="F178" s="18" t="inlineStr">
        <is>
          <t>Pendiente</t>
        </is>
      </c>
      <c r="G178" s="18" t="n"/>
      <c r="H178" s="22" t="inlineStr">
        <is>
          <t>SHOULD · §2 RF-F7</t>
        </is>
      </c>
      <c r="I178" s="18" t="n"/>
    </row>
    <row r="179">
      <c r="A179" s="18" t="inlineStr">
        <is>
          <t>RF-F8</t>
        </is>
      </c>
      <c r="B179" s="18" t="inlineStr">
        <is>
          <t>2.0 · Funcional</t>
        </is>
      </c>
      <c r="C179" s="18" t="n"/>
      <c r="D179" s="22" t="inlineStr">
        <is>
          <t>Obligaciones factura a factura: generaliza Auteco; habilita fecha exacta de pago y «negocia esta deuda»</t>
        </is>
      </c>
      <c r="E179" s="18" t="inlineStr">
        <is>
          <t>Andrés</t>
        </is>
      </c>
      <c r="F179" s="18" t="inlineStr">
        <is>
          <t>Pendiente</t>
        </is>
      </c>
      <c r="G179" s="18" t="n"/>
      <c r="H179" s="22" t="inlineStr">
        <is>
          <t>COULD · §2 RF-F8 · esfuerzo alto (→ C10)</t>
        </is>
      </c>
      <c r="I179" s="18" t="n"/>
    </row>
    <row r="180">
      <c r="A180" s="18" t="inlineStr">
        <is>
          <t>RF-F9</t>
        </is>
      </c>
      <c r="B180" s="18" t="inlineStr">
        <is>
          <t>2.0 · Funcional</t>
        </is>
      </c>
      <c r="C180" s="18" t="n"/>
      <c r="D180" s="22" t="inlineStr">
        <is>
          <t>Plan de cuentas completo: código contable y clase obligatorios al crear categoría</t>
        </is>
      </c>
      <c r="E180" s="18" t="inlineStr">
        <is>
          <t>Andrés</t>
        </is>
      </c>
      <c r="F180" s="18" t="inlineStr">
        <is>
          <t>Pendiente</t>
        </is>
      </c>
      <c r="G180" s="18" t="n"/>
      <c r="H180" s="22" t="inlineStr">
        <is>
          <t>SHOULD · §2 RF-F9</t>
        </is>
      </c>
      <c r="I180" s="18" t="n"/>
    </row>
    <row r="181">
      <c r="A181" s="18" t="inlineStr">
        <is>
          <t>RF-F10</t>
        </is>
      </c>
      <c r="B181" s="18" t="inlineStr">
        <is>
          <t>2.0 · Funcional</t>
        </is>
      </c>
      <c r="C181" s="18" t="n"/>
      <c r="D181" s="22" t="inlineStr">
        <is>
          <t>Horizonte a 240 meses con agregación por año/trimestre</t>
        </is>
      </c>
      <c r="E181" s="18" t="inlineStr">
        <is>
          <t>Andrés</t>
        </is>
      </c>
      <c r="F181" s="18" t="inlineStr">
        <is>
          <t>Pendiente</t>
        </is>
      </c>
      <c r="G181" s="18" t="n"/>
      <c r="H181" s="22" t="inlineStr">
        <is>
          <t>COULD · §2 RF-F10</t>
        </is>
      </c>
      <c r="I181" s="18" t="n"/>
    </row>
    <row r="182">
      <c r="A182" s="18" t="inlineStr">
        <is>
          <t>RV-V2</t>
        </is>
      </c>
      <c r="B182" s="18" t="inlineStr">
        <is>
          <t>2.0 · Visual</t>
        </is>
      </c>
      <c r="C182" s="18" t="n"/>
      <c r="D182" s="22" t="inlineStr">
        <is>
          <t>Rehacer las 2 gráficas principales contra el mockup (proyeccion-mockup.html): real sólido/proyectado punteado con ancla, valle sombreado, 2 umbrales, tooltips, escenario superpuesto, selector 3–60, composición en gráfica propia, color=solo estado, enlazado a los 23 campos reales de /api/v1/proyeccion</t>
        </is>
      </c>
      <c r="E182" s="18" t="inlineStr">
        <is>
          <t>Andrés</t>
        </is>
      </c>
      <c r="F182" s="18" t="inlineStr">
        <is>
          <t>Pendiente</t>
        </is>
      </c>
      <c r="G182" s="18" t="n"/>
      <c r="H182" s="22" t="inlineStr">
        <is>
          <t>MUST · §3 RV-V2 (10 AC verificables contra el mockup)</t>
        </is>
      </c>
      <c r="I182" s="18" t="n"/>
    </row>
    <row r="183">
      <c r="A183" s="18" t="inlineStr">
        <is>
          <t>RV-V3-5-10</t>
        </is>
      </c>
      <c r="B183" s="18" t="inlineStr">
        <is>
          <t>2.0 · Visual</t>
        </is>
      </c>
      <c r="C183" s="18" t="n"/>
      <c r="D183" s="22" t="inlineStr">
        <is>
          <t>Tokens de marca (tweakcn), escenarios superpuestos, sparklines y acabados (encabezado de tabla fijo, cinco estados)</t>
        </is>
      </c>
      <c r="E183" s="18" t="inlineStr">
        <is>
          <t>Andrés</t>
        </is>
      </c>
      <c r="F183" s="18" t="inlineStr">
        <is>
          <t>Pendiente</t>
        </is>
      </c>
      <c r="G183" s="18" t="n"/>
      <c r="H183" s="22" t="inlineStr">
        <is>
          <t>SHOULD · §3 RV-V3/V4/V5/V10</t>
        </is>
      </c>
      <c r="I183" s="18" t="n"/>
    </row>
    <row r="184">
      <c r="A184" s="18" t="inlineStr">
        <is>
          <t>RV-V6-7</t>
        </is>
      </c>
      <c r="B184" s="18" t="inlineStr">
        <is>
          <t>2.0 · Visual</t>
        </is>
      </c>
      <c r="C184" s="18" t="n"/>
      <c r="D184" s="22" t="inlineStr">
        <is>
          <t>Fase B del navegador con contadores de estado: 18→11 entradas, el mes como objeto con pestañas; plano reconciliado con las 12 rutas reales</t>
        </is>
      </c>
      <c r="E184" s="18" t="inlineStr">
        <is>
          <t>Andrés</t>
        </is>
      </c>
      <c r="F184" s="18" t="inlineStr">
        <is>
          <t>Pendiente</t>
        </is>
      </c>
      <c r="G184" s="18" t="n"/>
      <c r="H184" s="22" t="inlineStr">
        <is>
          <t>SHOULD · §3 RV-V6/V7</t>
        </is>
      </c>
      <c r="I184" s="18" t="n"/>
    </row>
    <row r="185">
      <c r="A185" s="18" t="inlineStr">
        <is>
          <t>RV-V8-9</t>
        </is>
      </c>
      <c r="B185" s="18" t="inlineStr">
        <is>
          <t>2.0 · Visual</t>
        </is>
      </c>
      <c r="C185" s="18" t="n"/>
      <c r="D185" s="22" t="inlineStr">
        <is>
          <t>Confianza del dato en la franja + bandeja «Por clasificar» con crear-regla</t>
        </is>
      </c>
      <c r="E185" s="18" t="inlineStr">
        <is>
          <t>Andrés</t>
        </is>
      </c>
      <c r="F185" s="18" t="inlineStr">
        <is>
          <t>Pendiente</t>
        </is>
      </c>
      <c r="G185" s="18" t="n"/>
      <c r="H185" s="22" t="inlineStr">
        <is>
          <t>SHOULD · §3 RV-V8/V9</t>
        </is>
      </c>
      <c r="I185" s="18" t="n"/>
    </row>
    <row r="186">
      <c r="A186" s="18" t="inlineStr">
        <is>
          <t>G-SEC</t>
        </is>
      </c>
      <c r="B186" s="18" t="inlineStr">
        <is>
          <t>2.0 · Gates</t>
        </is>
      </c>
      <c r="C186" s="18" t="n"/>
      <c r="D186" s="22" t="inlineStr">
        <is>
          <t>Gate de seguridad bloqueante antes de liberar + segunda revisión de seguridad externa al equipo</t>
        </is>
      </c>
      <c r="E186" s="18" t="inlineStr">
        <is>
          <t>Andrés</t>
        </is>
      </c>
      <c r="F186" s="18" t="inlineStr">
        <is>
          <t>Pendiente</t>
        </is>
      </c>
      <c r="G186" s="18" t="n"/>
      <c r="H186" s="22" t="inlineStr">
        <is>
          <t>§5 · no cede por cronograma (se mueve la fecha, no el control)</t>
        </is>
      </c>
      <c r="I186" s="18" t="n"/>
    </row>
    <row r="187">
      <c r="A187" s="18" t="inlineStr">
        <is>
          <t>G-GM</t>
        </is>
      </c>
      <c r="B187" s="18" t="inlineStr">
        <is>
          <t>2.0 · Gates</t>
        </is>
      </c>
      <c r="C187" s="18" t="n"/>
      <c r="D187" s="22" t="inlineStr">
        <is>
          <t>Golden-master del motor verde OBLIGATORIO en todo PR que toque proyección (candado activo en CI)</t>
        </is>
      </c>
      <c r="E187" s="18" t="inlineStr">
        <is>
          <t>Andrés</t>
        </is>
      </c>
      <c r="F187" s="18" t="inlineStr">
        <is>
          <t>Pendiente</t>
        </is>
      </c>
      <c r="G187" s="18" t="n"/>
      <c r="H187" s="22" t="inlineStr">
        <is>
          <t>§5 · lo construye F0-2</t>
        </is>
      </c>
      <c r="I187" s="18" t="n"/>
    </row>
    <row r="188">
      <c r="A188" s="18" t="inlineStr">
        <is>
          <t>G-SEMGREP</t>
        </is>
      </c>
      <c r="B188" s="18" t="inlineStr">
        <is>
          <t>2.0 · Gates</t>
        </is>
      </c>
      <c r="C188" s="18" t="n"/>
      <c r="D188" s="22" t="inlineStr">
        <is>
          <t>Semgrep con reglas inviolables (Decimal, histórico inmutable, ninguna ruta sin auth) fallando el PR</t>
        </is>
      </c>
      <c r="E188" s="18" t="inlineStr">
        <is>
          <t>Andrés</t>
        </is>
      </c>
      <c r="F188" s="18" t="inlineStr">
        <is>
          <t>Pendiente</t>
        </is>
      </c>
      <c r="G188" s="18" t="n"/>
      <c r="H188" s="22" t="inlineStr">
        <is>
          <t>§5</t>
        </is>
      </c>
      <c r="I188" s="18" t="n"/>
    </row>
    <row r="189">
      <c r="A189" s="18" t="inlineStr">
        <is>
          <t>G-TRIVY</t>
        </is>
      </c>
      <c r="B189" s="18" t="inlineStr">
        <is>
          <t>2.0 · Gates</t>
        </is>
      </c>
      <c r="C189" s="18" t="n"/>
      <c r="D189" s="22" t="inlineStr">
        <is>
          <t>Trivy bloqueante antes de introducir cualquier librería de gráficos (cierra el hueco de npm)</t>
        </is>
      </c>
      <c r="E189" s="18" t="inlineStr">
        <is>
          <t>Andrés</t>
        </is>
      </c>
      <c r="F189" s="18" t="inlineStr">
        <is>
          <t>Pendiente</t>
        </is>
      </c>
      <c r="G189" s="18" t="n"/>
      <c r="H189" s="22" t="inlineStr">
        <is>
          <t>§5</t>
        </is>
      </c>
      <c r="I189" s="18" t="n"/>
    </row>
    <row r="190">
      <c r="A190" s="18" t="inlineStr">
        <is>
          <t>G-PIXEL</t>
        </is>
      </c>
      <c r="B190" s="18" t="inlineStr">
        <is>
          <t>2.0 · Gates</t>
        </is>
      </c>
      <c r="C190" s="18" t="n"/>
      <c r="D190" s="22" t="inlineStr">
        <is>
          <t>chrome-devtools-mcp + lost-pixel contra proyeccion-mockup.html: un PR que desvíe RV-V2 del mockup no se fusiona</t>
        </is>
      </c>
      <c r="E190" s="18" t="inlineStr">
        <is>
          <t>Andrés</t>
        </is>
      </c>
      <c r="F190" s="18" t="inlineStr">
        <is>
          <t>Pendiente</t>
        </is>
      </c>
      <c r="G190" s="18" t="n"/>
      <c r="H190" s="22" t="inlineStr">
        <is>
          <t>§5</t>
        </is>
      </c>
      <c r="I190" s="18" t="n"/>
    </row>
    <row r="191">
      <c r="A191" s="18" t="inlineStr">
        <is>
          <t>G-AXE</t>
        </is>
      </c>
      <c r="B191" s="18" t="inlineStr">
        <is>
          <t>2.0 · Gates</t>
        </is>
      </c>
      <c r="C191" s="18" t="n"/>
      <c r="D191" s="22" t="inlineStr">
        <is>
          <t>axe-core en las vistas de proyección</t>
        </is>
      </c>
      <c r="E191" s="18" t="inlineStr">
        <is>
          <t>Andrés</t>
        </is>
      </c>
      <c r="F191" s="18" t="inlineStr">
        <is>
          <t>Pendiente</t>
        </is>
      </c>
      <c r="G191" s="18" t="n"/>
      <c r="H191" s="22" t="inlineStr">
        <is>
          <t>§5</t>
        </is>
      </c>
      <c r="I191" s="18" t="n"/>
    </row>
    <row r="192">
      <c r="A192" s="18" t="inlineStr">
        <is>
          <t>BK-1</t>
        </is>
      </c>
      <c r="B192" s="18" t="inlineStr">
        <is>
          <t>2.0 · Backlog</t>
        </is>
      </c>
      <c r="C192" s="18" t="n"/>
      <c r="D192" s="22" t="inlineStr">
        <is>
          <t>Backlog UI de seguimiento de caja (diferidos): ② resumen antes→después al cargar movimientos; ③ puente real vs proyectado en Proyecciones (arrancaste con X · hoy Y real · cerraría en Z). Construir solo si el plan 2.0 no los cubre y el negocio los pide</t>
        </is>
      </c>
      <c r="E192" s="18" t="inlineStr">
        <is>
          <t>Andrés</t>
        </is>
      </c>
      <c r="F192" s="18" t="inlineStr">
        <is>
          <t>Pendiente</t>
        </is>
      </c>
      <c r="G192" s="18" t="n"/>
      <c r="H192" s="22" t="inlineStr">
        <is>
          <t>Backlog · nace de las mejoras UI de caja; PR #113 dejó ① (saldo disponible en vivo)</t>
        </is>
      </c>
      <c r="I192" s="18" t="n"/>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9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s="12" t="inlineStr">
        <is>
          <t>RETRO-SUP2-CICLO</t>
        </is>
      </c>
      <c r="B94" s="12" t="inlineStr">
        <is>
          <t>Auditoria retroactiva Kimi de SUP-2..SUP-6 + ciclo P1-P7 (paga los waivers acumulados)</t>
        </is>
      </c>
      <c r="C94" s="12" t="inlineStr">
        <is>
          <t>KIMI &gt;= 9.0</t>
        </is>
      </c>
      <c r="D94" s="12" t="inlineStr">
        <is>
          <t>Paquete RETRO-I generado 2026-08-24; pendiente subir a Kimi y su nota. Hasta el gate: ninguna evolucion nueva del motor (criterio Kimi etapa75, aceptado).</t>
        </is>
      </c>
      <c r="E94" s="12" t="inlineStr">
        <is>
          <t>PENDIENTE</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2026-08-27T18:33:27Z</dcterms:modified>
  <cp:revision>0</cp:revision>
</cp:coreProperties>
</file>