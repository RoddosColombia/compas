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Tareas" sheetId="2" state="visible" r:id="rId2"/>
    <sheet xmlns:r="http://schemas.openxmlformats.org/officeDocument/2006/relationships" name="Gates" sheetId="3" state="visible" r:id="rId3"/>
    <sheet xmlns:r="http://schemas.openxmlformats.org/officeDocument/2006/relationships" name="DoD" sheetId="4" state="visible" r:id="rId4"/>
    <sheet xmlns:r="http://schemas.openxmlformats.org/officeDocument/2006/relationships" name="CRs" sheetId="5" state="visible" r:id="rId5"/>
    <sheet xmlns:r="http://schemas.openxmlformats.org/officeDocument/2006/relationships" name="Leyenda" sheetId="6" state="visible" r:id="rId6"/>
  </sheets>
  <definedNames>
    <definedName name="_xlnm._FilterDatabase" localSheetId="1" hidden="1">'Tareas'!$A$1:$I$37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6"/>
    </font>
    <font>
      <name val="Arial"/>
      <charset val="1"/>
      <family val="0"/>
      <i val="1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1F4E79"/>
      <sz val="13"/>
    </font>
  </fonts>
  <fills count="4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2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12" min="1" max="1"/>
    <col width="10" customWidth="1" style="12" min="2" max="2"/>
    <col width="26" customWidth="1" style="12" min="3" max="3"/>
    <col width="10" customWidth="1" style="12" min="4" max="4"/>
  </cols>
  <sheetData>
    <row r="1" ht="19.7" customHeight="1" s="13">
      <c r="A1" s="14" t="inlineStr">
        <is>
          <t>COMPAS — Control de Desarrollo</t>
        </is>
      </c>
    </row>
    <row r="2" ht="15" customHeight="1" s="13">
      <c r="A2" s="15" t="inlineStr">
        <is>
          <t>Baseline v1.1.2 + CR-001 · Certificado GO 9.3/10 · Go-live: 10 semanas</t>
        </is>
      </c>
    </row>
    <row r="4" ht="15" customHeight="1" s="13">
      <c r="A4" s="16" t="inlineStr">
        <is>
          <t>Avance por sprint (se actualiza solo al cambiar Estado en la hoja Tareas)</t>
        </is>
      </c>
    </row>
    <row r="6" ht="15" customHeight="1" s="13">
      <c r="A6" s="17" t="inlineStr">
        <is>
          <t>Sprint</t>
        </is>
      </c>
      <c r="B6" s="17" t="inlineStr">
        <is>
          <t>Tareas</t>
        </is>
      </c>
      <c r="C6" s="17" t="inlineStr">
        <is>
          <t>Cerradas (Hecha+Verificada)</t>
        </is>
      </c>
      <c r="D6" s="17" t="inlineStr">
        <is>
          <t>% Avance</t>
        </is>
      </c>
    </row>
    <row r="7" ht="15" customHeight="1" s="13">
      <c r="A7" s="18" t="inlineStr">
        <is>
          <t>Sprint 0</t>
        </is>
      </c>
      <c r="B7" s="18">
        <f>COUNTIF(Tareas!B:B,A7)</f>
        <v/>
      </c>
      <c r="C7" s="18">
        <f>COUNTIFS(Tareas!B:B,A7,Tareas!F:F,"Hecha")+COUNTIFS(Tareas!B:B,A7,Tareas!F:F,"Verificada")</f>
        <v/>
      </c>
      <c r="D7" s="19">
        <f>IF(B7=0,0,C7/B7)</f>
        <v/>
      </c>
    </row>
    <row r="8" ht="15" customHeight="1" s="13">
      <c r="A8" s="18" t="inlineStr">
        <is>
          <t>Sprint 0b</t>
        </is>
      </c>
      <c r="B8" s="18">
        <f>COUNTIF(Tareas!B:B,A8)</f>
        <v/>
      </c>
      <c r="C8" s="18">
        <f>COUNTIFS(Tareas!B:B,A8,Tareas!F:F,"Hecha")+COUNTIFS(Tareas!B:B,A8,Tareas!F:F,"Verificada")</f>
        <v/>
      </c>
      <c r="D8" s="19">
        <f>IF(B8=0,0,C8/B8)</f>
        <v/>
      </c>
    </row>
    <row r="9" ht="15" customHeight="1" s="13">
      <c r="A9" s="18" t="inlineStr">
        <is>
          <t>Sprint 1</t>
        </is>
      </c>
      <c r="B9" s="18">
        <f>COUNTIF(Tareas!B:B,A9)</f>
        <v/>
      </c>
      <c r="C9" s="18">
        <f>COUNTIFS(Tareas!B:B,A9,Tareas!F:F,"Hecha")+COUNTIFS(Tareas!B:B,A9,Tareas!F:F,"Verificada")</f>
        <v/>
      </c>
      <c r="D9" s="19">
        <f>IF(B9=0,0,C9/B9)</f>
        <v/>
      </c>
    </row>
    <row r="10" ht="15" customHeight="1" s="13">
      <c r="A10" s="18" t="inlineStr">
        <is>
          <t>Sprint 2</t>
        </is>
      </c>
      <c r="B10" s="18">
        <f>COUNTIF(Tareas!B:B,A10)</f>
        <v/>
      </c>
      <c r="C10" s="18">
        <f>COUNTIFS(Tareas!B:B,A10,Tareas!F:F,"Hecha")+COUNTIFS(Tareas!B:B,A10,Tareas!F:F,"Verificada")</f>
        <v/>
      </c>
      <c r="D10" s="19">
        <f>IF(B10=0,0,C10/B10)</f>
        <v/>
      </c>
    </row>
    <row r="11" ht="15" customHeight="1" s="13">
      <c r="A11" s="18" t="inlineStr">
        <is>
          <t>Sprint 3</t>
        </is>
      </c>
      <c r="B11" s="18">
        <f>COUNTIF(Tareas!B:B,A11)</f>
        <v/>
      </c>
      <c r="C11" s="18">
        <f>COUNTIFS(Tareas!B:B,A11,Tareas!F:F,"Hecha")+COUNTIFS(Tareas!B:B,A11,Tareas!F:F,"Verificada")</f>
        <v/>
      </c>
      <c r="D11" s="19">
        <f>IF(B11=0,0,C11/B11)</f>
        <v/>
      </c>
    </row>
    <row r="12" ht="15" customHeight="1" s="13">
      <c r="A12" s="18" t="inlineStr">
        <is>
          <t>Sprint 4</t>
        </is>
      </c>
      <c r="B12" s="18">
        <f>COUNTIF(Tareas!B:B,A12)</f>
        <v/>
      </c>
      <c r="C12" s="18">
        <f>COUNTIFS(Tareas!B:B,A12,Tareas!F:F,"Hecha")+COUNTIFS(Tareas!B:B,A12,Tareas!F:F,"Verificada")</f>
        <v/>
      </c>
      <c r="D12" s="19">
        <f>IF(B12=0,0,C12/B12)</f>
        <v/>
      </c>
    </row>
    <row r="13" ht="15" customHeight="1" s="13">
      <c r="A13" s="18" t="inlineStr">
        <is>
          <t>Sprint 5</t>
        </is>
      </c>
      <c r="B13" s="18">
        <f>COUNTIF(Tareas!B:B,A13)</f>
        <v/>
      </c>
      <c r="C13" s="18">
        <f>COUNTIFS(Tareas!B:B,A13,Tareas!F:F,"Hecha")+COUNTIFS(Tareas!B:B,A13,Tareas!F:F,"Verificada")</f>
        <v/>
      </c>
      <c r="D13" s="19">
        <f>IF(B13=0,0,C13/B13)</f>
        <v/>
      </c>
    </row>
    <row r="14" ht="15" customHeight="1" s="13">
      <c r="A14" s="18" t="inlineStr">
        <is>
          <t>Sprint 6a</t>
        </is>
      </c>
      <c r="B14" s="18">
        <f>COUNTIF(Tareas!B:B,A14)</f>
        <v/>
      </c>
      <c r="C14" s="18">
        <f>COUNTIFS(Tareas!B:B,A14,Tareas!F:F,"Hecha")+COUNTIFS(Tareas!B:B,A14,Tareas!F:F,"Verificada")</f>
        <v/>
      </c>
      <c r="D14" s="19">
        <f>IF(B14=0,0,C14/B14)</f>
        <v/>
      </c>
    </row>
    <row r="15" ht="15" customHeight="1" s="13">
      <c r="A15" s="18" t="inlineStr">
        <is>
          <t>Sprint 6b</t>
        </is>
      </c>
      <c r="B15" s="18">
        <f>COUNTIF(Tareas!B:B,A15)</f>
        <v/>
      </c>
      <c r="C15" s="18">
        <f>COUNTIFS(Tareas!B:B,A15,Tareas!F:F,"Hecha")+COUNTIFS(Tareas!B:B,A15,Tareas!F:F,"Verificada")</f>
        <v/>
      </c>
      <c r="D15" s="19">
        <f>IF(B15=0,0,C15/B15)</f>
        <v/>
      </c>
    </row>
    <row r="16" ht="15" customHeight="1" s="13">
      <c r="A16" s="18" t="inlineStr">
        <is>
          <t>Sprint 7</t>
        </is>
      </c>
      <c r="B16" s="18">
        <f>COUNTIF(Tareas!B:B,A16)</f>
        <v/>
      </c>
      <c r="C16" s="18">
        <f>COUNTIFS(Tareas!B:B,A16,Tareas!F:F,"Hecha")+COUNTIFS(Tareas!B:B,A16,Tareas!F:F,"Verificada")</f>
        <v/>
      </c>
      <c r="D16" s="19">
        <f>IF(B16=0,0,C16/B16)</f>
        <v/>
      </c>
    </row>
    <row r="17" ht="15" customHeight="1" s="13">
      <c r="A17" s="18" t="inlineStr">
        <is>
          <t>Sprint 8</t>
        </is>
      </c>
      <c r="B17" s="18">
        <f>COUNTIF(Tareas!B:B,A17)</f>
        <v/>
      </c>
      <c r="C17" s="18">
        <f>COUNTIFS(Tareas!B:B,A17,Tareas!F:F,"Hecha")+COUNTIFS(Tareas!B:B,A17,Tareas!F:F,"Verificada")</f>
        <v/>
      </c>
      <c r="D17" s="19">
        <f>IF(B17=0,0,C17/B17)</f>
        <v/>
      </c>
    </row>
    <row r="18" ht="15" customHeight="1" s="13">
      <c r="A18" s="18" t="inlineStr">
        <is>
          <t>Post-plan</t>
        </is>
      </c>
      <c r="B18" s="18">
        <f>COUNTIF(Tareas!B:B,A18)</f>
        <v/>
      </c>
      <c r="C18" s="18">
        <f>COUNTIFS(Tareas!B:B,A18,Tareas!F:F,"Hecha")+COUNTIFS(Tareas!B:B,A18,Tareas!F:F,"Verificada")</f>
        <v/>
      </c>
      <c r="D18" s="19">
        <f>IF(B18=0,0,C18/B18)</f>
        <v/>
      </c>
    </row>
    <row r="19" ht="15" customHeight="1" s="13">
      <c r="A19" s="18" t="inlineStr">
        <is>
          <t>Externos</t>
        </is>
      </c>
      <c r="B19" s="18">
        <f>COUNTIF(Tareas!B:B,A19)</f>
        <v/>
      </c>
      <c r="C19" s="18">
        <f>COUNTIFS(Tareas!B:B,A19,Tareas!F:F,"Hecha")+COUNTIFS(Tareas!B:B,A19,Tareas!F:F,"Verificada")</f>
        <v/>
      </c>
      <c r="D19" s="19">
        <f>IF(B19=0,0,C19/B19)</f>
        <v/>
      </c>
    </row>
    <row r="20" ht="15" customHeight="1" s="13">
      <c r="A20" s="20" t="inlineStr">
        <is>
          <t>TOTAL</t>
        </is>
      </c>
      <c r="B20" s="20">
        <f>SUM(B7:B19)</f>
        <v/>
      </c>
      <c r="C20" s="20">
        <f>SUM(C7:C19)</f>
        <v/>
      </c>
      <c r="D20" s="21">
        <f>IF(B20=0,0,C20/B20)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3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10" customWidth="1" style="12" min="2" max="2"/>
    <col width="8" customWidth="1" style="12" min="3" max="3"/>
    <col width="62" customWidth="1" style="12" min="4" max="4"/>
    <col width="18" customWidth="1" style="12" min="5" max="5"/>
    <col width="12" customWidth="1" style="12" min="6" max="7"/>
    <col width="30" customWidth="1" style="12" min="8" max="8"/>
    <col width="9" customWidth="1" style="12" min="9" max="9"/>
  </cols>
  <sheetData>
    <row r="1" ht="23.85" customHeight="1" s="13">
      <c r="A1" s="17" t="inlineStr">
        <is>
          <t>ID</t>
        </is>
      </c>
      <c r="B1" s="17" t="inlineStr">
        <is>
          <t>Sprint</t>
        </is>
      </c>
      <c r="C1" s="17" t="inlineStr">
        <is>
          <t>Semana</t>
        </is>
      </c>
      <c r="D1" s="17" t="inlineStr">
        <is>
          <t>Tarea / Entregable</t>
        </is>
      </c>
      <c r="E1" s="17" t="inlineStr">
        <is>
          <t>Responsable</t>
        </is>
      </c>
      <c r="F1" s="17" t="inlineStr">
        <is>
          <t>Estado</t>
        </is>
      </c>
      <c r="G1" s="17" t="inlineStr">
        <is>
          <t>Fecha cierre</t>
        </is>
      </c>
      <c r="H1" s="17" t="inlineStr">
        <is>
          <t>Evidencia / Nota</t>
        </is>
      </c>
      <c r="I1" s="17" t="inlineStr">
        <is>
          <t>Gate-DoD</t>
        </is>
      </c>
    </row>
    <row r="2" ht="23.85" customHeight="1" s="13">
      <c r="A2" s="18" t="inlineStr">
        <is>
          <t>S0-01</t>
        </is>
      </c>
      <c r="B2" s="18" t="inlineStr">
        <is>
          <t>Sprint 0</t>
        </is>
      </c>
      <c r="C2" s="18" t="inlineStr">
        <is>
          <t>1</t>
        </is>
      </c>
      <c r="D2" s="22" t="inlineStr">
        <is>
          <t>Repo GitHub creado (RoddosCol/compas, rama main) con baseline documental v1.1.2 + CR-001</t>
        </is>
      </c>
      <c r="E2" s="18" t="inlineStr">
        <is>
          <t>Andrés</t>
        </is>
      </c>
      <c r="F2" s="18" t="inlineStr">
        <is>
          <t>Hecha</t>
        </is>
      </c>
      <c r="G2" s="18" t="inlineStr">
        <is>
          <t>2026-07-18</t>
        </is>
      </c>
      <c r="H2" s="22" t="inlineStr">
        <is>
          <t>Commit eb34afe pushed</t>
        </is>
      </c>
      <c r="I2" s="18" t="n"/>
    </row>
    <row r="3" ht="15" customHeight="1" s="13">
      <c r="A3" s="18" t="inlineStr">
        <is>
          <t>S0-02</t>
        </is>
      </c>
      <c r="B3" s="18" t="inlineStr">
        <is>
          <t>Sprint 0</t>
        </is>
      </c>
      <c r="C3" s="18" t="inlineStr">
        <is>
          <t>1</t>
        </is>
      </c>
      <c r="D3" s="22" t="inlineStr">
        <is>
          <t>Claude Code instalado y autenticado (v2.1.214)</t>
        </is>
      </c>
      <c r="E3" s="18" t="inlineStr">
        <is>
          <t>Andrés</t>
        </is>
      </c>
      <c r="F3" s="18" t="inlineStr">
        <is>
          <t>Hecha</t>
        </is>
      </c>
      <c r="G3" s="18" t="inlineStr">
        <is>
          <t>2026-07-18</t>
        </is>
      </c>
      <c r="H3" s="22" t="inlineStr">
        <is>
          <t>install.ps1 nativo Windows</t>
        </is>
      </c>
      <c r="I3" s="18" t="n"/>
    </row>
    <row r="4" ht="35.05" customHeight="1" s="13">
      <c r="A4" s="18" t="inlineStr">
        <is>
          <t>S0-03</t>
        </is>
      </c>
      <c r="B4" s="18" t="inlineStr">
        <is>
          <t>Sprint 0</t>
        </is>
      </c>
      <c r="C4" s="18" t="inlineStr">
        <is>
          <t>1</t>
        </is>
      </c>
      <c r="D4" s="22" t="inlineStr">
        <is>
          <t>Sesión 1: esqueleto backend FastAPI (app/, Settings, /health, Beanie, RUN_SCHEDULER condicional) + esqueleto frontend (Vite+React+TS+Tailwind+shadcn) con tests verdes</t>
        </is>
      </c>
      <c r="E4" s="18" t="inlineStr">
        <is>
          <t>Claude Code + Andrés</t>
        </is>
      </c>
      <c r="F4" s="18" t="inlineStr">
        <is>
          <t>Hecha</t>
        </is>
      </c>
      <c r="G4" s="18" t="inlineStr">
        <is>
          <t>2026-07-18</t>
        </is>
      </c>
      <c r="H4" s="22" t="inlineStr">
        <is>
          <t>Commit 61048ac — esqueleto backend+frontend verde (pytest 9/1skip, build+vitest 3/3, npm audit 0 vulns)</t>
        </is>
      </c>
      <c r="I4" s="18" t="n"/>
    </row>
    <row r="5" ht="35.05" customHeight="1" s="13">
      <c r="A5" s="18" t="inlineStr">
        <is>
          <t>S0-04</t>
        </is>
      </c>
      <c r="B5" s="18" t="inlineStr">
        <is>
          <t>Sprint 0</t>
        </is>
      </c>
      <c r="C5" s="18" t="inlineStr">
        <is>
          <t>1</t>
        </is>
      </c>
      <c r="D5" s="22" t="inlineStr">
        <is>
          <t>Sesión 2: portar de SISMO auth JWT (token_version, logout/denylist, rotación refresh), RBAC 4 roles, audit_log append-only + test CI de inmutabilidad + docs/PORTADO_DE_SISMO.md</t>
        </is>
      </c>
      <c r="E5" s="18" t="inlineStr">
        <is>
          <t>Claude Code + Andrés</t>
        </is>
      </c>
      <c r="F5" s="18" t="inlineStr">
        <is>
          <t>En curso</t>
        </is>
      </c>
      <c r="G5" s="18" t="n"/>
      <c r="H5" s="22" t="inlineStr">
        <is>
          <t>PR-1 GO 9.2. PR-2 auth: I-PR2 7.8 NO-GO → TODOS los hallazgos aplicados (L1-L7,H1-H5,tests) commit f103a2d; pytest 63/6skip, ruff limpio. Paquete R-PR2 con diff para Kimi. Pendiente verificación y PR-3 (RBAC).</t>
        </is>
      </c>
      <c r="I5" s="18" t="inlineStr">
        <is>
          <t>G1</t>
        </is>
      </c>
    </row>
    <row r="6" ht="23.85" customHeight="1" s="13">
      <c r="A6" s="18" t="inlineStr">
        <is>
          <t>S0-05</t>
        </is>
      </c>
      <c r="B6" s="18" t="inlineStr">
        <is>
          <t>Sprint 0</t>
        </is>
      </c>
      <c r="C6" s="18" t="inlineStr">
        <is>
          <t>1</t>
        </is>
      </c>
      <c r="D6" s="22" t="inlineStr">
        <is>
          <t>Sesión 3: CI/CD GitHub Actions (lint+tests+build+pip-audit+gitleaks bloqueantes; main→staging; tag→production con reviewer) + Dependabot</t>
        </is>
      </c>
      <c r="E6" s="18" t="inlineStr">
        <is>
          <t>Claude Code + Andrés</t>
        </is>
      </c>
      <c r="F6" s="18" t="inlineStr">
        <is>
          <t>Pendiente</t>
        </is>
      </c>
      <c r="G6" s="18" t="n"/>
      <c r="H6" s="22" t="n"/>
      <c r="I6" s="18" t="inlineStr">
        <is>
          <t>G1</t>
        </is>
      </c>
    </row>
    <row r="7" ht="35.05" customHeight="1" s="13">
      <c r="A7" s="18" t="inlineStr">
        <is>
          <t>S0-06</t>
        </is>
      </c>
      <c r="B7" s="18" t="inlineStr">
        <is>
          <t>Sprint 0</t>
        </is>
      </c>
      <c r="C7" s="18" t="inlineStr">
        <is>
          <t>1</t>
        </is>
      </c>
      <c r="D7" s="22" t="inlineStr">
        <is>
          <t>Aprovisionamiento manual (RUNBOOK §1-§7): Atlas database compas + usuario, render.yaml aplicado, Vercel, Cloudflare DNS, S3 IAM + bucket compas-archivo (Object Lock) + CRR, Sentry, Better Stack + 8 heartbeats</t>
        </is>
      </c>
      <c r="E7" s="18" t="inlineStr">
        <is>
          <t>Andrés</t>
        </is>
      </c>
      <c r="F7" s="18" t="inlineStr">
        <is>
          <t>Pendiente</t>
        </is>
      </c>
      <c r="G7" s="18" t="n"/>
      <c r="H7" s="22" t="inlineStr">
        <is>
          <t>Región primaria y réplica anotadas en RUNBOOK §0</t>
        </is>
      </c>
      <c r="I7" s="18" t="n"/>
    </row>
    <row r="8" ht="23.85" customHeight="1" s="13">
      <c r="A8" s="18" t="inlineStr">
        <is>
          <t>S0-07</t>
        </is>
      </c>
      <c r="B8" s="18" t="inlineStr">
        <is>
          <t>Sprint 0</t>
        </is>
      </c>
      <c r="C8" s="18" t="inlineStr">
        <is>
          <t>1</t>
        </is>
      </c>
      <c r="D8" s="22" t="inlineStr">
        <is>
          <t>Secretos cargados por entorno (RUNBOOK §8) — acceso solo Andrés + Iván</t>
        </is>
      </c>
      <c r="E8" s="18" t="inlineStr">
        <is>
          <t>Andrés</t>
        </is>
      </c>
      <c r="F8" s="18" t="inlineStr">
        <is>
          <t>Pendiente</t>
        </is>
      </c>
      <c r="G8" s="18" t="n"/>
      <c r="H8" s="22" t="n"/>
      <c r="I8" s="18" t="n"/>
    </row>
    <row r="9" ht="35.05" customHeight="1" s="13">
      <c r="A9" s="18" t="inlineStr">
        <is>
          <t>S0B-01</t>
        </is>
      </c>
      <c r="B9" s="18" t="inlineStr">
        <is>
          <t>Sprint 0b</t>
        </is>
      </c>
      <c r="C9" s="18" t="inlineStr">
        <is>
          <t>1</t>
        </is>
      </c>
      <c r="D9" s="22" t="inlineStr">
        <is>
          <t>Sesión 4: Rubro (semilla 5 grupos del Excel), MesControl, Configuracion (CALENDARIO_DIAN cargado: 13-may-26 / 10-sep-26 / 14-ene-27), audit log 30 eventos</t>
        </is>
      </c>
      <c r="E9" s="18" t="inlineStr">
        <is>
          <t>Claude Code + Andrés</t>
        </is>
      </c>
      <c r="F9" s="18" t="inlineStr">
        <is>
          <t>Pendiente</t>
        </is>
      </c>
      <c r="G9" s="18" t="n"/>
      <c r="H9" s="22" t="n"/>
      <c r="I9" s="18" t="n"/>
    </row>
    <row r="10" ht="15" customHeight="1" s="13">
      <c r="A10" s="18" t="inlineStr">
        <is>
          <t>S0B-02</t>
        </is>
      </c>
      <c r="B10" s="18" t="inlineStr">
        <is>
          <t>Sprint 0b</t>
        </is>
      </c>
      <c r="C10" s="18" t="inlineStr">
        <is>
          <t>1</t>
        </is>
      </c>
      <c r="D10" s="22" t="inlineStr">
        <is>
          <t>MFA TOTP para admin (movida de S0, nit 4)</t>
        </is>
      </c>
      <c r="E10" s="18" t="inlineStr">
        <is>
          <t>Claude Code + Andrés</t>
        </is>
      </c>
      <c r="F10" s="18" t="inlineStr">
        <is>
          <t>Pendiente</t>
        </is>
      </c>
      <c r="G10" s="18" t="n"/>
      <c r="H10" s="22" t="n"/>
      <c r="I10" s="18" t="inlineStr">
        <is>
          <t>G1</t>
        </is>
      </c>
    </row>
    <row r="11" ht="15" customHeight="1" s="13">
      <c r="A11" s="18" t="inlineStr">
        <is>
          <t>S0B-03</t>
        </is>
      </c>
      <c r="B11" s="18" t="inlineStr">
        <is>
          <t>Sprint 0b</t>
        </is>
      </c>
      <c r="C11" s="18" t="inlineStr">
        <is>
          <t>1</t>
        </is>
      </c>
      <c r="D11" s="22" t="inlineStr">
        <is>
          <t>Checklist §9 del RUNBOOK completo con evidencias</t>
        </is>
      </c>
      <c r="E11" s="18" t="inlineStr">
        <is>
          <t>Andrés</t>
        </is>
      </c>
      <c r="F11" s="18" t="inlineStr">
        <is>
          <t>Pendiente</t>
        </is>
      </c>
      <c r="G11" s="18" t="n"/>
      <c r="H11" s="22" t="n"/>
      <c r="I11" s="18" t="n"/>
    </row>
    <row r="12" ht="23.85" customHeight="1" s="13">
      <c r="A12" s="18" t="inlineStr">
        <is>
          <t>S0B-04</t>
        </is>
      </c>
      <c r="B12" s="18" t="inlineStr">
        <is>
          <t>Sprint 0b</t>
        </is>
      </c>
      <c r="C12" s="18" t="inlineStr">
        <is>
          <t>1</t>
        </is>
      </c>
      <c r="D12" s="22" t="inlineStr">
        <is>
          <t>GATE G1 (BLOQUEANTE): checklist de seguridad aprobado por Iván (aprobador ≠ ejecutor)</t>
        </is>
      </c>
      <c r="E12" s="18" t="inlineStr">
        <is>
          <t>Iván</t>
        </is>
      </c>
      <c r="F12" s="18" t="inlineStr">
        <is>
          <t>Pendiente</t>
        </is>
      </c>
      <c r="G12" s="18" t="n"/>
      <c r="H12" s="22" t="n"/>
      <c r="I12" s="18" t="inlineStr">
        <is>
          <t>G1</t>
        </is>
      </c>
    </row>
    <row r="13" ht="23.85" customHeight="1" s="13">
      <c r="A13" s="18" t="inlineStr">
        <is>
          <t>S1-01</t>
        </is>
      </c>
      <c r="B13" s="18" t="inlineStr">
        <is>
          <t>Sprint 1</t>
        </is>
      </c>
      <c r="C13" s="18" t="inlineStr">
        <is>
          <t>2</t>
        </is>
      </c>
      <c r="D13" s="22" t="inlineStr">
        <is>
          <t>Fixtures reales entregados y anonimizados (Bancolombia, BBVA, Global66 — los del proyecto + SISMO v2); layouts congelados (primer entregable)</t>
        </is>
      </c>
      <c r="E13" s="18" t="inlineStr">
        <is>
          <t>Andrés + Financiero</t>
        </is>
      </c>
      <c r="F13" s="18" t="inlineStr">
        <is>
          <t>Pendiente</t>
        </is>
      </c>
      <c r="G13" s="18" t="n"/>
      <c r="H13" s="22" t="inlineStr">
        <is>
          <t>Global66 ya en el proyecto</t>
        </is>
      </c>
      <c r="I13" s="18" t="n"/>
    </row>
    <row r="14" ht="35.05" customHeight="1" s="13">
      <c r="A14" s="18" t="inlineStr">
        <is>
          <t>S1-02</t>
        </is>
      </c>
      <c r="B14" s="18" t="inlineStr">
        <is>
          <t>Sprint 1</t>
        </is>
      </c>
      <c r="C14" s="18" t="inlineStr">
        <is>
          <t>2</t>
        </is>
      </c>
      <c r="D14" s="22" t="inlineStr">
        <is>
          <t>Parser Bancolombia → esquema canónico + deduplicación (índice parcial, manuales MAN-) + pantalla de cargas con ciclo de vida (fallida/reaper/reproceso) + POST manual (US-03, US-09)</t>
        </is>
      </c>
      <c r="E14" s="18" t="inlineStr">
        <is>
          <t>Claude Code + Andrés</t>
        </is>
      </c>
      <c r="F14" s="18" t="inlineStr">
        <is>
          <t>Pendiente</t>
        </is>
      </c>
      <c r="G14" s="18" t="n"/>
      <c r="H14" s="22" t="n"/>
      <c r="I14" s="18" t="n"/>
    </row>
    <row r="15" ht="23.85" customHeight="1" s="13">
      <c r="A15" s="18" t="inlineStr">
        <is>
          <t>S2-01</t>
        </is>
      </c>
      <c r="B15" s="18" t="inlineStr">
        <is>
          <t>Sprint 2</t>
        </is>
      </c>
      <c r="C15" s="18" t="inlineStr">
        <is>
          <t>3</t>
        </is>
      </c>
      <c r="D15" s="22" t="inlineStr">
        <is>
          <t>Parsers BBVA y Global66 (moneda original + tasa) + reglas de clasificación + pantalla Por clasificar</t>
        </is>
      </c>
      <c r="E15" s="18" t="inlineStr">
        <is>
          <t>Claude Code + Andrés</t>
        </is>
      </c>
      <c r="F15" s="18" t="inlineStr">
        <is>
          <t>Pendiente</t>
        </is>
      </c>
      <c r="G15" s="18" t="n"/>
      <c r="H15" s="22" t="n"/>
      <c r="I15" s="18" t="inlineStr">
        <is>
          <t>G2</t>
        </is>
      </c>
    </row>
    <row r="16" ht="23.85" customHeight="1" s="13">
      <c r="A16" s="18" t="inlineStr">
        <is>
          <t>S2-02</t>
        </is>
      </c>
      <c r="B16" s="18" t="inlineStr">
        <is>
          <t>Sprint 2</t>
        </is>
      </c>
      <c r="C16" s="18" t="inlineStr">
        <is>
          <t>3</t>
        </is>
      </c>
      <c r="D16" s="22" t="inlineStr">
        <is>
          <t>MINI-MIGRACIÓN: bases reales mar–jul del Excel congelado, cargadas y clasificadas, cuadradas</t>
        </is>
      </c>
      <c r="E16" s="18" t="inlineStr">
        <is>
          <t>Claude Code + Financiero</t>
        </is>
      </c>
      <c r="F16" s="18" t="inlineStr">
        <is>
          <t>Pendiente</t>
        </is>
      </c>
      <c r="G16" s="18" t="n"/>
      <c r="H16" s="22" t="n"/>
      <c r="I16" s="18" t="inlineStr">
        <is>
          <t>G2</t>
        </is>
      </c>
    </row>
    <row r="17" ht="15" customHeight="1" s="13">
      <c r="A17" s="18" t="inlineStr">
        <is>
          <t>S2-03</t>
        </is>
      </c>
      <c r="B17" s="18" t="inlineStr">
        <is>
          <t>Sprint 2</t>
        </is>
      </c>
      <c r="C17" s="18" t="inlineStr">
        <is>
          <t>3</t>
        </is>
      </c>
      <c r="D17" s="22" t="inlineStr">
        <is>
          <t>Wireframes navbar + vista Presupuesto (elabora Tech Lead, aprueba CEO)</t>
        </is>
      </c>
      <c r="E17" s="18" t="inlineStr">
        <is>
          <t>Andrés</t>
        </is>
      </c>
      <c r="F17" s="18" t="inlineStr">
        <is>
          <t>Pendiente</t>
        </is>
      </c>
      <c r="G17" s="18" t="n"/>
      <c r="H17" s="22" t="n"/>
      <c r="I17" s="18" t="inlineStr">
        <is>
          <t>G2</t>
        </is>
      </c>
    </row>
    <row r="18" ht="15" customHeight="1" s="13">
      <c r="A18" s="18" t="inlineStr">
        <is>
          <t>S2-04</t>
        </is>
      </c>
      <c r="B18" s="18" t="inlineStr">
        <is>
          <t>Sprint 2</t>
        </is>
      </c>
      <c r="C18" s="18" t="inlineStr">
        <is>
          <t>3</t>
        </is>
      </c>
      <c r="D18" s="22" t="inlineStr">
        <is>
          <t>GATE G2: parsers + dedup + mini-migración cuadrada</t>
        </is>
      </c>
      <c r="E18" s="18" t="inlineStr">
        <is>
          <t>Financiero + Andrés</t>
        </is>
      </c>
      <c r="F18" s="18" t="inlineStr">
        <is>
          <t>Pendiente</t>
        </is>
      </c>
      <c r="G18" s="18" t="n"/>
      <c r="H18" s="22" t="n"/>
      <c r="I18" s="18" t="inlineStr">
        <is>
          <t>G2</t>
        </is>
      </c>
    </row>
    <row r="19" ht="35.05" customHeight="1" s="13">
      <c r="A19" s="18" t="inlineStr">
        <is>
          <t>S3-01</t>
        </is>
      </c>
      <c r="B19" s="18" t="inlineStr">
        <is>
          <t>Sprint 3</t>
        </is>
      </c>
      <c r="C19" s="18" t="inlineStr">
        <is>
          <t>4</t>
        </is>
      </c>
      <c r="D19" s="22" t="inlineStr">
        <is>
          <t>Motor del sugerido (fórmula Spec §1.4.1, ejemplo numérico como test) + fila compromisos programados + ciclo de estados + versionado + aprobación (tabla de autoridad)</t>
        </is>
      </c>
      <c r="E19" s="18" t="inlineStr">
        <is>
          <t>Claude Code + Andrés</t>
        </is>
      </c>
      <c r="F19" s="18" t="inlineStr">
        <is>
          <t>Pendiente</t>
        </is>
      </c>
      <c r="G19" s="18" t="n"/>
      <c r="H19" s="22" t="n"/>
      <c r="I19" s="18" t="n"/>
    </row>
    <row r="20" ht="23.85" customHeight="1" s="13">
      <c r="A20" s="18" t="inlineStr">
        <is>
          <t>S3-02</t>
        </is>
      </c>
      <c r="B20" s="18" t="inlineStr">
        <is>
          <t>Sprint 3</t>
        </is>
      </c>
      <c r="C20" s="18" t="inlineStr">
        <is>
          <t>4</t>
        </is>
      </c>
      <c r="D20" s="22" t="inlineStr">
        <is>
          <t>DEMO nota CEO #1 en modo histórico: agosto-2026, 4 columnas vs Excel, % global manual</t>
        </is>
      </c>
      <c r="E20" s="18" t="inlineStr">
        <is>
          <t>Andrés</t>
        </is>
      </c>
      <c r="F20" s="18" t="inlineStr">
        <is>
          <t>Pendiente</t>
        </is>
      </c>
      <c r="G20" s="18" t="n"/>
      <c r="H20" s="22" t="inlineStr">
        <is>
          <t>TOLERANCIA_CUADRE $1</t>
        </is>
      </c>
      <c r="I20" s="18" t="inlineStr">
        <is>
          <t>G3</t>
        </is>
      </c>
    </row>
    <row r="21" ht="23.85" customHeight="1" s="13">
      <c r="A21" s="18" t="inlineStr">
        <is>
          <t>S4-01</t>
        </is>
      </c>
      <c r="B21" s="18" t="inlineStr">
        <is>
          <t>Sprint 4</t>
        </is>
      </c>
      <c r="C21" s="18" t="inlineStr">
        <is>
          <t>5</t>
        </is>
      </c>
      <c r="D21" s="22" t="inlineStr">
        <is>
          <t>Vista Control + caja + conciliación por banco + semáforos + transacciones multi-documento + política de tardías</t>
        </is>
      </c>
      <c r="E21" s="18" t="inlineStr">
        <is>
          <t>Claude Code + Andrés</t>
        </is>
      </c>
      <c r="F21" s="18" t="inlineStr">
        <is>
          <t>Pendiente</t>
        </is>
      </c>
      <c r="G21" s="18" t="n"/>
      <c r="H21" s="22" t="n"/>
      <c r="I21" s="18" t="n"/>
    </row>
    <row r="22" ht="23.85" customHeight="1" s="13">
      <c r="A22" s="18" t="inlineStr">
        <is>
          <t>S4-02</t>
        </is>
      </c>
      <c r="B22" s="18" t="inlineStr">
        <is>
          <t>Sprint 4</t>
        </is>
      </c>
      <c r="C22" s="18" t="inlineStr">
        <is>
          <t>5</t>
        </is>
      </c>
      <c r="D22" s="22" t="inlineStr">
        <is>
          <t>CR-001: ExtractoMensual (PDF Global66 como fixture) + verificación automática + regla de cierre</t>
        </is>
      </c>
      <c r="E22" s="18" t="inlineStr">
        <is>
          <t>Claude Code + Andrés</t>
        </is>
      </c>
      <c r="F22" s="18" t="inlineStr">
        <is>
          <t>Pendiente</t>
        </is>
      </c>
      <c r="G22" s="18" t="n"/>
      <c r="H22" s="22" t="inlineStr">
        <is>
          <t>CR-001 firmado 18-jul</t>
        </is>
      </c>
      <c r="I22" s="18" t="inlineStr">
        <is>
          <t>G3</t>
        </is>
      </c>
    </row>
    <row r="23" ht="15" customHeight="1" s="13">
      <c r="A23" s="18" t="inlineStr">
        <is>
          <t>S4-03</t>
        </is>
      </c>
      <c r="B23" s="18" t="inlineStr">
        <is>
          <t>Sprint 4</t>
        </is>
      </c>
      <c r="C23" s="18" t="inlineStr">
        <is>
          <t>5</t>
        </is>
      </c>
      <c r="D23" s="22" t="inlineStr">
        <is>
          <t>GATE G3 (Directivo): ciclo presupuestal + control con julio real</t>
        </is>
      </c>
      <c r="E23" s="18" t="inlineStr">
        <is>
          <t>Andrés</t>
        </is>
      </c>
      <c r="F23" s="18" t="inlineStr">
        <is>
          <t>Pendiente</t>
        </is>
      </c>
      <c r="G23" s="18" t="n"/>
      <c r="H23" s="22" t="n"/>
      <c r="I23" s="18" t="inlineStr">
        <is>
          <t>G3</t>
        </is>
      </c>
    </row>
    <row r="24" ht="35.05" customHeight="1" s="13">
      <c r="A24" s="18" t="inlineStr">
        <is>
          <t>S5-01</t>
        </is>
      </c>
      <c r="B24" s="18" t="inlineStr">
        <is>
          <t>Sprint 5</t>
        </is>
      </c>
      <c r="C24" s="18" t="inlineStr">
        <is>
          <t>6</t>
        </is>
      </c>
      <c r="D24" s="22" t="inlineStr">
        <is>
          <t>Pagos de la semana (veredicto, caja tras pago, conciliación con matching) + deudas (matriz) + SnapshotCaja/job diario en worker + primera versión dashboard Inicio</t>
        </is>
      </c>
      <c r="E24" s="18" t="inlineStr">
        <is>
          <t>Claude Code + Andrés</t>
        </is>
      </c>
      <c r="F24" s="18" t="inlineStr">
        <is>
          <t>Pendiente</t>
        </is>
      </c>
      <c r="G24" s="18" t="n"/>
      <c r="H24" s="22" t="n"/>
      <c r="I24" s="18" t="n"/>
    </row>
    <row r="25" ht="23.85" customHeight="1" s="13">
      <c r="A25" s="18" t="inlineStr">
        <is>
          <t>S6A-01</t>
        </is>
      </c>
      <c r="B25" s="18" t="inlineStr">
        <is>
          <t>Sprint 6a</t>
        </is>
      </c>
      <c r="C25" s="18" t="inlineStr">
        <is>
          <t>7</t>
        </is>
      </c>
      <c r="D25" s="22" t="inlineStr">
        <is>
          <t>Facturas recibidas Y emitidas (tarifa/exentas, eventos) + IVA cuatrimestral completo</t>
        </is>
      </c>
      <c r="E25" s="18" t="inlineStr">
        <is>
          <t>Claude Code + Andrés</t>
        </is>
      </c>
      <c r="F25" s="18" t="inlineStr">
        <is>
          <t>Pendiente</t>
        </is>
      </c>
      <c r="G25" s="18" t="n"/>
      <c r="H25" s="22" t="n"/>
      <c r="I25" s="18" t="n"/>
    </row>
    <row r="26" ht="15" customHeight="1" s="13">
      <c r="A26" s="18" t="inlineStr">
        <is>
          <t>S6A-02</t>
        </is>
      </c>
      <c r="B26" s="18" t="inlineStr">
        <is>
          <t>Sprint 6a</t>
        </is>
      </c>
      <c r="C26" s="18" t="inlineStr">
        <is>
          <t>7</t>
        </is>
      </c>
      <c r="D26" s="22" t="inlineStr">
        <is>
          <t>Taller de limpieza del histórico con el Financiero</t>
        </is>
      </c>
      <c r="E26" s="18" t="inlineStr">
        <is>
          <t>Financiero</t>
        </is>
      </c>
      <c r="F26" s="18" t="inlineStr">
        <is>
          <t>Pendiente</t>
        </is>
      </c>
      <c r="G26" s="18" t="n"/>
      <c r="H26" s="22" t="inlineStr">
        <is>
          <t>Riesgo 2</t>
        </is>
      </c>
      <c r="I26" s="18" t="n"/>
    </row>
    <row r="27" ht="35.05" customHeight="1" s="13">
      <c r="A27" s="18" t="inlineStr">
        <is>
          <t>S6B-01</t>
        </is>
      </c>
      <c r="B27" s="18" t="inlineStr">
        <is>
          <t>Sprint 6b</t>
        </is>
      </c>
      <c r="C27" s="18" t="inlineStr">
        <is>
          <t>8</t>
        </is>
      </c>
      <c r="D27" s="22" t="inlineStr">
        <is>
          <t>M10 ingresos modo Excel (+ pre-llenado % global operativo) + vista Capacidad de pago + dashboard Inicio completo + job de archivado (Object Lock)</t>
        </is>
      </c>
      <c r="E27" s="18" t="inlineStr">
        <is>
          <t>Claude Code + Andrés</t>
        </is>
      </c>
      <c r="F27" s="18" t="inlineStr">
        <is>
          <t>Pendiente</t>
        </is>
      </c>
      <c r="G27" s="18" t="n"/>
      <c r="H27" s="22" t="n"/>
      <c r="I27" s="18" t="inlineStr">
        <is>
          <t>G4</t>
        </is>
      </c>
    </row>
    <row r="28" ht="23.85" customHeight="1" s="13">
      <c r="A28" s="18" t="inlineStr">
        <is>
          <t>S6B-02</t>
        </is>
      </c>
      <c r="B28" s="18" t="inlineStr">
        <is>
          <t>Sprint 6b</t>
        </is>
      </c>
      <c r="C28" s="18" t="inlineStr">
        <is>
          <t>8</t>
        </is>
      </c>
      <c r="D28" s="22" t="inlineStr">
        <is>
          <t>GATE G4 (Financiero): facturas ambos lados + IVA May–Ago reproducido + M10 + Capacidad de pago + dashboard</t>
        </is>
      </c>
      <c r="E28" s="18" t="inlineStr">
        <is>
          <t>Financiero</t>
        </is>
      </c>
      <c r="F28" s="18" t="inlineStr">
        <is>
          <t>Pendiente</t>
        </is>
      </c>
      <c r="G28" s="18" t="n"/>
      <c r="H28" s="22" t="n"/>
      <c r="I28" s="18" t="inlineStr">
        <is>
          <t>G4</t>
        </is>
      </c>
    </row>
    <row r="29" ht="23.85" customHeight="1" s="13">
      <c r="A29" s="18" t="inlineStr">
        <is>
          <t>S7-01</t>
        </is>
      </c>
      <c r="B29" s="18" t="inlineStr">
        <is>
          <t>Sprint 7</t>
        </is>
      </c>
      <c r="C29" s="18" t="inlineStr">
        <is>
          <t>9</t>
        </is>
      </c>
      <c r="D29" s="22" t="inlineStr">
        <is>
          <t>Migración restante (deudas, facturas Auteco, presupuestos históricos) + conciliación formal con acta firmada</t>
        </is>
      </c>
      <c r="E29" s="18" t="inlineStr">
        <is>
          <t>Claude Code + Financiero</t>
        </is>
      </c>
      <c r="F29" s="18" t="inlineStr">
        <is>
          <t>Pendiente</t>
        </is>
      </c>
      <c r="G29" s="18" t="n"/>
      <c r="H29" s="22" t="inlineStr">
        <is>
          <t>TOLERANCIA_CUADRE $1</t>
        </is>
      </c>
      <c r="I29" s="18" t="inlineStr">
        <is>
          <t>G5</t>
        </is>
      </c>
    </row>
    <row r="30" ht="23.85" customHeight="1" s="13">
      <c r="A30" s="18" t="inlineStr">
        <is>
          <t>S7-02</t>
        </is>
      </c>
      <c r="B30" s="18" t="inlineStr">
        <is>
          <t>Sprint 7</t>
        </is>
      </c>
      <c r="C30" s="18" t="inlineStr">
        <is>
          <t>9</t>
        </is>
      </c>
      <c r="D30" s="22" t="inlineStr">
        <is>
          <t>Reporte de cierre + prueba de restauración cronometrada (DoD-10) + capacitación</t>
        </is>
      </c>
      <c r="E30" s="18" t="inlineStr">
        <is>
          <t>Claude Code + Andrés</t>
        </is>
      </c>
      <c r="F30" s="18" t="inlineStr">
        <is>
          <t>Pendiente</t>
        </is>
      </c>
      <c r="G30" s="18" t="n"/>
      <c r="H30" s="22" t="n"/>
      <c r="I30" s="18" t="inlineStr">
        <is>
          <t>G5</t>
        </is>
      </c>
    </row>
    <row r="31" ht="15" customHeight="1" s="13">
      <c r="A31" s="18" t="inlineStr">
        <is>
          <t>S7-03</t>
        </is>
      </c>
      <c r="B31" s="18" t="inlineStr">
        <is>
          <t>Sprint 7</t>
        </is>
      </c>
      <c r="C31" s="18" t="inlineStr">
        <is>
          <t>9</t>
        </is>
      </c>
      <c r="D31" s="22" t="inlineStr">
        <is>
          <t>UAT con guion (US-01..10, 100% críticos ✓)</t>
        </is>
      </c>
      <c r="E31" s="18" t="inlineStr">
        <is>
          <t>Andrés + Iván</t>
        </is>
      </c>
      <c r="F31" s="18" t="inlineStr">
        <is>
          <t>Pendiente</t>
        </is>
      </c>
      <c r="G31" s="18" t="n"/>
      <c r="H31" s="22" t="n"/>
      <c r="I31" s="18" t="inlineStr">
        <is>
          <t>G5</t>
        </is>
      </c>
    </row>
    <row r="32" ht="15" customHeight="1" s="13">
      <c r="A32" s="18" t="inlineStr">
        <is>
          <t>S7-04</t>
        </is>
      </c>
      <c r="B32" s="18" t="inlineStr">
        <is>
          <t>Sprint 7</t>
        </is>
      </c>
      <c r="C32" s="18" t="inlineStr">
        <is>
          <t>9</t>
        </is>
      </c>
      <c r="D32" s="22" t="inlineStr">
        <is>
          <t>GATE G5 (CEO, BLOQUEANTE ABSOLUTO — ventana 48h)</t>
        </is>
      </c>
      <c r="E32" s="18" t="inlineStr">
        <is>
          <t>Andrés</t>
        </is>
      </c>
      <c r="F32" s="18" t="inlineStr">
        <is>
          <t>Pendiente</t>
        </is>
      </c>
      <c r="G32" s="18" t="n"/>
      <c r="H32" s="22" t="n"/>
      <c r="I32" s="18" t="inlineStr">
        <is>
          <t>G5</t>
        </is>
      </c>
    </row>
    <row r="33" ht="23.85" customHeight="1" s="13">
      <c r="A33" s="18" t="inlineStr">
        <is>
          <t>S8-01</t>
        </is>
      </c>
      <c r="B33" s="18" t="inlineStr">
        <is>
          <t>Sprint 8</t>
        </is>
      </c>
      <c r="C33" s="18" t="inlineStr">
        <is>
          <t>10</t>
        </is>
      </c>
      <c r="D33" s="22" t="inlineStr">
        <is>
          <t>Deploy a producción (tag v1.0.0 + reviewer Iván) + monitoreo SLOs + inicio double-run</t>
        </is>
      </c>
      <c r="E33" s="18" t="inlineStr">
        <is>
          <t>Andrés + Iván</t>
        </is>
      </c>
      <c r="F33" s="18" t="inlineStr">
        <is>
          <t>Pendiente</t>
        </is>
      </c>
      <c r="G33" s="18" t="n"/>
      <c r="H33" s="22" t="n"/>
      <c r="I33" s="18" t="n"/>
    </row>
    <row r="34" ht="23.85" customHeight="1" s="13">
      <c r="A34" s="18" t="inlineStr">
        <is>
          <t>S8-02</t>
        </is>
      </c>
      <c r="B34" s="18" t="inlineStr">
        <is>
          <t>Post-plan</t>
        </is>
      </c>
      <c r="C34" s="18" t="inlineStr">
        <is>
          <t>10+</t>
        </is>
      </c>
      <c r="D34" s="22" t="inlineStr">
        <is>
          <t>Double-run: 4 conciliaciones semanales cuadradas + 1 cierre mensual → Excel a solo-lectura</t>
        </is>
      </c>
      <c r="E34" s="18" t="inlineStr">
        <is>
          <t>Financiero</t>
        </is>
      </c>
      <c r="F34" s="18" t="inlineStr">
        <is>
          <t>Pendiente</t>
        </is>
      </c>
      <c r="G34" s="18" t="n"/>
      <c r="H34" s="22" t="inlineStr">
        <is>
          <t>Criterio de apagado §7 del PLAN</t>
        </is>
      </c>
      <c r="I34" s="18" t="n"/>
    </row>
    <row r="35" ht="23.85" customHeight="1" s="13">
      <c r="A35" s="18" t="inlineStr">
        <is>
          <t>EXT-01</t>
        </is>
      </c>
      <c r="B35" s="18" t="inlineStr">
        <is>
          <t>Externos</t>
        </is>
      </c>
      <c r="C35" s="18" t="inlineStr">
        <is>
          <t>—</t>
        </is>
      </c>
      <c r="D35" s="22" t="inlineStr">
        <is>
          <t>Memo RNBD firmado con el contador (prerrequisito del go-live, no del código)</t>
        </is>
      </c>
      <c r="E35" s="18" t="inlineStr">
        <is>
          <t>Andrés + Contador</t>
        </is>
      </c>
      <c r="F35" s="18" t="inlineStr">
        <is>
          <t>Pendiente</t>
        </is>
      </c>
      <c r="G35" s="18" t="n"/>
      <c r="H35" s="22" t="n"/>
      <c r="I35" s="18" t="n"/>
    </row>
    <row r="36" ht="15" customHeight="1" s="13">
      <c r="A36" s="18" t="inlineStr">
        <is>
          <t>EXT-02</t>
        </is>
      </c>
      <c r="B36" s="18" t="inlineStr">
        <is>
          <t>Externos</t>
        </is>
      </c>
      <c r="C36" s="18" t="inlineStr">
        <is>
          <t>—</t>
        </is>
      </c>
      <c r="D36" s="22" t="inlineStr">
        <is>
          <t>Extracto reciente Bancolombia y BBVA para validar layouts de SISMO v2</t>
        </is>
      </c>
      <c r="E36" s="18" t="inlineStr">
        <is>
          <t>Andrés</t>
        </is>
      </c>
      <c r="F36" s="18" t="inlineStr">
        <is>
          <t>Pendiente</t>
        </is>
      </c>
      <c r="G36" s="18" t="n"/>
      <c r="H36" s="22" t="n"/>
      <c r="I36" s="18" t="n"/>
    </row>
    <row r="37" ht="23.85" customHeight="1" s="13">
      <c r="A37" s="18" t="inlineStr">
        <is>
          <t>EXT-03</t>
        </is>
      </c>
      <c r="B37" s="18" t="inlineStr">
        <is>
          <t>Externos</t>
        </is>
      </c>
      <c r="C37" s="18" t="inlineStr">
        <is>
          <t>—</t>
        </is>
      </c>
      <c r="D37" s="22" t="inlineStr">
        <is>
          <t>Cuenta de Iván creada y agregado como colaborador del repo + required reviewer de production</t>
        </is>
      </c>
      <c r="E37" s="18" t="inlineStr">
        <is>
          <t>Andrés</t>
        </is>
      </c>
      <c r="F37" s="18" t="inlineStr">
        <is>
          <t>Pendiente</t>
        </is>
      </c>
      <c r="G37" s="18" t="n"/>
      <c r="H37" s="22" t="n"/>
      <c r="I37" s="18" t="n"/>
    </row>
    <row r="38">
      <c r="A38" s="12" t="inlineStr">
        <is>
          <t>S0-08</t>
        </is>
      </c>
      <c r="B38" s="12" t="inlineStr">
        <is>
          <t>Sprint 0</t>
        </is>
      </c>
      <c r="C38" s="12" t="inlineStr">
        <is>
          <t>1</t>
        </is>
      </c>
      <c r="D38" s="12" t="inlineStr">
        <is>
          <t>Procedimiento de auditoría adversarial con Kimi estipulado (.planning/, templates, generador PDF, regla en CLAUDE.md)</t>
        </is>
      </c>
      <c r="E38" s="12" t="inlineStr">
        <is>
          <t>Claude Code + Andrés</t>
        </is>
      </c>
      <c r="F38" s="12" t="inlineStr">
        <is>
          <t>Hecha</t>
        </is>
      </c>
      <c r="G38" s="12" t="inlineStr">
        <is>
          <t>2026-07-18</t>
        </is>
      </c>
      <c r="H38" s="12" t="inlineStr">
        <is>
          <t>Commit 3dc2424 — portado de SISMO-V3; umbral &gt;=9.0, alcance crítico+plan</t>
        </is>
      </c>
      <c r="I38" s="12" t="inlineStr"/>
    </row>
  </sheetData>
  <autoFilter ref="A1:I37"/>
  <dataValidations count="1">
    <dataValidation sqref="F2:F38" showDropDown="0" showInputMessage="0" showErrorMessage="0" allowBlank="1" type="list" errorStyle="stop" operator="between">
      <formula1>"Pendiente,En curso,Bloqueada,Hecha,Verificada"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" customWidth="1" style="12" min="1" max="1"/>
    <col width="14" customWidth="1" style="12" min="2" max="2"/>
    <col width="62" customWidth="1" style="12" min="3" max="3"/>
    <col width="20" customWidth="1" style="12" min="4" max="4"/>
    <col width="12" customWidth="1" style="12" min="5" max="6"/>
  </cols>
  <sheetData>
    <row r="1" ht="15" customHeight="1" s="13">
      <c r="A1" s="17" t="inlineStr">
        <is>
          <t>Gate</t>
        </is>
      </c>
      <c r="B1" s="17" t="inlineStr">
        <is>
          <t>Momento</t>
        </is>
      </c>
      <c r="C1" s="17" t="inlineStr">
        <is>
          <t>Criterio</t>
        </is>
      </c>
      <c r="D1" s="17" t="inlineStr">
        <is>
          <t>Aprobador</t>
        </is>
      </c>
      <c r="E1" s="17" t="inlineStr">
        <is>
          <t>Estado</t>
        </is>
      </c>
      <c r="F1" s="17" t="inlineStr">
        <is>
          <t>Fecha</t>
        </is>
      </c>
    </row>
    <row r="2" ht="23.85" customHeight="1" s="13">
      <c r="A2" s="18" t="inlineStr">
        <is>
          <t>G1</t>
        </is>
      </c>
      <c r="B2" s="18" t="inlineStr">
        <is>
          <t>Fin Sprint 0b</t>
        </is>
      </c>
      <c r="C2" s="22" t="inlineStr">
        <is>
          <t>Esqueleto + checklist de SEGURIDAD (auth endurecida, audit inmutable en CI, escaneo). BLOQUEANTE</t>
        </is>
      </c>
      <c r="D2" s="18" t="inlineStr">
        <is>
          <t>Iván (≠ ejecutor)</t>
        </is>
      </c>
      <c r="E2" s="18" t="inlineStr">
        <is>
          <t>Pendiente</t>
        </is>
      </c>
      <c r="F2" s="18" t="n"/>
    </row>
    <row r="3" ht="15" customHeight="1" s="13">
      <c r="A3" s="18" t="inlineStr">
        <is>
          <t>G2</t>
        </is>
      </c>
      <c r="B3" s="18" t="inlineStr">
        <is>
          <t>Fin Sprint 2</t>
        </is>
      </c>
      <c r="C3" s="22" t="inlineStr">
        <is>
          <t>3 parsers + dedup 0 duplicados + mini-migración mar–jul cuadrada</t>
        </is>
      </c>
      <c r="D3" s="18" t="inlineStr">
        <is>
          <t>Financiero + Tech Lead</t>
        </is>
      </c>
      <c r="E3" s="18" t="inlineStr">
        <is>
          <t>Pendiente</t>
        </is>
      </c>
      <c r="F3" s="18" t="n"/>
    </row>
    <row r="4" ht="23.85" customHeight="1" s="13">
      <c r="A4" s="18" t="inlineStr">
        <is>
          <t>G3</t>
        </is>
      </c>
      <c r="B4" s="18" t="inlineStr">
        <is>
          <t>Fin Sprint 4</t>
        </is>
      </c>
      <c r="C4" s="22" t="inlineStr">
        <is>
          <t>Ciclo presupuestal + control con julio real (demo modo histórico ya aprobada en S3)</t>
        </is>
      </c>
      <c r="D4" s="18" t="inlineStr">
        <is>
          <t>Directivo</t>
        </is>
      </c>
      <c r="E4" s="18" t="inlineStr">
        <is>
          <t>Pendiente</t>
        </is>
      </c>
      <c r="F4" s="18" t="n"/>
    </row>
    <row r="5" ht="23.85" customHeight="1" s="13">
      <c r="A5" s="18" t="inlineStr">
        <is>
          <t>G4</t>
        </is>
      </c>
      <c r="B5" s="18" t="inlineStr">
        <is>
          <t>Fin Sprint 6b</t>
        </is>
      </c>
      <c r="C5" s="22" t="inlineStr">
        <is>
          <t>Facturas ambos lados + IVA May–Ago reproducido + M10 + Capacidad de pago + dashboard</t>
        </is>
      </c>
      <c r="D5" s="18" t="inlineStr">
        <is>
          <t>Financiero</t>
        </is>
      </c>
      <c r="E5" s="18" t="inlineStr">
        <is>
          <t>Pendiente</t>
        </is>
      </c>
      <c r="F5" s="18" t="n"/>
    </row>
    <row r="6" ht="23.85" customHeight="1" s="13">
      <c r="A6" s="18" t="inlineStr">
        <is>
          <t>G5</t>
        </is>
      </c>
      <c r="B6" s="18" t="inlineStr">
        <is>
          <t>Fin Sprint 7</t>
        </is>
      </c>
      <c r="C6" s="22" t="inlineStr">
        <is>
          <t>UAT con guion + acta de conciliación + restore cronometrado. BLOQUEANTE ABSOLUTO (ventana 48h)</t>
        </is>
      </c>
      <c r="D6" s="18" t="inlineStr">
        <is>
          <t>CEO Andrés</t>
        </is>
      </c>
      <c r="E6" s="18" t="inlineStr">
        <is>
          <t>Pendiente</t>
        </is>
      </c>
      <c r="F6" s="18" t="n"/>
    </row>
    <row r="7">
      <c r="A7" s="12" t="inlineStr">
        <is>
          <t>Kimi PLAN (S0·Sesión 2)</t>
        </is>
      </c>
      <c r="B7" s="12" t="inlineStr">
        <is>
          <t>Pre-código auth/RBAC/audit</t>
        </is>
      </c>
      <c r="C7" s="12" t="inlineStr">
        <is>
          <t>Auditoría adversarial del plan &gt;=9.0 (I-PLAN 7.8 NO-GO → R-PLAN 9.1 GO)</t>
        </is>
      </c>
      <c r="D7" s="12" t="inlineStr">
        <is>
          <t>Kimi (auditor externo)</t>
        </is>
      </c>
      <c r="E7" s="12" t="inlineStr">
        <is>
          <t>Aprobado</t>
        </is>
      </c>
      <c r="F7" s="12" t="inlineStr">
        <is>
          <t>2026-07-18</t>
        </is>
      </c>
    </row>
    <row r="8">
      <c r="A8" s="12" t="inlineStr">
        <is>
          <t>Kimi PR-1 audit (S0·Sesión 2)</t>
        </is>
      </c>
      <c r="B8" s="12" t="inlineStr">
        <is>
          <t>Post-código PR-1</t>
        </is>
      </c>
      <c r="C8" s="12" t="inlineStr">
        <is>
          <t>Auditoría de código &gt;=9.0 (I-PR1 8.9→R-PR1 8.8→cierre 9.2)</t>
        </is>
      </c>
      <c r="D8" s="12" t="inlineStr">
        <is>
          <t>Kimi (auditor externo)</t>
        </is>
      </c>
      <c r="E8" s="12" t="inlineStr">
        <is>
          <t>Aprobado</t>
        </is>
      </c>
      <c r="F8" s="12" t="inlineStr">
        <is>
          <t>2026-07-18</t>
        </is>
      </c>
    </row>
  </sheetData>
  <dataValidations count="1">
    <dataValidation sqref="E2:E8" showDropDown="0" showInputMessage="0" showErrorMessage="0" allowBlank="1" type="list" errorStyle="stop" operator="between">
      <formula1>"Pendiente,Aprobado,Rechazado"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12" min="1" max="1"/>
    <col width="80" customWidth="1" style="12" min="2" max="2"/>
    <col width="12" customWidth="1" style="12" min="3" max="3"/>
    <col width="25" customWidth="1" style="12" min="4" max="4"/>
  </cols>
  <sheetData>
    <row r="1" ht="15" customHeight="1" s="13">
      <c r="A1" s="17" t="inlineStr">
        <is>
          <t>#</t>
        </is>
      </c>
      <c r="B1" s="17" t="inlineStr">
        <is>
          <t>Punto del Definition of Done (Spec v1.1.2 §5)</t>
        </is>
      </c>
      <c r="C1" s="17" t="inlineStr">
        <is>
          <t>Estado</t>
        </is>
      </c>
      <c r="D1" s="17" t="inlineStr">
        <is>
          <t>Evidencia</t>
        </is>
      </c>
    </row>
    <row r="2" ht="15" customHeight="1" s="13">
      <c r="A2" s="18" t="n">
        <v>1</v>
      </c>
      <c r="B2" s="22" t="inlineStr">
        <is>
          <t>RBAC 4 roles + segregación con tests NEGATIVOS por rol (incluye export de Consulta denegado)</t>
        </is>
      </c>
      <c r="C2" s="18" t="inlineStr">
        <is>
          <t>Pendiente</t>
        </is>
      </c>
      <c r="D2" s="18" t="n"/>
    </row>
    <row r="3" ht="23.85" customHeight="1" s="13">
      <c r="A3" s="18" t="n">
        <v>2</v>
      </c>
      <c r="B3" s="22" t="inlineStr">
        <is>
          <t>Parsers de los 3 bancos con fixtures reales anonimizados, 0 duplicados en solape, 2 manuales coexisten, reproceso de carga fallida</t>
        </is>
      </c>
      <c r="C3" s="18" t="inlineStr">
        <is>
          <t>Pendiente</t>
        </is>
      </c>
      <c r="D3" s="18" t="n"/>
    </row>
    <row r="4" ht="23.85" customHeight="1" s="13">
      <c r="A4" s="18" t="n">
        <v>3</v>
      </c>
      <c r="B4" s="22" t="inlineStr">
        <is>
          <t>Ciclo presupuestal completo demostrado; sugerido == 4 columnas del Excel congelado (TOLERANCIA_CUADRE)</t>
        </is>
      </c>
      <c r="C4" s="18" t="inlineStr">
        <is>
          <t>Pendiente</t>
        </is>
      </c>
      <c r="D4" s="18" t="n"/>
    </row>
    <row r="5" ht="15" customHeight="1" s="13">
      <c r="A5" s="18" t="n">
        <v>4</v>
      </c>
      <c r="B5" s="22" t="inlineStr">
        <is>
          <t>Migración histórica conciliada contra el Excel; acta firmada por el Financiero</t>
        </is>
      </c>
      <c r="C5" s="18" t="inlineStr">
        <is>
          <t>Pendiente</t>
        </is>
      </c>
      <c r="D5" s="18" t="n"/>
    </row>
    <row r="6" ht="15" customHeight="1" s="13">
      <c r="A6" s="18" t="n">
        <v>5</v>
      </c>
      <c r="B6" s="22" t="inlineStr">
        <is>
          <t>Módulo IVA reproduce el cuatrimestre May–Ago 2026 con facturas reales</t>
        </is>
      </c>
      <c r="C6" s="18" t="inlineStr">
        <is>
          <t>Pendiente</t>
        </is>
      </c>
      <c r="D6" s="18" t="n"/>
    </row>
    <row r="7" ht="15" customHeight="1" s="13">
      <c r="A7" s="18" t="n">
        <v>6</v>
      </c>
      <c r="B7" s="22" t="inlineStr">
        <is>
          <t>Audit log con los 30 eventos (29 + extracto.cargado de CR-001) + test CI de inmutabilidad</t>
        </is>
      </c>
      <c r="C7" s="18" t="inlineStr">
        <is>
          <t>Pendiente</t>
        </is>
      </c>
      <c r="D7" s="18" t="n"/>
    </row>
    <row r="8" ht="15" customHeight="1" s="13">
      <c r="A8" s="18" t="n">
        <v>7</v>
      </c>
      <c r="B8" s="22" t="inlineStr">
        <is>
          <t>Dashboard replica la hoja Inicio con cifras idénticas, incluido ingreso proyectado (M10)</t>
        </is>
      </c>
      <c r="C8" s="18" t="inlineStr">
        <is>
          <t>Pendiente</t>
        </is>
      </c>
      <c r="D8" s="18" t="n"/>
    </row>
    <row r="9" ht="15" customHeight="1" s="13">
      <c r="A9" s="18" t="n">
        <v>8</v>
      </c>
      <c r="B9" s="22" t="inlineStr">
        <is>
          <t>Suite verde en CI con pip-audit, gitleaks y Dependabot</t>
        </is>
      </c>
      <c r="C9" s="18" t="inlineStr">
        <is>
          <t>Pendiente</t>
        </is>
      </c>
      <c r="D9" s="18" t="n"/>
    </row>
    <row r="10" ht="23.85" customHeight="1" s="13">
      <c r="A10" s="18" t="n">
        <v>9</v>
      </c>
      <c r="B10" s="22" t="inlineStr">
        <is>
          <t>Carga: 5.000 movimientos &lt; 30 s y p95 dashboard &lt; 2 s con 12 meses de volumen (5 reales + sintético)</t>
        </is>
      </c>
      <c r="C10" s="18" t="inlineStr">
        <is>
          <t>Pendiente</t>
        </is>
      </c>
      <c r="D10" s="18" t="n"/>
    </row>
    <row r="11" ht="15" customHeight="1" s="13">
      <c r="A11" s="18" t="n">
        <v>10</v>
      </c>
      <c r="B11" s="22" t="inlineStr">
        <is>
          <t>Restauración selectiva cronometrada contra instancia temporal tamaño producción; RTO medido</t>
        </is>
      </c>
      <c r="C11" s="18" t="inlineStr">
        <is>
          <t>Pendiente</t>
        </is>
      </c>
      <c r="D11" s="18" t="n"/>
    </row>
    <row r="12" ht="23.85" customHeight="1" s="13">
      <c r="A12" s="18" t="n">
        <v>11</v>
      </c>
      <c r="B12" s="22" t="inlineStr">
        <is>
          <t>Auth endurecida verificada: logout revoca, desactivado pierde acceso, MFA Admin/Directivo, backoff</t>
        </is>
      </c>
      <c r="C12" s="18" t="inlineStr">
        <is>
          <t>Pendiente</t>
        </is>
      </c>
      <c r="D12" s="18" t="n"/>
    </row>
    <row r="13" ht="15" customHeight="1" s="13">
      <c r="A13" s="18" t="n">
        <v>12</v>
      </c>
      <c r="B13" s="22" t="inlineStr">
        <is>
          <t>Cabeceras de seguridad (CSP, HSTS, nosniff, frame-ancestors) con test en CI</t>
        </is>
      </c>
      <c r="C13" s="18" t="inlineStr">
        <is>
          <t>Pendiente</t>
        </is>
      </c>
      <c r="D13" s="18" t="n"/>
    </row>
  </sheetData>
  <dataValidations count="1">
    <dataValidation sqref="C2:C13" showDropDown="0" showInputMessage="0" showErrorMessage="0" allowBlank="1" type="list" errorStyle="stop" operator="between">
      <formula1>"Pendiente,En curso,Cumplido"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60" customWidth="1" style="12" min="2" max="2"/>
    <col width="12" customWidth="1" style="12" min="3" max="4"/>
    <col width="18" customWidth="1" style="12" min="5" max="5"/>
    <col width="14" customWidth="1" style="12" min="6" max="6"/>
    <col width="30" customWidth="1" style="12" min="7" max="7"/>
  </cols>
  <sheetData>
    <row r="1" ht="15" customHeight="1" s="13">
      <c r="A1" s="17" t="inlineStr">
        <is>
          <t>CR</t>
        </is>
      </c>
      <c r="B1" s="17" t="inlineStr">
        <is>
          <t>Descripción</t>
        </is>
      </c>
      <c r="C1" s="17" t="inlineStr">
        <is>
          <t>Solicitante</t>
        </is>
      </c>
      <c r="D1" s="17" t="inlineStr">
        <is>
          <t>Fecha</t>
        </is>
      </c>
      <c r="E1" s="17" t="inlineStr">
        <is>
          <t>Estado</t>
        </is>
      </c>
      <c r="F1" s="17" t="inlineStr">
        <is>
          <t>Sprint destino</t>
        </is>
      </c>
      <c r="G1" s="17" t="inlineStr">
        <is>
          <t>Impacto declarado</t>
        </is>
      </c>
    </row>
    <row r="2" ht="23.85" customHeight="1" s="13">
      <c r="A2" s="18" t="inlineStr">
        <is>
          <t>CR-001</t>
        </is>
      </c>
      <c r="B2" s="22" t="inlineStr">
        <is>
          <t>Gestión de extractos mensuales como fuente de verificación y corrección (ExtractoMensual + verificación automática + regla de cierre)</t>
        </is>
      </c>
      <c r="C2" s="18" t="inlineStr">
        <is>
          <t>CEO</t>
        </is>
      </c>
      <c r="D2" s="18" t="inlineStr">
        <is>
          <t>2026-07-18</t>
        </is>
      </c>
      <c r="E2" s="18" t="inlineStr">
        <is>
          <t>Aprobado y firmado</t>
        </is>
      </c>
      <c r="F2" s="18" t="inlineStr">
        <is>
          <t>Sprint 4</t>
        </is>
      </c>
      <c r="G2" s="18" t="inlineStr">
        <is>
          <t>Ninguno (1–1,5 días dentro del buffer)</t>
        </is>
      </c>
    </row>
    <row r="3" ht="23.85" customHeight="1" s="13">
      <c r="A3" s="18" t="inlineStr">
        <is>
          <t>CR-002</t>
        </is>
      </c>
      <c r="B3" s="22" t="inlineStr">
        <is>
          <t>Errata documental v1.1.3 (8 ítems): catálogo 29-&gt;30; cookie Path /auth-&gt;/api/v1/auth (Spec §4 Y STACK §3); api.compas.roddos.com + Origin; convención UTC-aware; colección refresh_sessions (Spec §2.3/STACK §4.2); TTL denylist por tipo; secreto MONGODB_URI_AUDIT (STACK §5.1). De auditorías Kimi I-PLAN+R-PLAN. Ver docs/COMPAS_ERRATA_PENDIENTE_v1_1_3.md</t>
        </is>
      </c>
      <c r="C3" s="18" t="inlineStr">
        <is>
          <t>Auditoría Kimi / Tech Lead</t>
        </is>
      </c>
      <c r="D3" s="18" t="inlineStr">
        <is>
          <t>2026-07-18</t>
        </is>
      </c>
      <c r="E3" s="18" t="inlineStr">
        <is>
          <t>Borrador</t>
        </is>
      </c>
      <c r="F3" s="18" t="inlineStr">
        <is>
          <t>Sprint 0 (errata) / re-baseline v1.1.3</t>
        </is>
      </c>
      <c r="G3" s="18" t="inlineStr">
        <is>
          <t>Ninguno de decisión/costo; solo reconciliación documental. Ver docs/COMPAS_ERRATA_PENDIENTE_v1_1_3.md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0" customWidth="1" style="12" min="1" max="1"/>
  </cols>
  <sheetData>
    <row r="1" ht="16.15" customHeight="1" s="13">
      <c r="A1" s="23" t="inlineStr">
        <is>
          <t>Cómo usar este tablero</t>
        </is>
      </c>
    </row>
    <row r="3" ht="23.85" customHeight="1" s="13">
      <c r="A3" s="24" t="inlineStr">
        <is>
          <t>1. Al cerrar cada sesión de Claude Code o cada entregable: cambia el Estado en la hoja Tareas (desplegable) y anota fecha y evidencia (commit, PR, demo).</t>
        </is>
      </c>
    </row>
    <row r="4" ht="23.85" customHeight="1" s="13">
      <c r="A4" s="24" t="inlineStr">
        <is>
          <t>2. Estados: Pendiente → En curso → Hecha (el ejecutor terminó) → Verificada (Iván o el gate lo validó). Bloqueada exige nota en Evidencia.</t>
        </is>
      </c>
    </row>
    <row r="5" ht="15" customHeight="1" s="13">
      <c r="A5" s="24" t="inlineStr">
        <is>
          <t>3. El Dashboard calcula el % de avance por sprint automáticamente (fórmulas COUNTIF sobre Tareas).</t>
        </is>
      </c>
    </row>
    <row r="6" ht="15" customHeight="1" s="13">
      <c r="A6" s="24" t="inlineStr">
        <is>
          <t>4. Gates: solo el aprobador nombrado cambia el estado a Aprobado, con fecha.</t>
        </is>
      </c>
    </row>
    <row r="7" ht="15" customHeight="1" s="13">
      <c r="A7" s="24" t="inlineStr">
        <is>
          <t>5. DoD: los 12 puntos deben estar 'Cumplido' antes del gate G5 (más el punto 6 actualizado a 30 eventos por CR-001).</t>
        </is>
      </c>
    </row>
    <row r="8" ht="15" customHeight="1" s="13">
      <c r="A8" s="24" t="inlineStr">
        <is>
          <t>6. CRs: NINGÚN cambio de alcance se construye sin fila aquí y aprobación del CEO (lección de la auditoría).</t>
        </is>
      </c>
    </row>
    <row r="9" ht="15" customHeight="1" s="13">
      <c r="A9" s="24" t="inlineStr">
        <is>
          <t>7. Este archivo vive en docs/ del repo y se versiona con git: commit al final de cada semana como mínimo.</t>
        </is>
      </c>
    </row>
    <row r="10" ht="15" customHeight="1" s="13">
      <c r="A10" s="24" t="inlineStr">
        <is>
          <t>Celdas editables: columnas Estado, Fecha cierre y Evidencia (Tareas); Estado y Fecha (Gates, DoD); filas nuevas en CRs.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2026-07-18T16:46:58Z</dcterms:created>
  <dcterms:modified xmlns:dcterms="http://purl.org/dc/terms/" xmlns:xsi="http://www.w3.org/2001/XMLSchema-instance" xsi:type="dcterms:W3CDTF">2026-07-19T17:17:19Z</dcterms:modified>
  <cp:revision>0</cp:revision>
</cp:coreProperties>
</file>