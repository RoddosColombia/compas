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Tareas" sheetId="2" state="visible" r:id="rId2"/>
    <sheet xmlns:r="http://schemas.openxmlformats.org/officeDocument/2006/relationships" name="Gates" sheetId="3" state="visible" r:id="rId3"/>
    <sheet xmlns:r="http://schemas.openxmlformats.org/officeDocument/2006/relationships" name="DoD" sheetId="4" state="visible" r:id="rId4"/>
    <sheet xmlns:r="http://schemas.openxmlformats.org/officeDocument/2006/relationships" name="CRs" sheetId="5" state="visible" r:id="rId5"/>
    <sheet xmlns:r="http://schemas.openxmlformats.org/officeDocument/2006/relationships" name="Leyenda" sheetId="6" state="visible" r:id="rId6"/>
  </sheets>
  <definedNames>
    <definedName name="_xlnm._FilterDatabase" localSheetId="1" hidden="1">'Tareas'!$A$1:$I$37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4E79"/>
      <sz val="16"/>
    </font>
    <font>
      <name val="Arial"/>
      <charset val="1"/>
      <family val="0"/>
      <i val="1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4E79"/>
      <sz val="13"/>
    </font>
  </fonts>
  <fills count="4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2CC"/>
        <bgColor rgb="FFFFFFFF"/>
      </patternFill>
    </fill>
  </fills>
  <borders count="2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bottom"/>
    </xf>
    <xf numFmtId="9" fontId="8" fillId="0" borderId="1" applyAlignment="1" pivotButton="0" quotePrefix="0" xfId="0">
      <alignment horizontal="general" vertical="bottom"/>
    </xf>
    <xf numFmtId="0" fontId="8" fillId="3" borderId="1" applyAlignment="1" pivotButton="0" quotePrefix="0" xfId="0">
      <alignment horizontal="general" vertical="bottom"/>
    </xf>
    <xf numFmtId="9" fontId="8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top" wrapText="1"/>
    </xf>
    <xf numFmtId="0" fontId="9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2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12" min="1" max="1"/>
    <col width="10" customWidth="1" style="12" min="2" max="2"/>
    <col width="26" customWidth="1" style="12" min="3" max="3"/>
    <col width="10" customWidth="1" style="12" min="4" max="4"/>
  </cols>
  <sheetData>
    <row r="1" ht="19.7" customHeight="1" s="13">
      <c r="A1" s="14" t="inlineStr">
        <is>
          <t>COMPAS — Control de Desarrollo</t>
        </is>
      </c>
    </row>
    <row r="2" ht="15" customHeight="1" s="13">
      <c r="A2" s="15" t="inlineStr">
        <is>
          <t>Baseline v1.1.2 + CR-001 · Certificado GO 9.3/10 · Go-live: 10 semanas</t>
        </is>
      </c>
    </row>
    <row r="4" ht="15" customHeight="1" s="13">
      <c r="A4" s="16" t="inlineStr">
        <is>
          <t>Avance por sprint (se actualiza solo al cambiar Estado en la hoja Tareas)</t>
        </is>
      </c>
    </row>
    <row r="6" ht="15" customHeight="1" s="13">
      <c r="A6" s="17" t="inlineStr">
        <is>
          <t>Sprint</t>
        </is>
      </c>
      <c r="B6" s="17" t="inlineStr">
        <is>
          <t>Tareas</t>
        </is>
      </c>
      <c r="C6" s="17" t="inlineStr">
        <is>
          <t>Cerradas (Hecha+Verificada)</t>
        </is>
      </c>
      <c r="D6" s="17" t="inlineStr">
        <is>
          <t>% Avance</t>
        </is>
      </c>
    </row>
    <row r="7" ht="15" customHeight="1" s="13">
      <c r="A7" s="18" t="inlineStr">
        <is>
          <t>Sprint 0</t>
        </is>
      </c>
      <c r="B7" s="18">
        <f>COUNTIF(Tareas!B:B,A7)</f>
        <v/>
      </c>
      <c r="C7" s="18">
        <f>COUNTIFS(Tareas!B:B,A7,Tareas!F:F,"Hecha")+COUNTIFS(Tareas!B:B,A7,Tareas!F:F,"Verificada")</f>
        <v/>
      </c>
      <c r="D7" s="19">
        <f>IF(B7=0,0,C7/B7)</f>
        <v/>
      </c>
    </row>
    <row r="8" ht="15" customHeight="1" s="13">
      <c r="A8" s="18" t="inlineStr">
        <is>
          <t>Sprint 0b</t>
        </is>
      </c>
      <c r="B8" s="18">
        <f>COUNTIF(Tareas!B:B,A8)</f>
        <v/>
      </c>
      <c r="C8" s="18">
        <f>COUNTIFS(Tareas!B:B,A8,Tareas!F:F,"Hecha")+COUNTIFS(Tareas!B:B,A8,Tareas!F:F,"Verificada")</f>
        <v/>
      </c>
      <c r="D8" s="19">
        <f>IF(B8=0,0,C8/B8)</f>
        <v/>
      </c>
    </row>
    <row r="9" ht="15" customHeight="1" s="13">
      <c r="A9" s="18" t="inlineStr">
        <is>
          <t>Sprint 1</t>
        </is>
      </c>
      <c r="B9" s="18">
        <f>COUNTIF(Tareas!B:B,A9)</f>
        <v/>
      </c>
      <c r="C9" s="18">
        <f>COUNTIFS(Tareas!B:B,A9,Tareas!F:F,"Hecha")+COUNTIFS(Tareas!B:B,A9,Tareas!F:F,"Verificada")</f>
        <v/>
      </c>
      <c r="D9" s="19">
        <f>IF(B9=0,0,C9/B9)</f>
        <v/>
      </c>
    </row>
    <row r="10" ht="15" customHeight="1" s="13">
      <c r="A10" s="18" t="inlineStr">
        <is>
          <t>Sprint 2</t>
        </is>
      </c>
      <c r="B10" s="18">
        <f>COUNTIF(Tareas!B:B,A10)</f>
        <v/>
      </c>
      <c r="C10" s="18">
        <f>COUNTIFS(Tareas!B:B,A10,Tareas!F:F,"Hecha")+COUNTIFS(Tareas!B:B,A10,Tareas!F:F,"Verificada")</f>
        <v/>
      </c>
      <c r="D10" s="19">
        <f>IF(B10=0,0,C10/B10)</f>
        <v/>
      </c>
    </row>
    <row r="11" ht="15" customHeight="1" s="13">
      <c r="A11" s="18" t="inlineStr">
        <is>
          <t>Sprint 3</t>
        </is>
      </c>
      <c r="B11" s="18">
        <f>COUNTIF(Tareas!B:B,A11)</f>
        <v/>
      </c>
      <c r="C11" s="18">
        <f>COUNTIFS(Tareas!B:B,A11,Tareas!F:F,"Hecha")+COUNTIFS(Tareas!B:B,A11,Tareas!F:F,"Verificada")</f>
        <v/>
      </c>
      <c r="D11" s="19">
        <f>IF(B11=0,0,C11/B11)</f>
        <v/>
      </c>
    </row>
    <row r="12" ht="15" customHeight="1" s="13">
      <c r="A12" s="18" t="inlineStr">
        <is>
          <t>Sprint 4</t>
        </is>
      </c>
      <c r="B12" s="18">
        <f>COUNTIF(Tareas!B:B,A12)</f>
        <v/>
      </c>
      <c r="C12" s="18">
        <f>COUNTIFS(Tareas!B:B,A12,Tareas!F:F,"Hecha")+COUNTIFS(Tareas!B:B,A12,Tareas!F:F,"Verificada")</f>
        <v/>
      </c>
      <c r="D12" s="19">
        <f>IF(B12=0,0,C12/B12)</f>
        <v/>
      </c>
    </row>
    <row r="13" ht="15" customHeight="1" s="13">
      <c r="A13" s="18" t="inlineStr">
        <is>
          <t>Sprint 5</t>
        </is>
      </c>
      <c r="B13" s="18">
        <f>COUNTIF(Tareas!B:B,A13)</f>
        <v/>
      </c>
      <c r="C13" s="18">
        <f>COUNTIFS(Tareas!B:B,A13,Tareas!F:F,"Hecha")+COUNTIFS(Tareas!B:B,A13,Tareas!F:F,"Verificada")</f>
        <v/>
      </c>
      <c r="D13" s="19">
        <f>IF(B13=0,0,C13/B13)</f>
        <v/>
      </c>
    </row>
    <row r="14" ht="15" customHeight="1" s="13">
      <c r="A14" s="18" t="inlineStr">
        <is>
          <t>Sprint 6a</t>
        </is>
      </c>
      <c r="B14" s="18">
        <f>COUNTIF(Tareas!B:B,A14)</f>
        <v/>
      </c>
      <c r="C14" s="18">
        <f>COUNTIFS(Tareas!B:B,A14,Tareas!F:F,"Hecha")+COUNTIFS(Tareas!B:B,A14,Tareas!F:F,"Verificada")</f>
        <v/>
      </c>
      <c r="D14" s="19">
        <f>IF(B14=0,0,C14/B14)</f>
        <v/>
      </c>
    </row>
    <row r="15" ht="15" customHeight="1" s="13">
      <c r="A15" s="18" t="inlineStr">
        <is>
          <t>Sprint 6b</t>
        </is>
      </c>
      <c r="B15" s="18">
        <f>COUNTIF(Tareas!B:B,A15)</f>
        <v/>
      </c>
      <c r="C15" s="18">
        <f>COUNTIFS(Tareas!B:B,A15,Tareas!F:F,"Hecha")+COUNTIFS(Tareas!B:B,A15,Tareas!F:F,"Verificada")</f>
        <v/>
      </c>
      <c r="D15" s="19">
        <f>IF(B15=0,0,C15/B15)</f>
        <v/>
      </c>
    </row>
    <row r="16" ht="15" customHeight="1" s="13">
      <c r="A16" s="18" t="inlineStr">
        <is>
          <t>Sprint 7</t>
        </is>
      </c>
      <c r="B16" s="18">
        <f>COUNTIF(Tareas!B:B,A16)</f>
        <v/>
      </c>
      <c r="C16" s="18">
        <f>COUNTIFS(Tareas!B:B,A16,Tareas!F:F,"Hecha")+COUNTIFS(Tareas!B:B,A16,Tareas!F:F,"Verificada")</f>
        <v/>
      </c>
      <c r="D16" s="19">
        <f>IF(B16=0,0,C16/B16)</f>
        <v/>
      </c>
    </row>
    <row r="17" ht="15" customHeight="1" s="13">
      <c r="A17" s="18" t="inlineStr">
        <is>
          <t>Sprint 8</t>
        </is>
      </c>
      <c r="B17" s="18">
        <f>COUNTIF(Tareas!B:B,A17)</f>
        <v/>
      </c>
      <c r="C17" s="18">
        <f>COUNTIFS(Tareas!B:B,A17,Tareas!F:F,"Hecha")+COUNTIFS(Tareas!B:B,A17,Tareas!F:F,"Verificada")</f>
        <v/>
      </c>
      <c r="D17" s="19">
        <f>IF(B17=0,0,C17/B17)</f>
        <v/>
      </c>
    </row>
    <row r="18" ht="15" customHeight="1" s="13">
      <c r="A18" s="18" t="inlineStr">
        <is>
          <t>Post-plan</t>
        </is>
      </c>
      <c r="B18" s="18">
        <f>COUNTIF(Tareas!B:B,A18)</f>
        <v/>
      </c>
      <c r="C18" s="18">
        <f>COUNTIFS(Tareas!B:B,A18,Tareas!F:F,"Hecha")+COUNTIFS(Tareas!B:B,A18,Tareas!F:F,"Verificada")</f>
        <v/>
      </c>
      <c r="D18" s="19">
        <f>IF(B18=0,0,C18/B18)</f>
        <v/>
      </c>
    </row>
    <row r="19" ht="15" customHeight="1" s="13">
      <c r="A19" s="18" t="inlineStr">
        <is>
          <t>Externos</t>
        </is>
      </c>
      <c r="B19" s="18">
        <f>COUNTIF(Tareas!B:B,A19)</f>
        <v/>
      </c>
      <c r="C19" s="18">
        <f>COUNTIFS(Tareas!B:B,A19,Tareas!F:F,"Hecha")+COUNTIFS(Tareas!B:B,A19,Tareas!F:F,"Verificada")</f>
        <v/>
      </c>
      <c r="D19" s="19">
        <f>IF(B19=0,0,C19/B19)</f>
        <v/>
      </c>
    </row>
    <row r="20" ht="15" customHeight="1" s="13">
      <c r="A20" s="20" t="inlineStr">
        <is>
          <t>TOTAL</t>
        </is>
      </c>
      <c r="B20" s="20">
        <f>SUM(B7:B19)</f>
        <v/>
      </c>
      <c r="C20" s="20">
        <f>SUM(C7:C19)</f>
        <v/>
      </c>
      <c r="D20" s="21">
        <f>IF(B20=0,0,C20/B20)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7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10" customWidth="1" style="12" min="2" max="2"/>
    <col width="8" customWidth="1" style="12" min="3" max="3"/>
    <col width="62" customWidth="1" style="12" min="4" max="4"/>
    <col width="18" customWidth="1" style="12" min="5" max="5"/>
    <col width="12" customWidth="1" style="12" min="6" max="7"/>
    <col width="30" customWidth="1" style="12" min="8" max="8"/>
    <col width="9" customWidth="1" style="12" min="9" max="9"/>
  </cols>
  <sheetData>
    <row r="1" ht="23.85" customHeight="1" s="13">
      <c r="A1" s="17" t="inlineStr">
        <is>
          <t>ID</t>
        </is>
      </c>
      <c r="B1" s="17" t="inlineStr">
        <is>
          <t>Sprint</t>
        </is>
      </c>
      <c r="C1" s="17" t="inlineStr">
        <is>
          <t>Semana</t>
        </is>
      </c>
      <c r="D1" s="17" t="inlineStr">
        <is>
          <t>Tarea / Entregable</t>
        </is>
      </c>
      <c r="E1" s="17" t="inlineStr">
        <is>
          <t>Responsable</t>
        </is>
      </c>
      <c r="F1" s="17" t="inlineStr">
        <is>
          <t>Estado</t>
        </is>
      </c>
      <c r="G1" s="17" t="inlineStr">
        <is>
          <t>Fecha cierre</t>
        </is>
      </c>
      <c r="H1" s="17" t="inlineStr">
        <is>
          <t>Evidencia / Nota</t>
        </is>
      </c>
      <c r="I1" s="17" t="inlineStr">
        <is>
          <t>Gate-DoD</t>
        </is>
      </c>
    </row>
    <row r="2" ht="23.85" customHeight="1" s="13">
      <c r="A2" s="18" t="inlineStr">
        <is>
          <t>S0-01</t>
        </is>
      </c>
      <c r="B2" s="18" t="inlineStr">
        <is>
          <t>Sprint 0</t>
        </is>
      </c>
      <c r="C2" s="18" t="inlineStr">
        <is>
          <t>1</t>
        </is>
      </c>
      <c r="D2" s="22" t="inlineStr">
        <is>
          <t>Repo GitHub creado (RoddosCol/compas, rama main) con baseline documental v1.1.2 + CR-001</t>
        </is>
      </c>
      <c r="E2" s="18" t="inlineStr">
        <is>
          <t>Andrés</t>
        </is>
      </c>
      <c r="F2" s="18" t="inlineStr">
        <is>
          <t>Hecha</t>
        </is>
      </c>
      <c r="G2" s="18" t="inlineStr">
        <is>
          <t>2026-07-18</t>
        </is>
      </c>
      <c r="H2" s="22" t="inlineStr">
        <is>
          <t>Commit eb34afe pushed</t>
        </is>
      </c>
      <c r="I2" s="18" t="n"/>
    </row>
    <row r="3" ht="15" customHeight="1" s="13">
      <c r="A3" s="18" t="inlineStr">
        <is>
          <t>S0-02</t>
        </is>
      </c>
      <c r="B3" s="18" t="inlineStr">
        <is>
          <t>Sprint 0</t>
        </is>
      </c>
      <c r="C3" s="18" t="inlineStr">
        <is>
          <t>1</t>
        </is>
      </c>
      <c r="D3" s="22" t="inlineStr">
        <is>
          <t>Claude Code instalado y autenticado (v2.1.214)</t>
        </is>
      </c>
      <c r="E3" s="18" t="inlineStr">
        <is>
          <t>Andrés</t>
        </is>
      </c>
      <c r="F3" s="18" t="inlineStr">
        <is>
          <t>Hecha</t>
        </is>
      </c>
      <c r="G3" s="18" t="inlineStr">
        <is>
          <t>2026-07-18</t>
        </is>
      </c>
      <c r="H3" s="22" t="inlineStr">
        <is>
          <t>install.ps1 nativo Windows</t>
        </is>
      </c>
      <c r="I3" s="18" t="n"/>
    </row>
    <row r="4" ht="35.05" customHeight="1" s="13">
      <c r="A4" s="18" t="inlineStr">
        <is>
          <t>S0-03</t>
        </is>
      </c>
      <c r="B4" s="18" t="inlineStr">
        <is>
          <t>Sprint 0</t>
        </is>
      </c>
      <c r="C4" s="18" t="inlineStr">
        <is>
          <t>1</t>
        </is>
      </c>
      <c r="D4" s="22" t="inlineStr">
        <is>
          <t>Sesión 1: esqueleto backend FastAPI (app/, Settings, /health, Beanie, RUN_SCHEDULER condicional) + esqueleto frontend (Vite+React+TS+Tailwind+shadcn) con tests verdes</t>
        </is>
      </c>
      <c r="E4" s="18" t="inlineStr">
        <is>
          <t>Claude Code + Andrés</t>
        </is>
      </c>
      <c r="F4" s="18" t="inlineStr">
        <is>
          <t>Hecha</t>
        </is>
      </c>
      <c r="G4" s="18" t="inlineStr">
        <is>
          <t>2026-07-18</t>
        </is>
      </c>
      <c r="H4" s="22" t="inlineStr">
        <is>
          <t>Commit 61048ac — esqueleto backend+frontend verde (pytest 9/1skip, build+vitest 3/3, npm audit 0 vulns)</t>
        </is>
      </c>
      <c r="I4" s="18" t="n"/>
    </row>
    <row r="5" ht="35.05" customHeight="1" s="13">
      <c r="A5" s="18" t="inlineStr">
        <is>
          <t>S0-04</t>
        </is>
      </c>
      <c r="B5" s="18" t="inlineStr">
        <is>
          <t>Sprint 0</t>
        </is>
      </c>
      <c r="C5" s="18" t="inlineStr">
        <is>
          <t>1</t>
        </is>
      </c>
      <c r="D5" s="22" t="inlineStr">
        <is>
          <t>Sesión 2: portar de SISMO auth JWT (token_version, logout/denylist, rotación refresh), RBAC 4 roles, audit_log append-only + test CI de inmutabilidad + docs/PORTADO_DE_SISMO.md</t>
        </is>
      </c>
      <c r="E5" s="18" t="inlineStr">
        <is>
          <t>Claude Code + Andrés</t>
        </is>
      </c>
      <c r="F5" s="18" t="inlineStr">
        <is>
          <t>Hecha</t>
        </is>
      </c>
      <c r="G5" s="18" t="inlineStr">
        <is>
          <t>2026-07-19</t>
        </is>
      </c>
      <c r="H5" s="22" t="inlineStr">
        <is>
          <t>SESIÓN 2 COMPLETA (audit→auth→RBAC), 3/3 PRs GO por Kimi: PR-1 9.2, PR-2 9.3, PR-3 9.5 (+ gate PLAN 9.1). Commit 6a6ef63. pytest 80/6skip, ruff limpio.</t>
        </is>
      </c>
      <c r="I5" s="18" t="inlineStr">
        <is>
          <t>G1</t>
        </is>
      </c>
    </row>
    <row r="6" ht="23.85" customHeight="1" s="13">
      <c r="A6" s="18" t="inlineStr">
        <is>
          <t>S0-05</t>
        </is>
      </c>
      <c r="B6" s="18" t="inlineStr">
        <is>
          <t>Sprint 0</t>
        </is>
      </c>
      <c r="C6" s="18" t="inlineStr">
        <is>
          <t>1</t>
        </is>
      </c>
      <c r="D6" s="22" t="inlineStr">
        <is>
          <t>Sesión 3: CI/CD GitHub Actions (lint+tests+build+pip-audit+gitleaks bloqueantes; main→staging; tag→production con reviewer) + Dependabot</t>
        </is>
      </c>
      <c r="E6" s="18" t="inlineStr">
        <is>
          <t>Claude Code + Andrés</t>
        </is>
      </c>
      <c r="F6" s="18" t="inlineStr">
        <is>
          <t>Hecha</t>
        </is>
      </c>
      <c r="G6" s="18" t="inlineStr">
        <is>
          <t>2026-07-20</t>
        </is>
      </c>
      <c r="H6" s="22" t="inlineStr">
        <is>
          <t>PR #6 merge 3a1536d; CI 5 jobs verdes (run 29771391813); Kimi PR-I GO 9.5; DoD #8</t>
        </is>
      </c>
      <c r="I6" s="18" t="inlineStr">
        <is>
          <t>G1</t>
        </is>
      </c>
    </row>
    <row r="7" ht="35.05" customHeight="1" s="13">
      <c r="A7" s="18" t="inlineStr">
        <is>
          <t>S0-06</t>
        </is>
      </c>
      <c r="B7" s="18" t="inlineStr">
        <is>
          <t>Sprint 0</t>
        </is>
      </c>
      <c r="C7" s="18" t="inlineStr">
        <is>
          <t>1</t>
        </is>
      </c>
      <c r="D7" s="22" t="inlineStr">
        <is>
          <t>Aprovisionamiento manual (RUNBOOK §1-§7): Atlas database compas + usuario, render.yaml aplicado, Vercel, Cloudflare DNS, S3 IAM + bucket compas-archivo (Object Lock) + CRR, Sentry, Better Stack + 8 heartbeats</t>
        </is>
      </c>
      <c r="E7" s="18" t="inlineStr">
        <is>
          <t>Andrés</t>
        </is>
      </c>
      <c r="F7" s="18" t="inlineStr">
        <is>
          <t>Hecha</t>
        </is>
      </c>
      <c r="G7" s="18" t="inlineStr">
        <is>
          <t>2026-07-20</t>
        </is>
      </c>
      <c r="H7" s="22" t="inlineStr">
        <is>
          <t>Atlas aprovisionado: compas en cluster SISMO-V3, compas_app + audit_writer/compas_audit (UI; driver bloqueado por Atlas), índices+semillas verificados. Render/S3: pendientes aparte.</t>
        </is>
      </c>
      <c r="I7" s="18" t="n"/>
    </row>
    <row r="8" ht="23.85" customHeight="1" s="13">
      <c r="A8" s="18" t="inlineStr">
        <is>
          <t>S0-07</t>
        </is>
      </c>
      <c r="B8" s="18" t="inlineStr">
        <is>
          <t>Sprint 0</t>
        </is>
      </c>
      <c r="C8" s="18" t="inlineStr">
        <is>
          <t>1</t>
        </is>
      </c>
      <c r="D8" s="22" t="inlineStr">
        <is>
          <t>Secretos cargados por entorno (RUNBOOK §8) — acceso solo Andrés + Iván</t>
        </is>
      </c>
      <c r="E8" s="18" t="inlineStr">
        <is>
          <t>Andrés</t>
        </is>
      </c>
      <c r="F8" s="18" t="inlineStr">
        <is>
          <t>Hecha</t>
        </is>
      </c>
      <c r="G8" s="18" t="inlineStr">
        <is>
          <t>2026-07-20</t>
        </is>
      </c>
      <c r="H8" s="22" t="inlineStr">
        <is>
          <t>4 secretos cargados en Render (URI_COMPAS/URI_AUDIT/JWT/MFA_ENC_KEY). API LIVE: https://compas-api-von1.onrender.com — /health/ready 200 {ready, mongo up, beanie ready}; cabeceras DoD #12 verificadas.</t>
        </is>
      </c>
      <c r="I8" s="18" t="n"/>
    </row>
    <row r="9" ht="35.05" customHeight="1" s="13">
      <c r="A9" s="18" t="inlineStr">
        <is>
          <t>S0B-01</t>
        </is>
      </c>
      <c r="B9" s="18" t="inlineStr">
        <is>
          <t>Sprint 0b</t>
        </is>
      </c>
      <c r="C9" s="18" t="inlineStr">
        <is>
          <t>1</t>
        </is>
      </c>
      <c r="D9" s="22" t="inlineStr">
        <is>
          <t>Sesión 4: Rubro (semilla 5 grupos del Excel), MesControl, Configuracion (CALENDARIO_DIAN cargado: 13-may-26 / 10-sep-26 / 14-ene-27), audit log 30 eventos</t>
        </is>
      </c>
      <c r="E9" s="18" t="inlineStr">
        <is>
          <t>Claude Code + Andrés</t>
        </is>
      </c>
      <c r="F9" s="18" t="inlineStr">
        <is>
          <t>Hecha</t>
        </is>
      </c>
      <c r="G9" s="18" t="inlineStr">
        <is>
          <t>2026-07-19</t>
        </is>
      </c>
      <c r="H9" s="22" t="inlineStr">
        <is>
          <t>PR-1 GO Kimi 9.4 (commit 203e23f). Dominio Rubro+semilla real 32 rubros, MesControl, Configuracion tipada, init_beanie no-fatal. 133 tests verdes, ruff limpio. B-2 aplicada.</t>
        </is>
      </c>
      <c r="I9" s="18" t="n"/>
    </row>
    <row r="10" ht="15" customHeight="1" s="13">
      <c r="A10" s="18" t="inlineStr">
        <is>
          <t>S0B-02</t>
        </is>
      </c>
      <c r="B10" s="18" t="inlineStr">
        <is>
          <t>Sprint 0b</t>
        </is>
      </c>
      <c r="C10" s="18" t="inlineStr">
        <is>
          <t>1</t>
        </is>
      </c>
      <c r="D10" s="22" t="inlineStr">
        <is>
          <t>MFA TOTP para admin (movida de S0, nit 4)</t>
        </is>
      </c>
      <c r="E10" s="18" t="inlineStr">
        <is>
          <t>Claude Code + Andrés</t>
        </is>
      </c>
      <c r="F10" s="18" t="inlineStr">
        <is>
          <t>Hecha</t>
        </is>
      </c>
      <c r="G10" s="18" t="inlineStr">
        <is>
          <t>2026-07-19</t>
        </is>
      </c>
      <c r="H10" s="22" t="inlineStr">
        <is>
          <t>PR-2 GO Kimi R-PR2 (fix f625f65). MFA TOTP+step-up+respaldo+HIBP+reset, login 2 pasos, challenge un-solo-uso, cifrado en reposo. Cierra DoD #11. 166 tests verdes.</t>
        </is>
      </c>
      <c r="I10" s="18" t="inlineStr">
        <is>
          <t>G1</t>
        </is>
      </c>
    </row>
    <row r="11" ht="15" customHeight="1" s="13">
      <c r="A11" s="18" t="inlineStr">
        <is>
          <t>S0B-03</t>
        </is>
      </c>
      <c r="B11" s="18" t="inlineStr">
        <is>
          <t>Sprint 0b</t>
        </is>
      </c>
      <c r="C11" s="18" t="inlineStr">
        <is>
          <t>1</t>
        </is>
      </c>
      <c r="D11" s="22" t="inlineStr">
        <is>
          <t>Checklist §9 del RUNBOOK completo con evidencias</t>
        </is>
      </c>
      <c r="E11" s="18" t="inlineStr">
        <is>
          <t>Andrés</t>
        </is>
      </c>
      <c r="F11" s="18" t="inlineStr">
        <is>
          <t>Hecha</t>
        </is>
      </c>
      <c r="G11" s="18" t="inlineStr">
        <is>
          <t>2026-07-20</t>
        </is>
      </c>
      <c r="H11" s="22" t="inlineStr">
        <is>
          <t>Bloque C ejecutado: C1/C3/C4/C6/C7 con evidencia; C2 sustituido (entorno único, decisión CEO); C5 diferido a pre-carga-real (guardrail M-04). Paquete G1-R generado.</t>
        </is>
      </c>
      <c r="I11" s="18" t="n"/>
    </row>
    <row r="12" ht="23.85" customHeight="1" s="13">
      <c r="A12" s="18" t="inlineStr">
        <is>
          <t>S0B-04</t>
        </is>
      </c>
      <c r="B12" s="18" t="inlineStr">
        <is>
          <t>Sprint 0b</t>
        </is>
      </c>
      <c r="C12" s="18" t="inlineStr">
        <is>
          <t>1</t>
        </is>
      </c>
      <c r="D12" s="22" t="inlineStr">
        <is>
          <t>GATE G1 (BLOQUEANTE): checklist de seguridad aprobado por CEO Andres + evidencia adversarial Kimi &gt;=9.0 (aprobador != ejecutor via CR-003; Ivan derogado)</t>
        </is>
      </c>
      <c r="E12" s="18" t="inlineStr">
        <is>
          <t>CEO Andres</t>
        </is>
      </c>
      <c r="F12" s="18" t="inlineStr">
        <is>
          <t>Hecha</t>
        </is>
      </c>
      <c r="G12" s="18" t="inlineStr">
        <is>
          <t>2026-07-20</t>
        </is>
      </c>
      <c r="H12" s="22" t="inlineStr">
        <is>
          <t>GATE G1 GO 9.4 (G1-R) + aprobación CEO. SPRINT 0 CERRADO. Certificado en planning/phases/gate-g1/auditorias/G1-R/.</t>
        </is>
      </c>
      <c r="I12" s="18" t="inlineStr">
        <is>
          <t>G1</t>
        </is>
      </c>
    </row>
    <row r="13" ht="23.85" customHeight="1" s="13">
      <c r="A13" s="18" t="inlineStr">
        <is>
          <t>S1-01</t>
        </is>
      </c>
      <c r="B13" s="18" t="inlineStr">
        <is>
          <t>Sprint 1</t>
        </is>
      </c>
      <c r="C13" s="18" t="inlineStr">
        <is>
          <t>2</t>
        </is>
      </c>
      <c r="D13" s="22" t="inlineStr">
        <is>
          <t>Fixtures reales entregados y anonimizados (Bancolombia, BBVA, Global66 — los del proyecto + SISMO v2); layouts congelados (primer entregable)</t>
        </is>
      </c>
      <c r="E13" s="18" t="inlineStr">
        <is>
          <t>Andrés + Financiero</t>
        </is>
      </c>
      <c r="F13" s="18" t="inlineStr">
        <is>
          <t>Pendiente</t>
        </is>
      </c>
      <c r="G13" s="18" t="n"/>
      <c r="H13" s="22" t="inlineStr">
        <is>
          <t>Global66 ya en el proyecto</t>
        </is>
      </c>
      <c r="I13" s="18" t="n"/>
    </row>
    <row r="14" ht="35.05" customHeight="1" s="13">
      <c r="A14" s="18" t="inlineStr">
        <is>
          <t>S1-02</t>
        </is>
      </c>
      <c r="B14" s="18" t="inlineStr">
        <is>
          <t>Sprint 1</t>
        </is>
      </c>
      <c r="C14" s="18" t="inlineStr">
        <is>
          <t>2</t>
        </is>
      </c>
      <c r="D14" s="22" t="inlineStr">
        <is>
          <t>Parser Bancolombia → esquema canónico + deduplicación (índice parcial, manuales MAN-) + pantalla de cargas con ciclo de vida (fallida/reaper/reproceso) + POST manual (US-03, US-09)</t>
        </is>
      </c>
      <c r="E14" s="18" t="inlineStr">
        <is>
          <t>Claude Code + Andrés</t>
        </is>
      </c>
      <c r="F14" s="18" t="inlineStr">
        <is>
          <t>Hecha</t>
        </is>
      </c>
      <c r="G14" s="18" t="inlineStr">
        <is>
          <t>2026-07-20</t>
        </is>
      </c>
      <c r="H14" s="22" t="inlineStr">
        <is>
          <t>GO Kimi R-PR1 9.3; merge 72034a0. Parser Bancolombia (esquema canónico, 16 tests).</t>
        </is>
      </c>
      <c r="I14" s="18" t="n"/>
    </row>
    <row r="15" ht="23.85" customHeight="1" s="13">
      <c r="A15" s="18" t="inlineStr">
        <is>
          <t>S2-01</t>
        </is>
      </c>
      <c r="B15" s="18" t="inlineStr">
        <is>
          <t>Sprint 2</t>
        </is>
      </c>
      <c r="C15" s="18" t="inlineStr">
        <is>
          <t>3</t>
        </is>
      </c>
      <c r="D15" s="22" t="inlineStr">
        <is>
          <t>Parsers BBVA y Global66 (moneda original + tasa) + reglas de clasificación + pantalla Por clasificar</t>
        </is>
      </c>
      <c r="E15" s="18" t="inlineStr">
        <is>
          <t>Claude Code + Andrés</t>
        </is>
      </c>
      <c r="F15" s="18" t="inlineStr">
        <is>
          <t>Hecha</t>
        </is>
      </c>
      <c r="G15" s="18" t="inlineStr">
        <is>
          <t>2026-07-20</t>
        </is>
      </c>
      <c r="H15" s="22" t="inlineStr">
        <is>
          <t>GO Kimi R-PR1 9.3; merge 72034a0. Parsers BBVA+Global66 (moneda/tasa/FX).</t>
        </is>
      </c>
      <c r="I15" s="18" t="inlineStr">
        <is>
          <t>G2</t>
        </is>
      </c>
    </row>
    <row r="16" ht="23.85" customHeight="1" s="13">
      <c r="A16" s="18" t="inlineStr">
        <is>
          <t>S2-02</t>
        </is>
      </c>
      <c r="B16" s="18" t="inlineStr">
        <is>
          <t>Sprint 2</t>
        </is>
      </c>
      <c r="C16" s="18" t="inlineStr">
        <is>
          <t>3</t>
        </is>
      </c>
      <c r="D16" s="22" t="inlineStr">
        <is>
          <t>MINI-MIGRACIÓN: bases reales mar–jul del Excel congelado, cargadas y clasificadas, cuadradas</t>
        </is>
      </c>
      <c r="E16" s="18" t="inlineStr">
        <is>
          <t>Claude Code + Financiero</t>
        </is>
      </c>
      <c r="F16" s="18" t="inlineStr">
        <is>
          <t>Pendiente</t>
        </is>
      </c>
      <c r="G16" s="18" t="n"/>
      <c r="H16" s="22" t="n"/>
      <c r="I16" s="18" t="inlineStr">
        <is>
          <t>G2</t>
        </is>
      </c>
    </row>
    <row r="17" ht="15" customHeight="1" s="13">
      <c r="A17" s="18" t="inlineStr">
        <is>
          <t>S2-03</t>
        </is>
      </c>
      <c r="B17" s="18" t="inlineStr">
        <is>
          <t>Sprint 2</t>
        </is>
      </c>
      <c r="C17" s="18" t="inlineStr">
        <is>
          <t>3</t>
        </is>
      </c>
      <c r="D17" s="22" t="inlineStr">
        <is>
          <t>Wireframes navbar + vista Presupuesto (elabora Tech Lead, aprueba CEO)</t>
        </is>
      </c>
      <c r="E17" s="18" t="inlineStr">
        <is>
          <t>Andrés</t>
        </is>
      </c>
      <c r="F17" s="18" t="inlineStr">
        <is>
          <t>Hecha</t>
        </is>
      </c>
      <c r="G17" s="18" t="inlineStr">
        <is>
          <t>2026-07-23</t>
        </is>
      </c>
      <c r="H17" s="22" t="inlineStr">
        <is>
          <t>Superada por el producto vivo: navbar (derivado de capabilities) + pantallas Meses (S3-04), Cargas (S2-07), Categorias (S4-08), Reglas (S5-03) y Control construidas, aprobadas por el CEO en uso. El wireframe como artefacto previo quedó absorbido por las pantallas reales</t>
        </is>
      </c>
      <c r="I17" s="18" t="inlineStr">
        <is>
          <t>G2</t>
        </is>
      </c>
    </row>
    <row r="18" ht="15" customHeight="1" s="13">
      <c r="A18" s="18" t="inlineStr">
        <is>
          <t>S2-04</t>
        </is>
      </c>
      <c r="B18" s="18" t="inlineStr">
        <is>
          <t>Sprint 2</t>
        </is>
      </c>
      <c r="C18" s="18" t="inlineStr">
        <is>
          <t>3</t>
        </is>
      </c>
      <c r="D18" s="22" t="inlineStr">
        <is>
          <t>GATE G2: parsers + dedup + mini-migración cuadrada</t>
        </is>
      </c>
      <c r="E18" s="18" t="inlineStr">
        <is>
          <t>Financiero + Andrés</t>
        </is>
      </c>
      <c r="F18" s="18" t="inlineStr">
        <is>
          <t>Pendiente</t>
        </is>
      </c>
      <c r="G18" s="18" t="n"/>
      <c r="H18" s="22" t="n"/>
      <c r="I18" s="18" t="inlineStr">
        <is>
          <t>G2</t>
        </is>
      </c>
    </row>
    <row r="19" ht="35.05" customHeight="1" s="13">
      <c r="A19" s="18" t="inlineStr">
        <is>
          <t>S3-01</t>
        </is>
      </c>
      <c r="B19" s="18" t="inlineStr">
        <is>
          <t>Sprint 3</t>
        </is>
      </c>
      <c r="C19" s="18" t="inlineStr">
        <is>
          <t>4</t>
        </is>
      </c>
      <c r="D19" s="22" t="inlineStr">
        <is>
          <t>Motor del sugerido (fórmula Spec §1.4.1, ejemplo numérico como test) + fila compromisos programados + ciclo de estados + versionado + aprobación (tabla de autoridad)</t>
        </is>
      </c>
      <c r="E19" s="18" t="inlineStr">
        <is>
          <t>Claude Code + Andrés</t>
        </is>
      </c>
      <c r="F19" s="18" t="inlineStr">
        <is>
          <t>Hecha</t>
        </is>
      </c>
      <c r="G19" s="18" t="inlineStr">
        <is>
          <t>2026-07-21</t>
        </is>
      </c>
      <c r="H19" s="22" t="inlineStr">
        <is>
          <t>GO Kimi I-PR1 9.2; merge 7f835be (PR motor). Fórmula §1.4.1 + PresupuestoLinea + generación; dorado 48/61/75M→84.033.333,33 end-to-end.</t>
        </is>
      </c>
      <c r="I19" s="18" t="n"/>
    </row>
    <row r="20" ht="23.85" customHeight="1" s="13">
      <c r="A20" s="18" t="inlineStr">
        <is>
          <t>S3-02</t>
        </is>
      </c>
      <c r="B20" s="18" t="inlineStr">
        <is>
          <t>Sprint 3</t>
        </is>
      </c>
      <c r="C20" s="18" t="inlineStr">
        <is>
          <t>4</t>
        </is>
      </c>
      <c r="D20" s="22" t="inlineStr">
        <is>
          <t>DEMO nota CEO #1 en modo histórico: agosto-2026, 4 columnas vs Excel, % global manual</t>
        </is>
      </c>
      <c r="E20" s="18" t="inlineStr">
        <is>
          <t>Andrés</t>
        </is>
      </c>
      <c r="F20" s="18" t="inlineStr">
        <is>
          <t>Pendiente</t>
        </is>
      </c>
      <c r="G20" s="18" t="n"/>
      <c r="H20" s="22" t="inlineStr">
        <is>
          <t>TOLERANCIA_CUADRE $1</t>
        </is>
      </c>
      <c r="I20" s="18" t="inlineStr">
        <is>
          <t>G3</t>
        </is>
      </c>
    </row>
    <row r="21" ht="23.85" customHeight="1" s="13">
      <c r="A21" s="18" t="inlineStr">
        <is>
          <t>S4-01</t>
        </is>
      </c>
      <c r="B21" s="18" t="inlineStr">
        <is>
          <t>Sprint 4</t>
        </is>
      </c>
      <c r="C21" s="18" t="inlineStr">
        <is>
          <t>5</t>
        </is>
      </c>
      <c r="D21" s="22" t="inlineStr">
        <is>
          <t>Vista Control + caja + conciliación por banco + semáforos + transacciones multi-documento + política de tardías</t>
        </is>
      </c>
      <c r="E21" s="18" t="inlineStr">
        <is>
          <t>Claude Code + Andrés</t>
        </is>
      </c>
      <c r="F21" s="18" t="inlineStr">
        <is>
          <t>Hecha</t>
        </is>
      </c>
      <c r="G21" s="18" t="inlineStr">
        <is>
          <t>2026-07-22</t>
        </is>
      </c>
      <c r="H21" s="22" t="inlineStr">
        <is>
          <t>Backend GO Kimi I-PR1 9.4 (merge 7a1eb46) + frontend (sin gate, como S3-04): pantalla /control con tabla por grupo, semáforos y tarjetas de caja/total. build+lint+7 tests verdes.</t>
        </is>
      </c>
      <c r="I21" s="18" t="n"/>
    </row>
    <row r="22" ht="23.85" customHeight="1" s="13">
      <c r="A22" s="18" t="inlineStr">
        <is>
          <t>S4-02</t>
        </is>
      </c>
      <c r="B22" s="18" t="inlineStr">
        <is>
          <t>Sprint 4</t>
        </is>
      </c>
      <c r="C22" s="18" t="inlineStr">
        <is>
          <t>5</t>
        </is>
      </c>
      <c r="D22" s="22" t="inlineStr">
        <is>
          <t>CR-001: ExtractoMensual (PDF Global66 como fixture) + verificación automática + regla de cierre</t>
        </is>
      </c>
      <c r="E22" s="18" t="inlineStr">
        <is>
          <t>Claude Code + Andrés</t>
        </is>
      </c>
      <c r="F22" s="18" t="inlineStr">
        <is>
          <t>Pendiente</t>
        </is>
      </c>
      <c r="G22" s="18" t="n"/>
      <c r="H22" s="22" t="inlineStr">
        <is>
          <t>CR-001 firmado 18-jul</t>
        </is>
      </c>
      <c r="I22" s="18" t="inlineStr">
        <is>
          <t>G3</t>
        </is>
      </c>
    </row>
    <row r="23" ht="15" customHeight="1" s="13">
      <c r="A23" s="18" t="inlineStr">
        <is>
          <t>S4-03</t>
        </is>
      </c>
      <c r="B23" s="18" t="inlineStr">
        <is>
          <t>Sprint 4</t>
        </is>
      </c>
      <c r="C23" s="18" t="inlineStr">
        <is>
          <t>5</t>
        </is>
      </c>
      <c r="D23" s="22" t="inlineStr">
        <is>
          <t>GATE G3 (Directivo): ciclo presupuestal + control con julio real</t>
        </is>
      </c>
      <c r="E23" s="18" t="inlineStr">
        <is>
          <t>Andrés</t>
        </is>
      </c>
      <c r="F23" s="18" t="inlineStr">
        <is>
          <t>Pendiente</t>
        </is>
      </c>
      <c r="G23" s="18" t="n"/>
      <c r="H23" s="22" t="n"/>
      <c r="I23" s="18" t="inlineStr">
        <is>
          <t>G3</t>
        </is>
      </c>
    </row>
    <row r="24" ht="35.05" customHeight="1" s="13">
      <c r="A24" s="18" t="inlineStr">
        <is>
          <t>S5-01</t>
        </is>
      </c>
      <c r="B24" s="18" t="inlineStr">
        <is>
          <t>Sprint 5</t>
        </is>
      </c>
      <c r="C24" s="18" t="inlineStr">
        <is>
          <t>6</t>
        </is>
      </c>
      <c r="D24" s="22" t="inlineStr">
        <is>
          <t>C9/Pagos de la semana (ACOTADO): PagoPlaneado + CRUD + veredicto GET /meses/{mes}/pagos-semana (¿alcanza la caja?) reusando _caja_libro. CR-S7. (Matriz de deudas→C10; matching auto, SnapshotCaja/dashboard→fases aparte)</t>
        </is>
      </c>
      <c r="E24" s="18" t="inlineStr">
        <is>
          <t>Claude Code + Andrés</t>
        </is>
      </c>
      <c r="F24" s="18" t="inlineStr">
        <is>
          <t>En curso</t>
        </is>
      </c>
      <c r="G24" s="18" t="n"/>
      <c r="H24" s="22" t="inlineStr">
        <is>
          <t>PLAN-I redactado + código en PR #29 (feat/c9-pagos-semana) con TDD, bajo GO del CEO 2026-07-23. Suite 439 passed; ruff+greps limpios. Gate Kimi de PLAN y de CÓDIGO: RETROACTIVO (Kimi vuelve 25-jul). Pendiente merge</t>
        </is>
      </c>
      <c r="I24" s="18" t="n"/>
    </row>
    <row r="25" ht="23.85" customHeight="1" s="13">
      <c r="A25" s="18" t="inlineStr">
        <is>
          <t>S6A-01</t>
        </is>
      </c>
      <c r="B25" s="18" t="inlineStr">
        <is>
          <t>Sprint 6a</t>
        </is>
      </c>
      <c r="C25" s="18" t="inlineStr">
        <is>
          <t>7</t>
        </is>
      </c>
      <c r="D25" s="22" t="inlineStr">
        <is>
          <t>Facturas recibidas Y emitidas (tarifa/exentas, eventos) + IVA cuatrimestral completo</t>
        </is>
      </c>
      <c r="E25" s="18" t="inlineStr">
        <is>
          <t>Claude Code + Andrés</t>
        </is>
      </c>
      <c r="F25" s="18" t="inlineStr">
        <is>
          <t>Pendiente</t>
        </is>
      </c>
      <c r="G25" s="18" t="n"/>
      <c r="H25" s="22" t="n"/>
      <c r="I25" s="18" t="n"/>
    </row>
    <row r="26" ht="15" customHeight="1" s="13">
      <c r="A26" s="18" t="inlineStr">
        <is>
          <t>S6A-02</t>
        </is>
      </c>
      <c r="B26" s="18" t="inlineStr">
        <is>
          <t>Sprint 6a</t>
        </is>
      </c>
      <c r="C26" s="18" t="inlineStr">
        <is>
          <t>7</t>
        </is>
      </c>
      <c r="D26" s="22" t="inlineStr">
        <is>
          <t>Taller de limpieza del histórico con el Financiero</t>
        </is>
      </c>
      <c r="E26" s="18" t="inlineStr">
        <is>
          <t>Financiero</t>
        </is>
      </c>
      <c r="F26" s="18" t="inlineStr">
        <is>
          <t>Pendiente</t>
        </is>
      </c>
      <c r="G26" s="18" t="n"/>
      <c r="H26" s="22" t="inlineStr">
        <is>
          <t>Riesgo 2</t>
        </is>
      </c>
      <c r="I26" s="18" t="n"/>
    </row>
    <row r="27" ht="35.05" customHeight="1" s="13">
      <c r="A27" s="18" t="inlineStr">
        <is>
          <t>S6B-01</t>
        </is>
      </c>
      <c r="B27" s="18" t="inlineStr">
        <is>
          <t>Sprint 6b</t>
        </is>
      </c>
      <c r="C27" s="18" t="inlineStr">
        <is>
          <t>8</t>
        </is>
      </c>
      <c r="D27" s="22" t="inlineStr">
        <is>
          <t>M10 ingresos modo Excel (+ pre-llenado % global operativo) + vista Capacidad de pago + dashboard Inicio completo + job de archivado (Object Lock)</t>
        </is>
      </c>
      <c r="E27" s="18" t="inlineStr">
        <is>
          <t>Claude Code + Andrés</t>
        </is>
      </c>
      <c r="F27" s="18" t="inlineStr">
        <is>
          <t>Pendiente</t>
        </is>
      </c>
      <c r="G27" s="18" t="n"/>
      <c r="H27" s="22" t="n"/>
      <c r="I27" s="18" t="inlineStr">
        <is>
          <t>G4</t>
        </is>
      </c>
    </row>
    <row r="28" ht="23.85" customHeight="1" s="13">
      <c r="A28" s="18" t="inlineStr">
        <is>
          <t>S6B-02</t>
        </is>
      </c>
      <c r="B28" s="18" t="inlineStr">
        <is>
          <t>Sprint 6b</t>
        </is>
      </c>
      <c r="C28" s="18" t="inlineStr">
        <is>
          <t>8</t>
        </is>
      </c>
      <c r="D28" s="22" t="inlineStr">
        <is>
          <t>GATE G4 (Financiero): facturas ambos lados + IVA May–Ago reproducido + M10 + Capacidad de pago + dashboard</t>
        </is>
      </c>
      <c r="E28" s="18" t="inlineStr">
        <is>
          <t>Financiero</t>
        </is>
      </c>
      <c r="F28" s="18" t="inlineStr">
        <is>
          <t>Pendiente</t>
        </is>
      </c>
      <c r="G28" s="18" t="n"/>
      <c r="H28" s="22" t="n"/>
      <c r="I28" s="18" t="inlineStr">
        <is>
          <t>G4</t>
        </is>
      </c>
    </row>
    <row r="29" ht="23.85" customHeight="1" s="13">
      <c r="A29" s="18" t="inlineStr">
        <is>
          <t>S7-01</t>
        </is>
      </c>
      <c r="B29" s="18" t="inlineStr">
        <is>
          <t>Sprint 7</t>
        </is>
      </c>
      <c r="C29" s="18" t="inlineStr">
        <is>
          <t>9</t>
        </is>
      </c>
      <c r="D29" s="22" t="inlineStr">
        <is>
          <t>Migración restante (deudas, facturas Auteco, presupuestos históricos) + conciliación formal con acta firmada</t>
        </is>
      </c>
      <c r="E29" s="18" t="inlineStr">
        <is>
          <t>Claude Code + Financiero</t>
        </is>
      </c>
      <c r="F29" s="18" t="inlineStr">
        <is>
          <t>Pendiente</t>
        </is>
      </c>
      <c r="G29" s="18" t="n"/>
      <c r="H29" s="22" t="inlineStr">
        <is>
          <t>TOLERANCIA_CUADRE $1</t>
        </is>
      </c>
      <c r="I29" s="18" t="inlineStr">
        <is>
          <t>G5</t>
        </is>
      </c>
    </row>
    <row r="30" ht="23.85" customHeight="1" s="13">
      <c r="A30" s="18" t="inlineStr">
        <is>
          <t>S7-02</t>
        </is>
      </c>
      <c r="B30" s="18" t="inlineStr">
        <is>
          <t>Sprint 7</t>
        </is>
      </c>
      <c r="C30" s="18" t="inlineStr">
        <is>
          <t>9</t>
        </is>
      </c>
      <c r="D30" s="22" t="inlineStr">
        <is>
          <t>Reporte de cierre + prueba de restauración cronometrada (DoD-10) + capacitación</t>
        </is>
      </c>
      <c r="E30" s="18" t="inlineStr">
        <is>
          <t>Claude Code + Andrés</t>
        </is>
      </c>
      <c r="F30" s="18" t="inlineStr">
        <is>
          <t>Pendiente</t>
        </is>
      </c>
      <c r="G30" s="18" t="n"/>
      <c r="H30" s="22" t="n"/>
      <c r="I30" s="18" t="inlineStr">
        <is>
          <t>G5</t>
        </is>
      </c>
    </row>
    <row r="31" ht="15" customHeight="1" s="13">
      <c r="A31" s="18" t="inlineStr">
        <is>
          <t>S7-03</t>
        </is>
      </c>
      <c r="B31" s="18" t="inlineStr">
        <is>
          <t>Sprint 7</t>
        </is>
      </c>
      <c r="C31" s="18" t="inlineStr">
        <is>
          <t>9</t>
        </is>
      </c>
      <c r="D31" s="22" t="inlineStr">
        <is>
          <t>UAT con guion (US-01..10, 100% críticos ✓)</t>
        </is>
      </c>
      <c r="E31" s="18" t="inlineStr">
        <is>
          <t>Andrés + Iván</t>
        </is>
      </c>
      <c r="F31" s="18" t="inlineStr">
        <is>
          <t>Pendiente</t>
        </is>
      </c>
      <c r="G31" s="18" t="n"/>
      <c r="H31" s="22" t="n"/>
      <c r="I31" s="18" t="inlineStr">
        <is>
          <t>G5</t>
        </is>
      </c>
    </row>
    <row r="32" ht="15" customHeight="1" s="13">
      <c r="A32" s="18" t="inlineStr">
        <is>
          <t>S7-04</t>
        </is>
      </c>
      <c r="B32" s="18" t="inlineStr">
        <is>
          <t>Sprint 7</t>
        </is>
      </c>
      <c r="C32" s="18" t="inlineStr">
        <is>
          <t>9</t>
        </is>
      </c>
      <c r="D32" s="22" t="inlineStr">
        <is>
          <t>GATE G5 (CEO, BLOQUEANTE ABSOLUTO — ventana 48h)</t>
        </is>
      </c>
      <c r="E32" s="18" t="inlineStr">
        <is>
          <t>Andrés</t>
        </is>
      </c>
      <c r="F32" s="18" t="inlineStr">
        <is>
          <t>Pendiente</t>
        </is>
      </c>
      <c r="G32" s="18" t="n"/>
      <c r="H32" s="22" t="n"/>
      <c r="I32" s="18" t="inlineStr">
        <is>
          <t>G5</t>
        </is>
      </c>
    </row>
    <row r="33" ht="23.85" customHeight="1" s="13">
      <c r="A33" s="18" t="inlineStr">
        <is>
          <t>S8-01</t>
        </is>
      </c>
      <c r="B33" s="18" t="inlineStr">
        <is>
          <t>Sprint 8</t>
        </is>
      </c>
      <c r="C33" s="18" t="inlineStr">
        <is>
          <t>10</t>
        </is>
      </c>
      <c r="D33" s="22" t="inlineStr">
        <is>
          <t>Deploy a producción (tag v1.0.0 + reviewer Iván) + monitoreo SLOs + inicio double-run</t>
        </is>
      </c>
      <c r="E33" s="18" t="inlineStr">
        <is>
          <t>Andrés + Iván</t>
        </is>
      </c>
      <c r="F33" s="18" t="inlineStr">
        <is>
          <t>Pendiente</t>
        </is>
      </c>
      <c r="G33" s="18" t="n"/>
      <c r="H33" s="22" t="n"/>
      <c r="I33" s="18" t="n"/>
    </row>
    <row r="34" ht="23.85" customHeight="1" s="13">
      <c r="A34" s="18" t="inlineStr">
        <is>
          <t>S8-02</t>
        </is>
      </c>
      <c r="B34" s="18" t="inlineStr">
        <is>
          <t>Post-plan</t>
        </is>
      </c>
      <c r="C34" s="18" t="inlineStr">
        <is>
          <t>10+</t>
        </is>
      </c>
      <c r="D34" s="22" t="inlineStr">
        <is>
          <t>Double-run: 4 conciliaciones semanales cuadradas + 1 cierre mensual → Excel a solo-lectura</t>
        </is>
      </c>
      <c r="E34" s="18" t="inlineStr">
        <is>
          <t>Financiero</t>
        </is>
      </c>
      <c r="F34" s="18" t="inlineStr">
        <is>
          <t>Pendiente</t>
        </is>
      </c>
      <c r="G34" s="18" t="n"/>
      <c r="H34" s="22" t="inlineStr">
        <is>
          <t>Criterio de apagado §7 del PLAN</t>
        </is>
      </c>
      <c r="I34" s="18" t="n"/>
    </row>
    <row r="35" ht="23.85" customHeight="1" s="13">
      <c r="A35" s="18" t="inlineStr">
        <is>
          <t>EXT-01</t>
        </is>
      </c>
      <c r="B35" s="18" t="inlineStr">
        <is>
          <t>Externos</t>
        </is>
      </c>
      <c r="C35" s="18" t="inlineStr">
        <is>
          <t>—</t>
        </is>
      </c>
      <c r="D35" s="22" t="inlineStr">
        <is>
          <t>Memo RNBD firmado con el contador (prerrequisito del go-live, no del código)</t>
        </is>
      </c>
      <c r="E35" s="18" t="inlineStr">
        <is>
          <t>Andrés + Contador</t>
        </is>
      </c>
      <c r="F35" s="18" t="inlineStr">
        <is>
          <t>Pendiente</t>
        </is>
      </c>
      <c r="G35" s="18" t="n"/>
      <c r="H35" s="22" t="n"/>
      <c r="I35" s="18" t="n"/>
    </row>
    <row r="36" ht="15" customHeight="1" s="13">
      <c r="A36" s="18" t="inlineStr">
        <is>
          <t>EXT-02</t>
        </is>
      </c>
      <c r="B36" s="18" t="inlineStr">
        <is>
          <t>Externos</t>
        </is>
      </c>
      <c r="C36" s="18" t="inlineStr">
        <is>
          <t>—</t>
        </is>
      </c>
      <c r="D36" s="22" t="inlineStr">
        <is>
          <t>Extracto reciente Bancolombia y BBVA para validar layouts de SISMO v2</t>
        </is>
      </c>
      <c r="E36" s="18" t="inlineStr">
        <is>
          <t>Andrés</t>
        </is>
      </c>
      <c r="F36" s="18" t="inlineStr">
        <is>
          <t>Pendiente</t>
        </is>
      </c>
      <c r="G36" s="18" t="n"/>
      <c r="H36" s="22" t="n"/>
      <c r="I36" s="18" t="n"/>
    </row>
    <row r="37" ht="23.85" customHeight="1" s="13">
      <c r="A37" s="18" t="inlineStr">
        <is>
          <t>EXT-03</t>
        </is>
      </c>
      <c r="B37" s="18" t="inlineStr">
        <is>
          <t>Externos</t>
        </is>
      </c>
      <c r="C37" s="18" t="inlineStr">
        <is>
          <t>—</t>
        </is>
      </c>
      <c r="D37" s="22" t="inlineStr">
        <is>
          <t>Cuenta de Iván creada y agregado como colaborador del repo + required reviewer de production</t>
        </is>
      </c>
      <c r="E37" s="18" t="inlineStr">
        <is>
          <t>Andrés</t>
        </is>
      </c>
      <c r="F37" s="18" t="inlineStr">
        <is>
          <t>Pendiente</t>
        </is>
      </c>
      <c r="G37" s="18" t="n"/>
      <c r="H37" s="22" t="n"/>
      <c r="I37" s="18" t="n"/>
    </row>
    <row r="38">
      <c r="A38" s="12" t="inlineStr">
        <is>
          <t>S0-08</t>
        </is>
      </c>
      <c r="B38" s="12" t="inlineStr">
        <is>
          <t>Sprint 0</t>
        </is>
      </c>
      <c r="C38" s="12" t="inlineStr">
        <is>
          <t>1</t>
        </is>
      </c>
      <c r="D38" s="12" t="inlineStr">
        <is>
          <t>Procedimiento de auditoría adversarial con Kimi estipulado (.planning/, templates, generador PDF, regla en CLAUDE.md)</t>
        </is>
      </c>
      <c r="E38" s="12" t="inlineStr">
        <is>
          <t>Claude Code + Andrés</t>
        </is>
      </c>
      <c r="F38" s="12" t="inlineStr">
        <is>
          <t>Hecha</t>
        </is>
      </c>
      <c r="G38" s="12" t="inlineStr">
        <is>
          <t>2026-07-18</t>
        </is>
      </c>
      <c r="H38" s="12" t="inlineStr">
        <is>
          <t>Commit 3dc2424 — portado de SISMO-V3; umbral &gt;=9.0, alcance crítico+plan</t>
        </is>
      </c>
      <c r="I38" s="12" t="inlineStr"/>
    </row>
    <row r="39">
      <c r="A39" s="12" t="inlineStr">
        <is>
          <t>S0B-05</t>
        </is>
      </c>
      <c r="B39" s="12" t="inlineStr">
        <is>
          <t>Sprint 0b</t>
        </is>
      </c>
      <c r="C39" s="12" t="inlineStr">
        <is>
          <t>1</t>
        </is>
      </c>
      <c r="D39" s="12" t="inlineStr">
        <is>
          <t>Seguimiento Kimi B-1: rubro destino de INGRESO para la regla PRD M7 (Abono-&gt;recaudo). Decidir ANTES de Sprint 2: anadir rubro Recaudo (tipo ingreso) a la semilla vs crearlo el Admin. Ambiguedad: los 5 grupos son de egreso.</t>
        </is>
      </c>
      <c r="E39" s="12" t="inlineStr">
        <is>
          <t>Claude Code + Andres</t>
        </is>
      </c>
      <c r="F39" s="12" t="inlineStr">
        <is>
          <t>Hecha</t>
        </is>
      </c>
      <c r="G39" s="12" t="inlineStr">
        <is>
          <t>2026-07-20</t>
        </is>
      </c>
      <c r="H39" s="12" t="inlineStr">
        <is>
          <t>3673e25 — rubro sistema 'Recaudo' (ingreso) en semilla (33) + sembrado en base viva.</t>
        </is>
      </c>
      <c r="I39" s="12" t="n"/>
    </row>
    <row r="40">
      <c r="A40" s="12" t="inlineStr">
        <is>
          <t>S0B-06</t>
        </is>
      </c>
      <c r="B40" s="12" t="inlineStr">
        <is>
          <t>Sprint 0b</t>
        </is>
      </c>
      <c r="C40" s="12" t="inlineStr">
        <is>
          <t>1</t>
        </is>
      </c>
      <c r="D40" s="12" t="inlineStr">
        <is>
          <t>PR-3: cabeceras de seguridad (CSP estricta/HSTS/nosniff/Referrer-Policy/frame-ancestors) en API (middleware) + SPA (vercel.json) + test CI. Cierra DoD #12.</t>
        </is>
      </c>
      <c r="E40" s="12" t="inlineStr">
        <is>
          <t>Claude Code + Andres</t>
        </is>
      </c>
      <c r="F40" s="12" t="inlineStr">
        <is>
          <t>Hecha</t>
        </is>
      </c>
      <c r="G40" s="12" t="inlineStr">
        <is>
          <t>2026-07-19</t>
        </is>
      </c>
      <c r="H40" s="12" t="inlineStr">
        <is>
          <t>PR-3 GO Kimi 9.2 (commit 40e760f + ajustes B-1/B-2). Cabeceras API+SPA, 6 tests CI. Cierra DoD #12.</t>
        </is>
      </c>
      <c r="I40" s="12" t="inlineStr">
        <is>
          <t>G1</t>
        </is>
      </c>
    </row>
    <row r="41">
      <c r="A41" s="12" t="inlineStr">
        <is>
          <t>S2-05</t>
        </is>
      </c>
      <c r="B41" s="12" t="inlineStr">
        <is>
          <t>Sprint 2</t>
        </is>
      </c>
      <c r="C41" s="12" t="inlineStr">
        <is>
          <t>3</t>
        </is>
      </c>
      <c r="D41" s="12" t="inlineStr">
        <is>
          <t>Transaccion §1.5 + dedup (banco,id_banco) + servicio de carga §1.6 (insertMany ordered=False, F-02)</t>
        </is>
      </c>
      <c r="E41" s="12" t="inlineStr">
        <is>
          <t>Claude Code + Andrés</t>
        </is>
      </c>
      <c r="F41" s="12" t="inlineStr">
        <is>
          <t>Hecha</t>
        </is>
      </c>
      <c r="G41" s="12" t="inlineStr">
        <is>
          <t>2026-07-20</t>
        </is>
      </c>
      <c r="H41" s="12" t="inlineStr">
        <is>
          <t>GO Kimi R-PR1 9.3; merge 72034a0. Transaccion §1.5 + dedup + carga §1.6 (A-01 ordinal, transacción).</t>
        </is>
      </c>
      <c r="I41" s="12" t="inlineStr">
        <is>
          <t>G2 / DoD #2</t>
        </is>
      </c>
    </row>
    <row r="42">
      <c r="A42" s="12" t="inlineStr">
        <is>
          <t>DISP-01</t>
        </is>
      </c>
      <c r="B42" s="12" t="inlineStr">
        <is>
          <t>Go-live</t>
        </is>
      </c>
      <c r="C42" s="12" t="inlineStr">
        <is>
          <t>—</t>
        </is>
      </c>
      <c r="D42" s="12" t="inlineStr">
        <is>
          <t>DISPARADOR G1 (no negociable): ANTES del 1er deploy con datos reales — autoDeploy:false + tag v* + required reviewer + prueba adversarial del bloqueo</t>
        </is>
      </c>
      <c r="E42" s="12" t="inlineStr">
        <is>
          <t>Andrés + Claude Code</t>
        </is>
      </c>
      <c r="F42" s="12" t="inlineStr">
        <is>
          <t>Pendiente</t>
        </is>
      </c>
      <c r="G42" s="12" t="inlineStr"/>
      <c r="H42" s="12" t="inlineStr">
        <is>
          <t>Registrado por Kimi en veredicto G1 9.4</t>
        </is>
      </c>
      <c r="I42" s="12" t="inlineStr">
        <is>
          <t>G1</t>
        </is>
      </c>
    </row>
    <row r="43">
      <c r="A43" s="12" t="inlineStr">
        <is>
          <t>DISP-02</t>
        </is>
      </c>
      <c r="B43" s="12" t="inlineStr">
        <is>
          <t>Pre-carga real</t>
        </is>
      </c>
      <c r="C43" s="12" t="inlineStr">
        <is>
          <t>—</t>
        </is>
      </c>
      <c r="D43" s="12" t="inlineStr">
        <is>
          <t>DISPARADOR G1: S3 + Object Lock + CRR ANTES de la primera carga real (fixtures/mini-migración, gate G2)</t>
        </is>
      </c>
      <c r="E43" s="12" t="inlineStr">
        <is>
          <t>Andrés + Claude Code</t>
        </is>
      </c>
      <c r="F43" s="12" t="inlineStr">
        <is>
          <t>Pendiente</t>
        </is>
      </c>
      <c r="G43" s="12" t="inlineStr"/>
      <c r="H43" s="12" t="inlineStr">
        <is>
          <t>Guardrail M-04 vigente mientras tanto</t>
        </is>
      </c>
      <c r="I43" s="12" t="inlineStr">
        <is>
          <t>G2</t>
        </is>
      </c>
    </row>
    <row r="44">
      <c r="A44" s="12" t="inlineStr">
        <is>
          <t>DISP-03</t>
        </is>
      </c>
      <c r="B44" s="12" t="inlineStr">
        <is>
          <t>Go-live</t>
        </is>
      </c>
      <c r="C44" s="12" t="inlineStr">
        <is>
          <t>—</t>
        </is>
      </c>
      <c r="D44" s="12" t="inlineStr">
        <is>
          <t>DISPARADOR G1: re-verificar cabeceras (C4) al cablear Cloudflare/compas.roddos.com</t>
        </is>
      </c>
      <c r="E44" s="12" t="inlineStr">
        <is>
          <t>Claude Code</t>
        </is>
      </c>
      <c r="F44" s="12" t="inlineStr">
        <is>
          <t>Hecha</t>
        </is>
      </c>
      <c r="G44" s="12" t="inlineStr">
        <is>
          <t>2026-07-20</t>
        </is>
      </c>
      <c r="H44" s="12" t="inlineStr">
        <is>
          <t>Cabeceras verificadas en https://api.compas.roddos.com (CSP/HSTS/nosniff/DENY/no-referrer). DNS real: GoDaddy (corrección RUNBOOK §5, 45c26cf).</t>
        </is>
      </c>
      <c r="I44" s="12" t="inlineStr">
        <is>
          <t>G1</t>
        </is>
      </c>
    </row>
    <row r="45">
      <c r="A45" s="12" t="inlineStr">
        <is>
          <t>S2-06</t>
        </is>
      </c>
      <c r="B45" s="12" t="inlineStr">
        <is>
          <t>Sprint 2</t>
        </is>
      </c>
      <c r="C45" s="12" t="inlineStr">
        <is>
          <t>3</t>
        </is>
      </c>
      <c r="D45" s="12" t="inlineStr">
        <is>
          <t>API de cargas (upload F-22 + listado) y POST /transacciones manual (MAN-+ULID, Idempotency-Key §1.12)</t>
        </is>
      </c>
      <c r="E45" s="12" t="inlineStr">
        <is>
          <t>Claude Code + Andrés</t>
        </is>
      </c>
      <c r="F45" s="12" t="inlineStr">
        <is>
          <t>Hecha</t>
        </is>
      </c>
      <c r="G45" s="12" t="inlineStr">
        <is>
          <t>2026-07-20</t>
        </is>
      </c>
      <c r="H45" s="12" t="inlineStr">
        <is>
          <t>GO Kimi R-PR1 9.2 (condicionado CR-S3); merge c1566dc. 54f12d6 en rama feat/cargas-endpoints-manual — 232 tests, ruff limpio. Gate Kimi</t>
        </is>
      </c>
      <c r="I45" s="12" t="inlineStr">
        <is>
          <t>G2 / DoD #1-#2</t>
        </is>
      </c>
    </row>
    <row r="46">
      <c r="A46" s="12" t="inlineStr">
        <is>
          <t>S2-07</t>
        </is>
      </c>
      <c r="B46" s="12" t="inlineStr">
        <is>
          <t>Sprint 2</t>
        </is>
      </c>
      <c r="C46" s="12" t="inlineStr">
        <is>
          <t>3</t>
        </is>
      </c>
      <c r="D46" s="12" t="inlineStr">
        <is>
          <t>Pantalla de cargas (upload F-22 + historial + errores por fila + transacción manual) + login MFA + shell auth</t>
        </is>
      </c>
      <c r="E46" s="12" t="inlineStr">
        <is>
          <t>Claude Code</t>
        </is>
      </c>
      <c r="F46" s="12" t="inlineStr">
        <is>
          <t>Hecha</t>
        </is>
      </c>
      <c r="G46" s="12" t="inlineStr">
        <is>
          <t>2026-07-20</t>
        </is>
      </c>
      <c r="H46" s="12" t="inlineStr">
        <is>
          <t>GO Kimi R-PR1 9.2 (condicionado CR-S3); merge c1566dc. En rama feat/cargas-endpoints-manual — vitest 7/7, biome limpio, build OK. Merge</t>
        </is>
      </c>
      <c r="I46" s="12" t="inlineStr">
        <is>
          <t>G2</t>
        </is>
      </c>
    </row>
    <row r="47">
      <c r="A47" s="12" t="inlineStr">
        <is>
          <t>S2-08</t>
        </is>
      </c>
      <c r="B47" s="12" t="inlineStr">
        <is>
          <t>Sprint 2</t>
        </is>
      </c>
      <c r="C47" s="12" t="inlineStr">
        <is>
          <t>3</t>
        </is>
      </c>
      <c r="D47" s="12" t="inlineStr">
        <is>
          <t>Frontend en Vercel + dominios compas.roddos.com / api.compas.roddos.com (GoDaddy) + superadmin inicial</t>
        </is>
      </c>
      <c r="E47" s="12" t="inlineStr">
        <is>
          <t>Andrés + Claude Code</t>
        </is>
      </c>
      <c r="F47" s="12" t="inlineStr">
        <is>
          <t>Hecha</t>
        </is>
      </c>
      <c r="G47" s="12" t="inlineStr">
        <is>
          <t>2026-07-20</t>
        </is>
      </c>
      <c r="H47" s="12" t="inlineStr">
        <is>
          <t>compas.roddos.com 200 · api ready en dominio · CORS/cookie same-site OK · superadmin andres@roddos.com creado</t>
        </is>
      </c>
      <c r="I47" s="12" t="inlineStr">
        <is>
          <t>G2</t>
        </is>
      </c>
    </row>
    <row r="48">
      <c r="A48" s="12" t="inlineStr">
        <is>
          <t>S3-03</t>
        </is>
      </c>
      <c r="B48" s="12" t="inlineStr">
        <is>
          <t>Sprint 3</t>
        </is>
      </c>
      <c r="C48" s="12" t="inlineStr">
        <is>
          <t>4</t>
        </is>
      </c>
      <c r="D48" s="12" t="inlineStr">
        <is>
          <t>Apertura del mes (US-01): POST /meses + mes.creado con compensación O1 + GET /meses</t>
        </is>
      </c>
      <c r="E48" s="12" t="inlineStr">
        <is>
          <t>Claude Code</t>
        </is>
      </c>
      <c r="F48" s="12" t="inlineStr">
        <is>
          <t>Hecha</t>
        </is>
      </c>
      <c r="G48" s="12" t="inlineStr">
        <is>
          <t>2026-07-21</t>
        </is>
      </c>
      <c r="H48" s="12" t="inlineStr">
        <is>
          <t>GO Kimi R-PR1 9.4; merge a main. Apertura US-01 con arrastre F-14 + contigüidad + runtime-imports CI.</t>
        </is>
      </c>
      <c r="I48" s="12" t="inlineStr">
        <is>
          <t>G3</t>
        </is>
      </c>
    </row>
    <row r="49">
      <c r="A49" s="12" t="inlineStr">
        <is>
          <t>S2-09</t>
        </is>
      </c>
      <c r="B49" s="12" t="inlineStr">
        <is>
          <t>Sprint 2</t>
        </is>
      </c>
      <c r="C49" s="12" t="inlineStr">
        <is>
          <t>3</t>
        </is>
      </c>
      <c r="D49" s="12" t="inlineStr">
        <is>
          <t>CI reparado: replica set 1-nodo (regla 8 en CI), ruff format, CVEs python-multipart (pip-audit)</t>
        </is>
      </c>
      <c r="E49" s="12" t="inlineStr">
        <is>
          <t>Claude Code</t>
        </is>
      </c>
      <c r="F49" s="12" t="inlineStr">
        <is>
          <t>Hecha</t>
        </is>
      </c>
      <c r="G49" s="12" t="inlineStr">
        <is>
          <t>2026-07-21</t>
        </is>
      </c>
      <c r="H49" s="12" t="inlineStr">
        <is>
          <t>6ccea46 — CI main verde (run 29861083363). Incidente deploy: multipart ausente → pin 0.0.31.</t>
        </is>
      </c>
      <c r="I49" s="12" t="inlineStr">
        <is>
          <t>DoD #8</t>
        </is>
      </c>
    </row>
    <row r="50">
      <c r="A50" s="12" t="inlineStr">
        <is>
          <t>S3-04</t>
        </is>
      </c>
      <c r="B50" s="12" t="inlineStr">
        <is>
          <t>Sprint 3</t>
        </is>
      </c>
      <c r="C50" s="12" t="inlineStr">
        <is>
          <t>4</t>
        </is>
      </c>
      <c r="D50" s="12" t="inlineStr">
        <is>
          <t>Frontend: tema claro RODDOS + pantalla Meses (diálogo Abrir mes, US-01)</t>
        </is>
      </c>
      <c r="E50" s="12" t="inlineStr">
        <is>
          <t>Claude Code</t>
        </is>
      </c>
      <c r="F50" s="12" t="inlineStr">
        <is>
          <t>Hecha</t>
        </is>
      </c>
      <c r="G50" s="12" t="inlineStr">
        <is>
          <t>2026-07-21</t>
        </is>
      </c>
      <c r="H50" s="12" t="inlineStr">
        <is>
          <t>Frontend (sin gate): build+lint+vitest verdes. Deploy Vercel automático desde main.</t>
        </is>
      </c>
      <c r="I50" s="12" t="inlineStr">
        <is>
          <t>—</t>
        </is>
      </c>
    </row>
    <row r="51">
      <c r="A51" s="12" t="inlineStr">
        <is>
          <t>S3-05</t>
        </is>
      </c>
      <c r="B51" s="12" t="inlineStr">
        <is>
          <t>Sprint 3</t>
        </is>
      </c>
      <c r="C51" s="12" t="inlineStr">
        <is>
          <t>4</t>
        </is>
      </c>
      <c r="D51" s="12" t="inlineStr">
        <is>
          <t>Acotamiento + aprobación del presupuesto (§2.4; monto_definido + ajustes; aprobar → definido, transacción multi-doc regla 8)</t>
        </is>
      </c>
      <c r="E51" s="12" t="inlineStr">
        <is>
          <t>Claude Code</t>
        </is>
      </c>
      <c r="F51" s="12" t="inlineStr">
        <is>
          <t>Hecha</t>
        </is>
      </c>
      <c r="G51" s="12" t="inlineStr">
        <is>
          <t>2026-07-21</t>
        </is>
      </c>
      <c r="H51" s="12" t="inlineStr">
        <is>
          <t>GO Kimi I-PR1 9.5 (gate código); merge 885d32e (PR #21) a main. Transacción multi-doc regla 8 + saga O1 probadas en real-mongo.</t>
        </is>
      </c>
      <c r="I51" s="12" t="inlineStr">
        <is>
          <t>Gate Kimi PLAN</t>
        </is>
      </c>
    </row>
    <row r="52">
      <c r="A52" s="12" t="inlineStr">
        <is>
          <t>S4-00</t>
        </is>
      </c>
      <c r="B52" s="12" t="inlineStr">
        <is>
          <t>Sprint 4</t>
        </is>
      </c>
      <c r="C52" s="12" t="inlineStr">
        <is>
          <t>5</t>
        </is>
      </c>
      <c r="D52" s="12" t="inlineStr">
        <is>
          <t>Higiene: dar a acotar_linea la misma transacción Mongo que aprobar (evita inconsistencia benigna crash entre ln.save y mc.save) + split de tests</t>
        </is>
      </c>
      <c r="E52" s="12" t="inlineStr">
        <is>
          <t>Claude Code</t>
        </is>
      </c>
      <c r="F52" s="12" t="inlineStr">
        <is>
          <t>Hecha</t>
        </is>
      </c>
      <c r="G52" s="12" t="inlineStr">
        <is>
          <t>2026-07-23</t>
        </is>
      </c>
      <c r="H52" s="12" t="inlineStr">
        <is>
          <t>PR #26 merged dea4a16 — Kimi I-PR1 9.5/10 GO (planning/phases/sprint4-deuda/auditorias/PR1-I). Rollback total probado en real-mongo</t>
        </is>
      </c>
      <c r="I52" s="12" t="inlineStr"/>
    </row>
    <row r="53">
      <c r="A53" s="12" t="inlineStr">
        <is>
          <t>S4-04</t>
        </is>
      </c>
      <c r="B53" s="12" t="inlineStr">
        <is>
          <t>Sprint 4</t>
        </is>
      </c>
      <c r="C53" s="12" t="inlineStr">
        <is>
          <t>5</t>
        </is>
      </c>
      <c r="D53" s="12" t="inlineStr">
        <is>
          <t>Cierre de mes + conciliación por banco + reapertura (transacción multi-doc regla 8; ajuste de conciliación día-1 M+1; F-14)</t>
        </is>
      </c>
      <c r="E53" s="12" t="inlineStr">
        <is>
          <t>Claude Code</t>
        </is>
      </c>
      <c r="F53" s="12" t="inlineStr">
        <is>
          <t>Hecha</t>
        </is>
      </c>
      <c r="G53" s="12" t="inlineStr">
        <is>
          <t>2026-07-21</t>
        </is>
      </c>
      <c r="H53" s="12" t="inlineStr">
        <is>
          <t>GO Kimi I-PR1 9.4 (gate código); merge 9c62966 (PR #22). Transacción multi-doc regla 8 + saga O1 + contra-asiento probados en real-mongo (34 passed).</t>
        </is>
      </c>
      <c r="I53" s="12" t="inlineStr">
        <is>
          <t>Gate Kimi PLAN + G3</t>
        </is>
      </c>
    </row>
    <row r="54">
      <c r="A54" s="12" t="inlineStr">
        <is>
          <t>S4-05</t>
        </is>
      </c>
      <c r="B54" s="12" t="inlineStr">
        <is>
          <t>Sprint 4</t>
        </is>
      </c>
      <c r="C54" s="12" t="inlineStr">
        <is>
          <t>5</t>
        </is>
      </c>
      <c r="D54" s="12" t="inlineStr">
        <is>
          <t>B-1: sembrar rubro 'Ajuste de conciliación' (33→34) + UMBRAL_DIF_BANCO_CIERRE en base viva (migración idempotente, precedente S0B-05)</t>
        </is>
      </c>
      <c r="E54" s="12" t="inlineStr">
        <is>
          <t>Claude Code</t>
        </is>
      </c>
      <c r="F54" s="12" t="inlineStr">
        <is>
          <t>Hecha</t>
        </is>
      </c>
      <c r="G54" s="12" t="inlineStr">
        <is>
          <t>2026-07-21</t>
        </is>
      </c>
      <c r="H54" s="12" t="inlineStr">
        <is>
          <t>Baja B-1 Kimi I-PR1 — PREVIA a la demo G3 con julio real</t>
        </is>
      </c>
      <c r="I54" s="12" t="inlineStr">
        <is>
          <t>G3</t>
        </is>
      </c>
    </row>
    <row r="55">
      <c r="A55" s="12" t="inlineStr">
        <is>
          <t>S4-06</t>
        </is>
      </c>
      <c r="B55" s="12" t="inlineStr">
        <is>
          <t>Sprint 4</t>
        </is>
      </c>
      <c r="C55" s="12" t="inlineStr">
        <is>
          <t>5</t>
        </is>
      </c>
      <c r="D55" s="12" t="inlineStr">
        <is>
          <t>B-2/B-3: releer mc.estado dentro de la sesión (TOCTOU) + test POST /reabrir exige step-up (401). Backport junto a S4-00</t>
        </is>
      </c>
      <c r="E55" s="12" t="inlineStr">
        <is>
          <t>Claude Code</t>
        </is>
      </c>
      <c r="F55" s="12" t="inlineStr">
        <is>
          <t>Hecha</t>
        </is>
      </c>
      <c r="G55" s="12" t="inlineStr">
        <is>
          <t>2026-07-23</t>
        </is>
      </c>
      <c r="H55" s="12" t="inlineStr">
        <is>
          <t>PR #26 merged dea4a16 — Kimi I-PR1 9.5/10 GO. B-2: 2 tests TOCTOU real-mongo (cierre y siguiente-cerrado); B-3: test step-up 403</t>
        </is>
      </c>
      <c r="I55" s="12" t="inlineStr"/>
    </row>
    <row r="56">
      <c r="A56" s="12" t="inlineStr">
        <is>
          <t>S4-07</t>
        </is>
      </c>
      <c r="B56" s="12" t="inlineStr">
        <is>
          <t>Sprint 4</t>
        </is>
      </c>
      <c r="C56" s="12" t="inlineStr">
        <is>
          <t>5</t>
        </is>
      </c>
      <c r="D56" s="12" t="inlineStr">
        <is>
          <t>C1 categorías administrables (CRUD rubros + re-seed taxonomía real) + CR-S4 (2 eventos + permiso rubros:gestionar)</t>
        </is>
      </c>
      <c r="E56" s="12" t="inlineStr">
        <is>
          <t>Claude Code</t>
        </is>
      </c>
      <c r="F56" s="12" t="inlineStr">
        <is>
          <t>Hecha</t>
        </is>
      </c>
      <c r="G56" s="12" t="inlineStr">
        <is>
          <t>2026-07-22</t>
        </is>
      </c>
      <c r="H56" s="12" t="inlineStr">
        <is>
          <t>GO Kimi 9.2/9.4; merge 126ac29 (PR #24). Re-seed corrido en prod 2026-07-22: 39 rubros (solo difs de orden, 0 de tipo_flujo); depurar desde la app: Renting, Garantía cupo, Deudas impuestos, Planillas nuevas, Arriendos(operación). Falta frontend admin (sin gate)</t>
        </is>
      </c>
      <c r="I56" s="12" t="inlineStr">
        <is>
          <t>Gate Kimi PLAN</t>
        </is>
      </c>
    </row>
    <row r="57">
      <c r="A57" s="12" t="inlineStr">
        <is>
          <t>S4-08</t>
        </is>
      </c>
      <c r="B57" s="12" t="inlineStr">
        <is>
          <t>Sprint 4</t>
        </is>
      </c>
      <c r="C57" s="12" t="n">
        <v>5</v>
      </c>
      <c r="D57" s="12" t="inlineStr">
        <is>
          <t>Frontend: pantalla Categorías (C1) — CRUD rubros por grupo, acciones solo con rubros:gestionar</t>
        </is>
      </c>
      <c r="E57" s="12" t="inlineStr">
        <is>
          <t>Claude Code</t>
        </is>
      </c>
      <c r="F57" s="12" t="inlineStr">
        <is>
          <t>Hecha</t>
        </is>
      </c>
      <c r="G57" s="12" t="inlineStr">
        <is>
          <t>2026-07-22</t>
        </is>
      </c>
      <c r="H57" s="12" t="inlineStr">
        <is>
          <t>Commit 73b6877 (sin gate, como las demás pantallas). Vitest 11 passed; biome+tsc+build verdes. Habilita depuración D3 del CEO</t>
        </is>
      </c>
      <c r="I57" s="12" t="inlineStr">
        <is>
          <t>—</t>
        </is>
      </c>
    </row>
    <row r="58">
      <c r="A58" s="12" t="inlineStr">
        <is>
          <t>S5-02</t>
        </is>
      </c>
      <c r="B58" s="12" t="inlineStr">
        <is>
          <t>Sprint 5</t>
        </is>
      </c>
      <c r="C58" s="12" t="n">
        <v>6</v>
      </c>
      <c r="D58" s="12" t="inlineStr">
        <is>
          <t>C3 auto-clasificación: ReglaClasificacion (Spec §1.9) + aplicación en carga + reclasificación manual + semilla sin PII (CR-S5)</t>
        </is>
      </c>
      <c r="E58" s="12" t="inlineStr">
        <is>
          <t>Claude Code + Andrés</t>
        </is>
      </c>
      <c r="F58" s="12" t="inlineStr">
        <is>
          <t>Hecha</t>
        </is>
      </c>
      <c r="G58" s="12" t="inlineStr">
        <is>
          <t>2026-07-22</t>
        </is>
      </c>
      <c r="H58" s="12" t="inlineStr">
        <is>
          <t>GO Kimi PLAN-I 9.3 + I-PR1 9.4; merge 7253bd5 (PR #25). Semilla de reglas corrida en prod (2 ingresos → Recaudo, sin colisiones). Pendientes: pantalla reglas (sin gate) + extensión semilla egresos cuando CEO comparta el mapeo</t>
        </is>
      </c>
      <c r="I58" s="12" t="inlineStr">
        <is>
          <t>Gate Kimi PLAN</t>
        </is>
      </c>
    </row>
    <row r="59">
      <c r="A59" s="12" t="inlineStr">
        <is>
          <t>S5-03</t>
        </is>
      </c>
      <c r="B59" s="12" t="inlineStr">
        <is>
          <t>Sprint 5</t>
        </is>
      </c>
      <c r="C59" s="12" t="n">
        <v>6</v>
      </c>
      <c r="D59" s="12" t="inlineStr">
        <is>
          <t>Frontend: pantalla Reglas de clasificación (C3) — CRUD + aprobar + aplicar-pendientes con reporte D2</t>
        </is>
      </c>
      <c r="E59" s="12" t="inlineStr">
        <is>
          <t>Claude Code</t>
        </is>
      </c>
      <c r="F59" s="12" t="inlineStr">
        <is>
          <t>Hecha</t>
        </is>
      </c>
      <c r="G59" s="12" t="inlineStr">
        <is>
          <t>2026-07-22</t>
        </is>
      </c>
      <c r="H59" s="12" t="inlineStr">
        <is>
          <t>Commit 9815513 (sin gate, como las demás pantallas). Vitest 15 passed; biome+tsc+build verdes</t>
        </is>
      </c>
      <c r="I59" s="12" t="inlineStr">
        <is>
          <t>—</t>
        </is>
      </c>
    </row>
    <row r="60">
      <c r="A60" s="12" t="inlineStr">
        <is>
          <t>S6-01</t>
        </is>
      </c>
      <c r="B60" s="12" t="inlineStr">
        <is>
          <t>Sprint 6</t>
        </is>
      </c>
      <c r="C60" s="12" t="n">
        <v>7</v>
      </c>
      <c r="D60" s="12" t="inlineStr">
        <is>
          <t>C4 ajuste diario de caja: PATCH /meses/{mes}/saldos (upsert saldos_banco) + conciliacion al instante + CR-S6 (+1 evento saldo_banco.reportado, capacidad caja:reportar)</t>
        </is>
      </c>
      <c r="E60" s="12" t="inlineStr">
        <is>
          <t>Claude Code + Andrés</t>
        </is>
      </c>
      <c r="F60" s="12" t="inlineStr">
        <is>
          <t>Hecha</t>
        </is>
      </c>
      <c r="G60" s="12" t="inlineStr">
        <is>
          <t>2026-07-23</t>
        </is>
      </c>
      <c r="H60" s="12" t="inlineStr">
        <is>
          <t>PLAN-I GO Kimi 9.3 (B-1 incorporada). Código: PR #27 merge 670ba4e, CI 6/6 (backend-real-mongo verde: upsert atómico, B-1 concurrencia, O1, D4, D6). Suite 425 passed. Merge autorizado por CEO (gate-waiver 2026-07-23, Kimi ausente hasta 25-jul); auditoría Kimi de CÓDIGO RETROACTIVA pendiente</t>
        </is>
      </c>
    </row>
    <row r="61">
      <c r="A61" s="12" t="inlineStr">
        <is>
          <t>S6-02</t>
        </is>
      </c>
      <c r="B61" s="12" t="inlineStr">
        <is>
          <t>Sprint 6</t>
        </is>
      </c>
      <c r="C61" s="12" t="n">
        <v>7</v>
      </c>
      <c r="D61" s="12" t="inlineStr">
        <is>
          <t>Frontend: pantalla Caja (C4) — reportar saldo por banco del mes en ejecución + conciliación al instante; formulario solo con caja:reportar</t>
        </is>
      </c>
      <c r="E61" s="12" t="inlineStr">
        <is>
          <t>Claude Code</t>
        </is>
      </c>
      <c r="F61" s="12" t="inlineStr">
        <is>
          <t>Hecha</t>
        </is>
      </c>
      <c r="G61" s="12" t="inlineStr">
        <is>
          <t>2026-07-23</t>
        </is>
      </c>
      <c r="H61" s="12" t="inlineStr">
        <is>
          <t>Sin gate (como las demás pantallas). Vitest 2 passed (Caja) + suite 17/17; biome+tsc+build verdes. CajaPage + lib/caja.ts + ruta /caja + link navbar (caja:reportar)</t>
        </is>
      </c>
    </row>
    <row r="62">
      <c r="A62" t="inlineStr">
        <is>
          <t>COCK-01</t>
        </is>
      </c>
      <c r="B62" t="inlineStr">
        <is>
          <t>Cockpit</t>
        </is>
      </c>
      <c r="C62" t="inlineStr">
        <is>
          <t>Fase 1</t>
        </is>
      </c>
      <c r="D62" t="inlineStr">
        <is>
          <t>C7 — Motor de proyección de caja a dic-2030 (simulador 2030 editable): disponible acumulado mes a mes, caja mínima $55M, mes crítico, cierre por periodo</t>
        </is>
      </c>
      <c r="E62" t="inlineStr">
        <is>
          <t>Claude Code</t>
        </is>
      </c>
      <c r="F62" t="inlineStr">
        <is>
          <t>Pendiente</t>
        </is>
      </c>
      <c r="G62" t="inlineStr"/>
      <c r="H62" t="inlineStr">
        <is>
          <t>Blueprint §5 + docs/modelo/PROYECCIONES.md; el corazón. Toca cálculo de dinero</t>
        </is>
      </c>
      <c r="I62" t="inlineStr">
        <is>
          <t>Gate Kimi</t>
        </is>
      </c>
    </row>
    <row r="63">
      <c r="A63" t="inlineStr">
        <is>
          <t>COCK-02</t>
        </is>
      </c>
      <c r="B63" t="inlineStr">
        <is>
          <t>Cockpit</t>
        </is>
      </c>
      <c r="C63" t="inlineStr">
        <is>
          <t>Fase 1</t>
        </is>
      </c>
      <c r="D63" t="inlineStr">
        <is>
          <t>Motor de ingresos por modelo + MODELOS de moto administrables (cuota inicial + recaudo semanal; CRUD de modelo con su estructura de cobro)</t>
        </is>
      </c>
      <c r="E63" t="inlineStr">
        <is>
          <t>Claude Code</t>
        </is>
      </c>
      <c r="F63" t="inlineStr">
        <is>
          <t>Pendiente</t>
        </is>
      </c>
      <c r="G63" t="inlineStr"/>
      <c r="H63" t="inlineStr">
        <is>
          <t>Blueprint §5.3; recaudo discriminado inicial vs cuota de crédito</t>
        </is>
      </c>
      <c r="I63" t="inlineStr">
        <is>
          <t>Gate Kimi</t>
        </is>
      </c>
    </row>
    <row r="64">
      <c r="A64" t="inlineStr">
        <is>
          <t>COCK-03</t>
        </is>
      </c>
      <c r="B64" t="inlineStr">
        <is>
          <t>Cockpit</t>
        </is>
      </c>
      <c r="C64" t="inlineStr">
        <is>
          <t>Fase 1</t>
        </is>
      </c>
      <c r="D64" t="inlineStr">
        <is>
          <t>Vista Proyecciones (frontend, el corazón): curva a 2030 + umbral, palancas editables, flujo neto por trimestre, cierre por periodo</t>
        </is>
      </c>
      <c r="E64" t="inlineStr">
        <is>
          <t>Claude Code</t>
        </is>
      </c>
      <c r="F64" t="inlineStr">
        <is>
          <t>Pendiente</t>
        </is>
      </c>
      <c r="G64" t="inlineStr"/>
      <c r="H64" t="inlineStr">
        <is>
          <t>Blueprint §5.2/§5.5</t>
        </is>
      </c>
      <c r="I64" t="inlineStr">
        <is>
          <t>sin gate</t>
        </is>
      </c>
    </row>
    <row r="65">
      <c r="A65" t="inlineStr">
        <is>
          <t>COCK-04</t>
        </is>
      </c>
      <c r="B65" t="inlineStr">
        <is>
          <t>Cockpit</t>
        </is>
      </c>
      <c r="C65" t="inlineStr">
        <is>
          <t>Fase 1</t>
        </is>
      </c>
      <c r="D65" t="inlineStr">
        <is>
          <t>Escenarios: Conservador/Base/Agresivo (mora/recuperación) superpuestos + tarjetas comparativas</t>
        </is>
      </c>
      <c r="E65" t="inlineStr">
        <is>
          <t>Claude Code</t>
        </is>
      </c>
      <c r="F65" t="inlineStr">
        <is>
          <t>Pendiente</t>
        </is>
      </c>
      <c r="G65" t="inlineStr"/>
      <c r="H65" t="inlineStr">
        <is>
          <t>Blueprint §8; usa parámetros de mora</t>
        </is>
      </c>
      <c r="I65" t="inlineStr">
        <is>
          <t>Gate Kimi</t>
        </is>
      </c>
    </row>
    <row r="66">
      <c r="A66" t="inlineStr">
        <is>
          <t>COCK-05</t>
        </is>
      </c>
      <c r="B66" t="inlineStr">
        <is>
          <t>Cockpit</t>
        </is>
      </c>
      <c r="C66" t="inlineStr">
        <is>
          <t>Fase 1</t>
        </is>
      </c>
      <c r="D66" t="inlineStr">
        <is>
          <t>Vista Inicio (pulso ejecutivo): KPIs caja/runway/motos/cartera/mora + línea de vida de la caja + próximos hitos</t>
        </is>
      </c>
      <c r="E66" t="inlineStr">
        <is>
          <t>Claude Code</t>
        </is>
      </c>
      <c r="F66" t="inlineStr">
        <is>
          <t>Pendiente</t>
        </is>
      </c>
      <c r="G66" t="inlineStr"/>
      <c r="H66" t="inlineStr">
        <is>
          <t>Blueprint §8</t>
        </is>
      </c>
      <c r="I66" t="inlineStr">
        <is>
          <t>sin gate</t>
        </is>
      </c>
    </row>
    <row r="67">
      <c r="A67" t="inlineStr">
        <is>
          <t>COCK-06</t>
        </is>
      </c>
      <c r="B67" t="inlineStr">
        <is>
          <t>Cockpit</t>
        </is>
      </c>
      <c r="C67" t="inlineStr">
        <is>
          <t>Fase 1</t>
        </is>
      </c>
      <c r="D67" t="inlineStr">
        <is>
          <t>Datos: caja inicial de hoy + captura MANUAL de supuestos/presupuestos + importar modelo 2030 (opcional)</t>
        </is>
      </c>
      <c r="E67" t="inlineStr">
        <is>
          <t>Claude Code</t>
        </is>
      </c>
      <c r="F67" t="inlineStr">
        <is>
          <t>Pendiente</t>
        </is>
      </c>
      <c r="G67" t="inlineStr"/>
      <c r="H67" t="inlineStr">
        <is>
          <t>Blueprint §8/§10 (Fase 1 sin integraciones)</t>
        </is>
      </c>
      <c r="I67" t="inlineStr">
        <is>
          <t>sin gate</t>
        </is>
      </c>
    </row>
    <row r="68">
      <c r="A68" t="inlineStr">
        <is>
          <t>COCK-07</t>
        </is>
      </c>
      <c r="B68" t="inlineStr">
        <is>
          <t>Cockpit</t>
        </is>
      </c>
      <c r="C68" t="inlineStr">
        <is>
          <t>Fase 3</t>
        </is>
      </c>
      <c r="D68" t="inlineStr">
        <is>
          <t>Dashboards operativos: cartera por añada, mora por tramo, cobranza, colocación</t>
        </is>
      </c>
      <c r="E68" t="inlineStr">
        <is>
          <t>Claude Code</t>
        </is>
      </c>
      <c r="F68" t="inlineStr">
        <is>
          <t>Pendiente</t>
        </is>
      </c>
      <c r="G68" t="inlineStr"/>
      <c r="H68" t="inlineStr">
        <is>
          <t>Blueprint §8 (Fase 3)</t>
        </is>
      </c>
      <c r="I68" t="inlineStr">
        <is>
          <t>Gate Kimi (cálculo)</t>
        </is>
      </c>
    </row>
    <row r="69">
      <c r="A69" t="inlineStr">
        <is>
          <t>COCK-08</t>
        </is>
      </c>
      <c r="B69" t="inlineStr">
        <is>
          <t>Cockpit</t>
        </is>
      </c>
      <c r="C69" t="inlineStr">
        <is>
          <t>Fase 3</t>
        </is>
      </c>
      <c r="D69" t="inlineStr">
        <is>
          <t>Reportes para junta/inversionistas (board updates, exportables a PDF)</t>
        </is>
      </c>
      <c r="E69" t="inlineStr">
        <is>
          <t>Claude Code</t>
        </is>
      </c>
      <c r="F69" t="inlineStr">
        <is>
          <t>Pendiente</t>
        </is>
      </c>
      <c r="G69" t="inlineStr"/>
      <c r="H69" t="inlineStr">
        <is>
          <t>Blueprint §8</t>
        </is>
      </c>
      <c r="I69" t="inlineStr">
        <is>
          <t>sin gate</t>
        </is>
      </c>
    </row>
    <row r="70">
      <c r="A70" t="inlineStr">
        <is>
          <t>COCK-09</t>
        </is>
      </c>
      <c r="B70" t="inlineStr">
        <is>
          <t>Cockpit</t>
        </is>
      </c>
      <c r="C70" t="inlineStr">
        <is>
          <t>Fase 2</t>
        </is>
      </c>
      <c r="D70" t="inlineStr">
        <is>
          <t>Dato vivo: actuals (bancos ya construidos) vs proyección + rolling forecast; conexión SISMO/Alegra</t>
        </is>
      </c>
      <c r="E70" t="inlineStr">
        <is>
          <t>Claude Code</t>
        </is>
      </c>
      <c r="F70" t="inlineStr">
        <is>
          <t>Pendiente</t>
        </is>
      </c>
      <c r="G70" t="inlineStr"/>
      <c r="H70" t="inlineStr">
        <is>
          <t>Blueprint §5.6/§10 (Fase 2). Lo construido C1–C4/cargas/ciclo/cierre es el fondo</t>
        </is>
      </c>
      <c r="I70" t="inlineStr">
        <is>
          <t>Gate Kimi</t>
        </is>
      </c>
    </row>
  </sheetData>
  <autoFilter ref="A1:I37"/>
  <dataValidations count="1">
    <dataValidation sqref="F2:F40" showDropDown="0" showInputMessage="0" showErrorMessage="0" allowBlank="1" type="list" errorStyle="stop" operator="between">
      <formula1>"Pendiente,En curso,Bloqueada,Hecha,Verificada"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7" customWidth="1" style="12" min="1" max="1"/>
    <col width="14" customWidth="1" style="12" min="2" max="2"/>
    <col width="62" customWidth="1" style="12" min="3" max="3"/>
    <col width="20" customWidth="1" style="12" min="4" max="4"/>
    <col width="12" customWidth="1" style="12" min="5" max="6"/>
  </cols>
  <sheetData>
    <row r="1" ht="15" customHeight="1" s="13">
      <c r="A1" s="17" t="inlineStr">
        <is>
          <t>Gate</t>
        </is>
      </c>
      <c r="B1" s="17" t="inlineStr">
        <is>
          <t>Momento</t>
        </is>
      </c>
      <c r="C1" s="17" t="inlineStr">
        <is>
          <t>Criterio</t>
        </is>
      </c>
      <c r="D1" s="17" t="inlineStr">
        <is>
          <t>Aprobador</t>
        </is>
      </c>
      <c r="E1" s="17" t="inlineStr">
        <is>
          <t>Estado</t>
        </is>
      </c>
      <c r="F1" s="17" t="inlineStr">
        <is>
          <t>Fecha</t>
        </is>
      </c>
    </row>
    <row r="2" ht="23.85" customHeight="1" s="13">
      <c r="A2" s="18" t="inlineStr">
        <is>
          <t>G1</t>
        </is>
      </c>
      <c r="B2" s="18" t="inlineStr">
        <is>
          <t>Fin Sprint 0b</t>
        </is>
      </c>
      <c r="C2" s="22" t="inlineStr">
        <is>
          <t>Esqueleto + checklist de SEGURIDAD (auth endurecida, audit inmutable en CI, escaneo). BLOQUEANTE</t>
        </is>
      </c>
      <c r="D2" s="18" t="inlineStr">
        <is>
          <t>CEO Andres + Kimi (evidencia) [CR-003]</t>
        </is>
      </c>
      <c r="E2" s="18" t="inlineStr">
        <is>
          <t>Aprobado — GO 9.4 (G1-R) + CEO</t>
        </is>
      </c>
      <c r="F2" s="18" t="inlineStr">
        <is>
          <t>2026-07-20</t>
        </is>
      </c>
    </row>
    <row r="3" ht="15" customHeight="1" s="13">
      <c r="A3" s="18" t="inlineStr">
        <is>
          <t>G2</t>
        </is>
      </c>
      <c r="B3" s="18" t="inlineStr">
        <is>
          <t>Fin Sprint 2</t>
        </is>
      </c>
      <c r="C3" s="22" t="inlineStr">
        <is>
          <t>3 parsers + dedup 0 duplicados + mini-migración mar–jul cuadrada</t>
        </is>
      </c>
      <c r="D3" s="18" t="inlineStr">
        <is>
          <t>Financiero + Tech Lead</t>
        </is>
      </c>
      <c r="E3" s="18" t="inlineStr">
        <is>
          <t>Pendiente</t>
        </is>
      </c>
      <c r="F3" s="18" t="n"/>
    </row>
    <row r="4" ht="23.85" customHeight="1" s="13">
      <c r="A4" s="18" t="inlineStr">
        <is>
          <t>G3</t>
        </is>
      </c>
      <c r="B4" s="18" t="inlineStr">
        <is>
          <t>Fin Sprint 4</t>
        </is>
      </c>
      <c r="C4" s="22" t="inlineStr">
        <is>
          <t>Ciclo presupuestal + control con julio real (demo modo histórico ya aprobada en S3)</t>
        </is>
      </c>
      <c r="D4" s="18" t="inlineStr">
        <is>
          <t>Directivo</t>
        </is>
      </c>
      <c r="E4" s="18" t="inlineStr">
        <is>
          <t>Pendiente</t>
        </is>
      </c>
      <c r="F4" s="18" t="n"/>
    </row>
    <row r="5" ht="23.85" customHeight="1" s="13">
      <c r="A5" s="18" t="inlineStr">
        <is>
          <t>G4</t>
        </is>
      </c>
      <c r="B5" s="18" t="inlineStr">
        <is>
          <t>Fin Sprint 6b</t>
        </is>
      </c>
      <c r="C5" s="22" t="inlineStr">
        <is>
          <t>Facturas ambos lados + IVA May–Ago reproducido + M10 + Capacidad de pago + dashboard</t>
        </is>
      </c>
      <c r="D5" s="18" t="inlineStr">
        <is>
          <t>Financiero</t>
        </is>
      </c>
      <c r="E5" s="18" t="inlineStr">
        <is>
          <t>Pendiente</t>
        </is>
      </c>
      <c r="F5" s="18" t="n"/>
    </row>
    <row r="6" ht="23.85" customHeight="1" s="13">
      <c r="A6" s="18" t="inlineStr">
        <is>
          <t>G5</t>
        </is>
      </c>
      <c r="B6" s="18" t="inlineStr">
        <is>
          <t>Fin Sprint 7</t>
        </is>
      </c>
      <c r="C6" s="22" t="inlineStr">
        <is>
          <t>UAT con guion + acta de conciliación + restore cronometrado. BLOQUEANTE ABSOLUTO (ventana 48h)</t>
        </is>
      </c>
      <c r="D6" s="18" t="inlineStr">
        <is>
          <t>CEO Andrés</t>
        </is>
      </c>
      <c r="E6" s="18" t="inlineStr">
        <is>
          <t>Pendiente</t>
        </is>
      </c>
      <c r="F6" s="18" t="n"/>
    </row>
    <row r="7">
      <c r="A7" s="12" t="inlineStr">
        <is>
          <t>Kimi PLAN (S0·Sesión 2)</t>
        </is>
      </c>
      <c r="B7" s="12" t="inlineStr">
        <is>
          <t>Pre-código auth/RBAC/audit</t>
        </is>
      </c>
      <c r="C7" s="12" t="inlineStr">
        <is>
          <t>Auditoría adversarial del plan &gt;=9.0 (I-PLAN 7.8 NO-GO → R-PLAN 9.1 GO)</t>
        </is>
      </c>
      <c r="D7" s="12" t="inlineStr">
        <is>
          <t>Kimi (auditor externo)</t>
        </is>
      </c>
      <c r="E7" s="12" t="inlineStr">
        <is>
          <t>Aprobado</t>
        </is>
      </c>
      <c r="F7" s="12" t="inlineStr">
        <is>
          <t>2026-07-18</t>
        </is>
      </c>
    </row>
    <row r="8">
      <c r="A8" s="12" t="inlineStr">
        <is>
          <t>Kimi PR-1 audit (S0·Sesión 2)</t>
        </is>
      </c>
      <c r="B8" s="12" t="inlineStr">
        <is>
          <t>Post-código PR-1</t>
        </is>
      </c>
      <c r="C8" s="12" t="inlineStr">
        <is>
          <t>Auditoría de código &gt;=9.0 (I-PR1 8.9→R-PR1 8.8→cierre 9.2)</t>
        </is>
      </c>
      <c r="D8" s="12" t="inlineStr">
        <is>
          <t>Kimi (auditor externo)</t>
        </is>
      </c>
      <c r="E8" s="12" t="inlineStr">
        <is>
          <t>Aprobado</t>
        </is>
      </c>
      <c r="F8" s="12" t="inlineStr">
        <is>
          <t>2026-07-18</t>
        </is>
      </c>
    </row>
    <row r="9">
      <c r="A9" s="12" t="inlineStr">
        <is>
          <t>Kimi PR-2 auth (S0·Sesión 2)</t>
        </is>
      </c>
      <c r="B9" s="12" t="inlineStr">
        <is>
          <t>Post-código PR-2</t>
        </is>
      </c>
      <c r="C9" s="12" t="inlineStr">
        <is>
          <t>Auditoría de código &gt;=9.0 (I-PR2 7.8→R-PR2 9.3 GO)</t>
        </is>
      </c>
      <c r="D9" s="12" t="inlineStr">
        <is>
          <t>Kimi (auditor externo)</t>
        </is>
      </c>
      <c r="E9" s="12" t="inlineStr">
        <is>
          <t>Aprobado</t>
        </is>
      </c>
      <c r="F9" s="12" t="inlineStr">
        <is>
          <t>2026-07-19</t>
        </is>
      </c>
    </row>
    <row r="10">
      <c r="A10" s="12" t="inlineStr">
        <is>
          <t>Kimi PR-3 RBAC (S0·Sesión 2)</t>
        </is>
      </c>
      <c r="B10" s="12" t="inlineStr">
        <is>
          <t>Post-código PR-3</t>
        </is>
      </c>
      <c r="C10" s="12" t="inlineStr">
        <is>
          <t>Auditoría de código &gt;=9.0 (I-PR3 9.5 GO) — cierra Sesión 2</t>
        </is>
      </c>
      <c r="D10" s="12" t="inlineStr">
        <is>
          <t>Kimi (auditor externo)</t>
        </is>
      </c>
      <c r="E10" s="12" t="inlineStr">
        <is>
          <t>Aprobado</t>
        </is>
      </c>
      <c r="F10" s="12" t="inlineStr">
        <is>
          <t>2026-07-19</t>
        </is>
      </c>
    </row>
    <row r="11">
      <c r="A11" s="12" t="inlineStr">
        <is>
          <t>Kimi PLAN (S0b)</t>
        </is>
      </c>
      <c r="B11" s="12" t="inlineStr">
        <is>
          <t>Pre-codigo dominio+MFA+cabeceras</t>
        </is>
      </c>
      <c r="C11" s="12" t="inlineStr">
        <is>
          <t>Auditoria del plan &gt;=9.0 (I-PLAN 8.7 GO CONDICIONADO: construir ya; A-01 gobernanza G1 + M-01..M-04 pendientes; estimado &gt;=9.3 al cierre)</t>
        </is>
      </c>
      <c r="D11" s="12" t="inlineStr">
        <is>
          <t>Kimi (auditor externo)</t>
        </is>
      </c>
      <c r="E11" s="12" t="inlineStr">
        <is>
          <t>Pendiente</t>
        </is>
      </c>
      <c r="F11" s="12" t="inlineStr">
        <is>
          <t>2026-07-19</t>
        </is>
      </c>
    </row>
    <row r="12">
      <c r="A12" s="12" t="inlineStr">
        <is>
          <t>Kimi PR-1 (S0b)</t>
        </is>
      </c>
      <c r="B12" s="12" t="inlineStr">
        <is>
          <t>Post-codigo dominio base</t>
        </is>
      </c>
      <c r="C12" s="12" t="inlineStr">
        <is>
          <t>Auditoria de codigo &gt;=9.0 (I-PR1 9.4 GO, merge autorizado). Bajas B-1 (seguimiento S0B-05) y B-2 (aplicada).</t>
        </is>
      </c>
      <c r="D12" s="12" t="inlineStr">
        <is>
          <t>Kimi (auditor externo)</t>
        </is>
      </c>
      <c r="E12" s="12" t="inlineStr">
        <is>
          <t>Aprobado</t>
        </is>
      </c>
      <c r="F12" s="12" t="inlineStr">
        <is>
          <t>2026-07-19</t>
        </is>
      </c>
    </row>
    <row r="13">
      <c r="A13" s="12" t="inlineStr">
        <is>
          <t>Kimi PR-2 (S0b) I</t>
        </is>
      </c>
      <c r="B13" s="12" t="inlineStr">
        <is>
          <t>Post-codigo MFA</t>
        </is>
      </c>
      <c r="C13" s="12" t="inlineStr">
        <is>
          <t>Auditoria de codigo (I-PR2 8.8 NO-GO condicionado; 3 Medias M1/M2/M3 + B1 aplicadas; re-presentar PR2-R, estimado &gt;=9.4)</t>
        </is>
      </c>
      <c r="D13" s="12" t="inlineStr">
        <is>
          <t>Kimi (auditor externo)</t>
        </is>
      </c>
      <c r="E13" s="12" t="inlineStr">
        <is>
          <t>Pendiente</t>
        </is>
      </c>
      <c r="F13" s="12" t="inlineStr">
        <is>
          <t>2026-07-19</t>
        </is>
      </c>
    </row>
    <row r="14">
      <c r="A14" s="12" t="inlineStr">
        <is>
          <t>Kimi PR-2 (S0b) R</t>
        </is>
      </c>
      <c r="B14" s="12" t="inlineStr">
        <is>
          <t>Post-fixes MFA</t>
        </is>
      </c>
      <c r="C14" s="12" t="inlineStr">
        <is>
          <t>Re-auditoria de codigo &gt;=9.0 (I-PR2 8.8 NO-GO -&gt; R-PR2 GO). Cierra DoD #11.</t>
        </is>
      </c>
      <c r="D14" s="12" t="inlineStr">
        <is>
          <t>Kimi (auditor externo)</t>
        </is>
      </c>
      <c r="E14" s="12" t="inlineStr">
        <is>
          <t>Aprobado</t>
        </is>
      </c>
      <c r="F14" s="12" t="inlineStr">
        <is>
          <t>2026-07-19</t>
        </is>
      </c>
    </row>
    <row r="15">
      <c r="A15" s="12" t="inlineStr">
        <is>
          <t>Kimi PR-3 (S0b)</t>
        </is>
      </c>
      <c r="B15" s="12" t="inlineStr">
        <is>
          <t>Post-codigo cabeceras</t>
        </is>
      </c>
      <c r="C15" s="12" t="inlineStr">
        <is>
          <t>Auditoria de codigo &gt;=9.0 (I-PR3 9.2 GO; B-1 orden middleware + B-2 style-src aplicados). Cierra DoD #12. Sprint 0b completo.</t>
        </is>
      </c>
      <c r="D15" s="12" t="inlineStr">
        <is>
          <t>Kimi (auditor externo)</t>
        </is>
      </c>
      <c r="E15" s="12" t="inlineStr">
        <is>
          <t>Aprobado</t>
        </is>
      </c>
      <c r="F15" s="12" t="inlineStr">
        <is>
          <t>2026-07-19</t>
        </is>
      </c>
    </row>
    <row r="16">
      <c r="A16" s="12" t="inlineStr">
        <is>
          <t>Kimi PLAN (Sesion 3 CI)</t>
        </is>
      </c>
      <c r="B16" s="12" t="inlineStr">
        <is>
          <t>Pre-codigo CI/CD</t>
        </is>
      </c>
      <c r="C16" s="12" t="inlineStr">
        <is>
          <t>Auditoria del plan &gt;=9.0 (I-PLAN 9.1 GO; P-1 placeholders a implementar + P-2 required checks incorporadas).</t>
        </is>
      </c>
      <c r="D16" s="12" t="inlineStr">
        <is>
          <t>Kimi (auditor externo)</t>
        </is>
      </c>
      <c r="E16" s="12" t="inlineStr">
        <is>
          <t>Aprobado</t>
        </is>
      </c>
      <c r="F16" s="12" t="inlineStr">
        <is>
          <t>2026-07-19</t>
        </is>
      </c>
    </row>
    <row r="17">
      <c r="A17" s="12" t="inlineStr">
        <is>
          <t>Kimi PR-I (Sesion 3 CI)</t>
        </is>
      </c>
      <c r="B17" s="12" t="inlineStr">
        <is>
          <t>PR codigo CI/CD</t>
        </is>
      </c>
      <c r="C17" s="12" t="inlineStr">
        <is>
          <t>Auditoria de codigo &gt;=9.0 (run verde 29771391813; PR-I 9.5 GO; DoD #8)</t>
        </is>
      </c>
      <c r="D17" s="12" t="inlineStr">
        <is>
          <t>Kimi (auditor externo)</t>
        </is>
      </c>
      <c r="E17" s="12" t="inlineStr">
        <is>
          <t>Aprobado</t>
        </is>
      </c>
      <c r="F17" s="12" t="inlineStr">
        <is>
          <t>2026-07-20</t>
        </is>
      </c>
    </row>
    <row r="18">
      <c r="A18" s="12" t="inlineStr">
        <is>
          <t>Kimi PLAN (Sprint 1)</t>
        </is>
      </c>
      <c r="B18" s="12" t="inlineStr">
        <is>
          <t>Pre-codigo Sprint 1</t>
        </is>
      </c>
      <c r="C18" s="12" t="inlineStr">
        <is>
          <t>Auditoria del plan &gt;=9.0 (PLAN-I 9.2 GO; M-1 aplicada)</t>
        </is>
      </c>
      <c r="D18" s="12" t="inlineStr">
        <is>
          <t>Kimi (auditor externo)</t>
        </is>
      </c>
      <c r="E18" s="12" t="inlineStr">
        <is>
          <t>Aprobado</t>
        </is>
      </c>
      <c r="F18" s="12" t="inlineStr">
        <is>
          <t>2026-07-20</t>
        </is>
      </c>
    </row>
    <row r="19">
      <c r="A19" s="12" t="inlineStr">
        <is>
          <t>Kimi Playbook Bloque C</t>
        </is>
      </c>
      <c r="B19" s="12" t="inlineStr">
        <is>
          <t>Pre-ejecucion infra</t>
        </is>
      </c>
      <c r="C19" s="12" t="inlineStr">
        <is>
          <t>Auditoria del playbook operacional (9.3 GO)</t>
        </is>
      </c>
      <c r="D19" s="12" t="inlineStr">
        <is>
          <t>Kimi (auditor externo)</t>
        </is>
      </c>
      <c r="E19" s="12" t="inlineStr">
        <is>
          <t>Aprobado</t>
        </is>
      </c>
      <c r="F19" s="12" t="inlineStr">
        <is>
          <t>2026-07-20</t>
        </is>
      </c>
    </row>
    <row r="20">
      <c r="A20" s="12" t="inlineStr">
        <is>
          <t>Kimi PR-I (Sprint 1 parsers+carga)</t>
        </is>
      </c>
      <c r="B20" s="12" t="inlineStr">
        <is>
          <t>Post-código PR (parsers+Transaccion+carga §1.6)</t>
        </is>
      </c>
      <c r="C20" s="12" t="inlineStr">
        <is>
          <t>Auditoría de código &gt;=9.0. Auditar: §1.6 vs regla 8; merge pre-gate (desviación CEO); id_banco huella</t>
        </is>
      </c>
      <c r="D20" s="12" t="inlineStr">
        <is>
          <t>Kimi (auditor externo)</t>
        </is>
      </c>
      <c r="E20" s="12" t="inlineStr">
        <is>
          <t>R: GO 9.3 (I 8.0 NO-GO → R). Merge 72034a0</t>
        </is>
      </c>
      <c r="F20" s="12" t="inlineStr">
        <is>
          <t>2026-07-20</t>
        </is>
      </c>
    </row>
    <row r="21">
      <c r="A21" s="12" t="inlineStr">
        <is>
          <t>Kimi PR-1 (Sprint 2 cargas+manual)</t>
        </is>
      </c>
      <c r="B21" s="12" t="inlineStr">
        <is>
          <t>Pre-merge endpoints cargas/manual</t>
        </is>
      </c>
      <c r="C21" s="12" t="inlineStr">
        <is>
          <t>Auditoría de código &gt;=9.0 — paquete PR1-I (sprint2-cargas)</t>
        </is>
      </c>
      <c r="D21" s="12" t="inlineStr">
        <is>
          <t>Kimi (auditor externo)</t>
        </is>
      </c>
      <c r="E21" s="12" t="inlineStr">
        <is>
          <t>R: GO 9.2 pleno (CR-S3 firmada). Merge c1566dc</t>
        </is>
      </c>
      <c r="F21" s="12" t="inlineStr">
        <is>
          <t>2026-07-20</t>
        </is>
      </c>
    </row>
    <row r="22">
      <c r="A22" s="12" t="inlineStr">
        <is>
          <t>Kimi PR-1 (Sprint 3 abrir mes)</t>
        </is>
      </c>
      <c r="B22" s="12" t="inlineStr">
        <is>
          <t>Pre-merge apertura del mes</t>
        </is>
      </c>
      <c r="C22" s="12" t="inlineStr">
        <is>
          <t>Auditoría de código &gt;=9.0 — paquete PR1-I (sprint3-ciclo)</t>
        </is>
      </c>
      <c r="D22" s="12" t="inlineStr">
        <is>
          <t>Kimi (auditor externo)</t>
        </is>
      </c>
      <c r="E22" s="12" t="inlineStr">
        <is>
          <t>R: GO 9.4 (I 8.8 → R). Mergeado a main</t>
        </is>
      </c>
      <c r="F22" s="12" t="inlineStr">
        <is>
          <t>2026-07-21</t>
        </is>
      </c>
    </row>
    <row r="23">
      <c r="A23" s="12" t="inlineStr">
        <is>
          <t>Kimi PR-1 (Sprint 3 motor sugerido)</t>
        </is>
      </c>
      <c r="B23" s="12" t="inlineStr">
        <is>
          <t>Pre-merge motor del sugerido</t>
        </is>
      </c>
      <c r="C23" s="12" t="inlineStr">
        <is>
          <t>Auditoría celda a celda &gt;=9.0 — paquete PR1-I (sprint3-motor)</t>
        </is>
      </c>
      <c r="D23" s="12" t="inlineStr">
        <is>
          <t>Kimi (auditor externo)</t>
        </is>
      </c>
      <c r="E23" s="12" t="inlineStr">
        <is>
          <t>I: GO 9.2 (auditoría celda a celda). Merge autorizado por CEO.</t>
        </is>
      </c>
      <c r="F23" s="12" t="inlineStr">
        <is>
          <t>2026-07-21</t>
        </is>
      </c>
    </row>
    <row r="24">
      <c r="A24" s="12" t="inlineStr">
        <is>
          <t>Kimi PLAN (Sprint 3 acotar+aprobar)</t>
        </is>
      </c>
      <c r="B24" s="12" t="inlineStr">
        <is>
          <t>Pre-código incremento acotar/aprobar</t>
        </is>
      </c>
      <c r="C24" s="12" t="inlineStr">
        <is>
          <t>Auditoría del PLAN &gt;=9.0 antes de construir (merge crítico: aprobación de presupuesto + multi-doc)</t>
        </is>
      </c>
      <c r="D24" s="12" t="inlineStr">
        <is>
          <t>Kimi (auditor externo)</t>
        </is>
      </c>
      <c r="E24" s="12" t="inlineStr">
        <is>
          <t>I: GO 9.2 (PLAN). M-1/M-2 incorporados sin re-auditoría. Construir con TDD.</t>
        </is>
      </c>
      <c r="F24" s="12" t="inlineStr">
        <is>
          <t>2026-07-21</t>
        </is>
      </c>
    </row>
    <row r="25">
      <c r="A25" s="12" t="inlineStr">
        <is>
          <t>Kimi PR-1 (Sprint 3 acotar+aprobar código)</t>
        </is>
      </c>
      <c r="B25" s="12" t="inlineStr">
        <is>
          <t>Pre-merge acotar/aprobar (PR #21)</t>
        </is>
      </c>
      <c r="C25" s="12" t="inlineStr">
        <is>
          <t>Auditoría de código &gt;=9.0: transacción multi-doc (regla 8), saga O1, convergencia en 2 puntos de fallo</t>
        </is>
      </c>
      <c r="D25" s="12" t="inlineStr">
        <is>
          <t>Kimi (auditor externo)</t>
        </is>
      </c>
      <c r="E25" s="12" t="inlineStr">
        <is>
          <t>I: GO 9.5 (gate código). Merge 885d32e autorizado. 1 Baja higiene → S4-00.</t>
        </is>
      </c>
      <c r="F25" s="12" t="inlineStr">
        <is>
          <t>2026-07-21</t>
        </is>
      </c>
    </row>
    <row r="26">
      <c r="A26" s="12" t="inlineStr">
        <is>
          <t>Kimi PLAN (Sprint 4 cierre+conciliación)</t>
        </is>
      </c>
      <c r="B26" s="12" t="inlineStr">
        <is>
          <t>Pre-código cierre/conciliación</t>
        </is>
      </c>
      <c r="C26" s="12" t="inlineStr">
        <is>
          <t>Auditoría del PLAN &gt;=9.0 (merge crítico: cierre multi-doc regla 8 + histórico inmutable + F-14)</t>
        </is>
      </c>
      <c r="D26" s="12" t="inlineStr">
        <is>
          <t>Kimi (auditor externo)</t>
        </is>
      </c>
      <c r="E26" s="12" t="inlineStr">
        <is>
          <t>R: GO 9.4 (I 8.5 NO-GO → R). Plan aprobado, construir con TDD. 8 tests exigidos para el gate de código.</t>
        </is>
      </c>
      <c r="F26" s="12" t="inlineStr">
        <is>
          <t>2026-07-21</t>
        </is>
      </c>
    </row>
    <row r="27">
      <c r="A27" s="12" t="inlineStr">
        <is>
          <t>Kimi PR-1 (Sprint 4 cierre código)</t>
        </is>
      </c>
      <c r="B27" s="12" t="inlineStr">
        <is>
          <t>Pre-merge cierre/conciliación (PR #22)</t>
        </is>
      </c>
      <c r="C27" s="12" t="inlineStr">
        <is>
          <t>Auditoría de código &gt;=9.0: 8 tests contra replica set (regla 8) + saga O1 en 2 puntos de fallo</t>
        </is>
      </c>
      <c r="D27" s="12" t="inlineStr">
        <is>
          <t>Kimi (auditor externo)</t>
        </is>
      </c>
      <c r="E27" s="12" t="inlineStr">
        <is>
          <t>I: GO 9.4 (gate código). Merge 9c62966 autorizado. 8/8 tests real-mongo. 3 Bajas → S4-02/S4-03.</t>
        </is>
      </c>
      <c r="F27" s="12" t="inlineStr">
        <is>
          <t>2026-07-21</t>
        </is>
      </c>
    </row>
    <row r="28">
      <c r="A28" s="12" t="inlineStr">
        <is>
          <t>Kimi PLAN (Sprint 4 Vista Control)</t>
        </is>
      </c>
      <c r="B28" s="12" t="inlineStr">
        <is>
          <t>Pre-código Vista Control</t>
        </is>
      </c>
      <c r="C28" s="12" t="inlineStr">
        <is>
          <t>Auditoría del PLAN &gt;=9.0: cálculo % ejecutado/disponible/semáforo (decisión CEO gate completo)</t>
        </is>
      </c>
      <c r="D28" s="12" t="inlineStr">
        <is>
          <t>Kimi (auditor externo)</t>
        </is>
      </c>
      <c r="E28" s="12" t="inlineStr">
        <is>
          <t>I: GO 9.3 (PLAN, sin hallazgos M/A). 3 Bajas → TDD. Construir.</t>
        </is>
      </c>
      <c r="F28" s="12" t="inlineStr">
        <is>
          <t>2026-07-22</t>
        </is>
      </c>
    </row>
    <row r="29">
      <c r="A29" s="12" t="inlineStr">
        <is>
          <t>Kimi PR-1 (Sprint 4 Vista Control código)</t>
        </is>
      </c>
      <c r="B29" s="12" t="inlineStr">
        <is>
          <t>Pre-merge Vista Control (PR #23)</t>
        </is>
      </c>
      <c r="C29" s="12" t="inlineStr">
        <is>
          <t>Auditoría de código &gt;=9.0: % ejecutado/disponible/semáforo, 8 tests + 3 Bajas</t>
        </is>
      </c>
      <c r="D29" s="12" t="inlineStr">
        <is>
          <t>Kimi (auditor externo)</t>
        </is>
      </c>
      <c r="E29" s="12" t="inlineStr">
        <is>
          <t>I: GO 9.4 (gate código). 8/8 tests + 3 Bajas. Baja nueva B-1 (fail-loud caja) aplicada pre-merge. Merge autorizado (Kimi).</t>
        </is>
      </c>
      <c r="F29" s="12" t="inlineStr">
        <is>
          <t>2026-07-22</t>
        </is>
      </c>
    </row>
    <row r="30">
      <c r="A30" s="12" t="inlineStr">
        <is>
          <t>Kimi PLAN (Sprint 4 C1 categorías)</t>
        </is>
      </c>
      <c r="B30" s="12" t="inlineStr">
        <is>
          <t>Pre-código C1</t>
        </is>
      </c>
      <c r="C30" s="12" t="inlineStr">
        <is>
          <t>Auditoría del PLAN &gt;=9.0: CRUD categorías + CR-S4 (catálogo+RBAC) + re-seed</t>
        </is>
      </c>
      <c r="D30" s="12" t="inlineStr">
        <is>
          <t>Kimi (auditor externo)</t>
        </is>
      </c>
      <c r="E30" s="12" t="inlineStr">
        <is>
          <t>I: GO 9.2 (PLAN, sin hallazgos M/A). 5 Bajas B-1..B-5 a incorporar en TDD; verificación en I-PR1 sin re-auditoría de plan. Autorizado CEO</t>
        </is>
      </c>
      <c r="F30" s="12" t="inlineStr">
        <is>
          <t>2026-07-22</t>
        </is>
      </c>
    </row>
    <row r="31">
      <c r="A31" s="12" t="inlineStr">
        <is>
          <t>Kimi PR-1 (Sprint 4 C1 código)</t>
        </is>
      </c>
      <c r="B31" s="12" t="inlineStr">
        <is>
          <t>Pre-merge C1 rubros (PR #24)</t>
        </is>
      </c>
      <c r="C31" s="12" t="inlineStr">
        <is>
          <t>Auditoría de código &gt;=9.0: B-1..B-5 incorporadas, fail-closed O1, RBAC rubros:gestionar, re-seed con reporte — paquete PR1-I</t>
        </is>
      </c>
      <c r="D31" s="12" t="inlineStr">
        <is>
          <t>Kimi (auditor externo)</t>
        </is>
      </c>
      <c r="E31" s="12" t="inlineStr">
        <is>
          <t>I: GO 9.4 (gate código). 9/9 tests + B-1..B-5; B-1 nueva (URI por env) aplicada pre-merge. Merge 126ac29 autorizado CEO</t>
        </is>
      </c>
      <c r="F31" s="12" t="inlineStr">
        <is>
          <t>2026-07-22</t>
        </is>
      </c>
    </row>
    <row r="32">
      <c r="A32" s="12" t="inlineStr">
        <is>
          <t>Kimi PLAN (Sprint 5 C3 auto-clasificación)</t>
        </is>
      </c>
      <c r="B32" s="12" t="inlineStr">
        <is>
          <t>Pre-código C3</t>
        </is>
      </c>
      <c r="C32" s="12" t="inlineStr">
        <is>
          <t>Auditoría del PLAN &gt;=9.0: coherencia tipo_tx↔tipo_rubro, guarda inactivos en reglas, regla 4 en reclasificación, CR-S5 (33→36 + reglas:gestionar)</t>
        </is>
      </c>
      <c r="D32" s="12" t="inlineStr">
        <is>
          <t>Kimi (auditor externo)</t>
        </is>
      </c>
      <c r="E32" s="12" t="inlineStr">
        <is>
          <t>I: GO 9.3 (PLAN, sin hallazgos M/A). D1-D5 aprobadas; 2 Bajas B-1 (revalidar D1 al activar) y B-2 (sellar clasificada_por/at en aplicar-pendientes) a TDD. Autorizado CEO</t>
        </is>
      </c>
      <c r="F32" s="12" t="inlineStr">
        <is>
          <t>2026-07-22</t>
        </is>
      </c>
    </row>
    <row r="33">
      <c r="A33" s="12" t="inlineStr">
        <is>
          <t>Kimi PR-1 (Sprint 5 C3 código)</t>
        </is>
      </c>
      <c r="B33" s="12" t="inlineStr">
        <is>
          <t>Pre-merge C3 reglas (PR #25)</t>
        </is>
      </c>
      <c r="C33" s="12" t="inlineStr">
        <is>
          <t>Auditoría de código &gt;=9.0: B-1/B-2 incorporadas, normalización única, D1/D2 en todas las vías, sellado aplicar-pendientes — paquete PR1-I</t>
        </is>
      </c>
      <c r="D33" s="12" t="inlineStr">
        <is>
          <t>Kimi (auditor externo)</t>
        </is>
      </c>
      <c r="E33" s="12" t="inlineStr">
        <is>
          <t>I: GO 9.4 (gate código). 11/11 tests + B-1/B-2; B-1 nueva (simetría D2) aplicada pre-merge. Merge 7253bd5 autorizado CEO</t>
        </is>
      </c>
      <c r="F33" s="12" t="inlineStr">
        <is>
          <t>2026-07-22</t>
        </is>
      </c>
    </row>
    <row r="34">
      <c r="A34" s="12" t="inlineStr">
        <is>
          <t>Kimi PR-1 (Sprint 4 deuda S4-00/S4-06)</t>
        </is>
      </c>
      <c r="B34" s="12" t="inlineStr">
        <is>
          <t>Pre-merge deuda técnica (PR #26)</t>
        </is>
      </c>
      <c r="C34" s="12" t="inlineStr">
        <is>
          <t>Auditoría de código &gt;=9.0: acotar transaccional (S4-00), TOCTOU cierre/reapertura (B-2), test step-up (B-3) — prescripciones de Kimi</t>
        </is>
      </c>
      <c r="D34" s="12" t="inlineStr">
        <is>
          <t>Kimi (auditor externo)</t>
        </is>
      </c>
      <c r="E34" s="12" t="inlineStr">
        <is>
          <t>Aprobado 9.5/10 — GO merge</t>
        </is>
      </c>
      <c r="F34" s="12" t="inlineStr">
        <is>
          <t>2026-07-22</t>
        </is>
      </c>
    </row>
    <row r="35">
      <c r="A35" s="12" t="inlineStr">
        <is>
          <t>Kimi PLAN (Sprint 6 C4 ajuste de caja)</t>
        </is>
      </c>
      <c r="B35" s="12" t="inlineStr">
        <is>
          <t>Pre-código C4</t>
        </is>
      </c>
      <c r="C35" s="12" t="inlineStr">
        <is>
          <t>Auditoría del PLAN &gt;=9.0: D1 upsert saldos_banco vs serie, D2 guardas de fecha, O1 mono-doc, CR-S6 (36→37 + caja:reportar)</t>
        </is>
      </c>
      <c r="D35" s="12" t="inlineStr">
        <is>
          <t>Kimi (auditor externo)</t>
        </is>
      </c>
      <c r="E35" s="12" t="inlineStr">
        <is>
          <t>I: GO 9.3 (PLAN). D1-D6 aprobadas; 1 Baja B-1 (upsert atómico posicional) incorporada al construir. Autorizado CEO</t>
        </is>
      </c>
      <c r="F35" s="12" t="inlineStr">
        <is>
          <t>2026-07-23</t>
        </is>
      </c>
    </row>
    <row r="36">
      <c r="A36" s="12" t="inlineStr">
        <is>
          <t>Kimi PR-1 (Sprint 6 C4 código)</t>
        </is>
      </c>
      <c r="B36" s="12" t="inlineStr">
        <is>
          <t>Pre-merge C4 (PR #27)</t>
        </is>
      </c>
      <c r="C36" s="12" t="inlineStr">
        <is>
          <t>Auditoría de código &gt;=9.0: B-1 atomicidad posicional, O1 por banco, D2/D3/D4, CR-S6 (37 + caja:reportar), cero cambios en conciliación — paquete PR1-I</t>
        </is>
      </c>
      <c r="D36" s="12" t="inlineStr">
        <is>
          <t>Kimi (auditor externo)</t>
        </is>
      </c>
      <c r="E36" s="12" t="inlineStr">
        <is>
          <t>CEO gate-waiver 2026-07-23: merge autorizado por el CEO con Kimi ausente (vuelve 25-jul). CI 6/6, GO PLAN 9.3, B-1 incorporada. Auditoría Kimi de código RETROACTIVA pendiente (fix-forward si &lt;9.0)</t>
        </is>
      </c>
      <c r="F36" s="12" t="inlineStr">
        <is>
          <t>2026-07-23 (retro pend.)</t>
        </is>
      </c>
    </row>
    <row r="37">
      <c r="A37" s="12" t="inlineStr">
        <is>
          <t>Kimi PLAN (Sprint 5 C9 Pagos de la semana)</t>
        </is>
      </c>
      <c r="B37" s="12" t="inlineStr">
        <is>
          <t>Pre-código S5-01/C9</t>
        </is>
      </c>
      <c r="C37" s="12" t="inlineStr">
        <is>
          <t>Auditoría del PLAN &gt;=9.0: PagoPlaneado + coherencia tipo (D1), veredicto reusa _caja_libro (D4), marcar-pagado multi-doc (D5), recorte D6, CR-S7 (37→40 + pagos:gestionar). Auditoría RETROACTIVA (Kimi vuelve 25-jul); construcción bajo GO del CEO</t>
        </is>
      </c>
      <c r="D37" s="12" t="inlineStr">
        <is>
          <t>Kimi (auditor externo)</t>
        </is>
      </c>
      <c r="E37" s="12" t="inlineStr">
        <is>
          <t>Pendiente (retro; GO CEO para construir)</t>
        </is>
      </c>
    </row>
    <row r="38">
      <c r="A38" s="12" t="inlineStr">
        <is>
          <t>Kimi PR-1 (Sprint 5 C9 código)</t>
        </is>
      </c>
      <c r="B38" s="12" t="inlineStr">
        <is>
          <t>Pre-merge C9 (PR #29)</t>
        </is>
      </c>
      <c r="C38" s="12" t="inlineStr">
        <is>
          <t>Auditoría de código &gt;=9.0 RETROACTIVA (Kimi vuelve 25-jul): PagoPlaneado + D1, veredicto reusa _caja_libro (D4), marcar-pagado multi-doc+O1 (D5), CR-S7 (37→40 + pagos:gestionar). Construido/mergeado bajo GO del CEO por fase (gate-waiver trazable, fix-forward si &lt;9.0)</t>
        </is>
      </c>
      <c r="D38" s="12" t="inlineStr">
        <is>
          <t>Kimi (auditor externo)</t>
        </is>
      </c>
      <c r="E38" s="12" t="inlineStr">
        <is>
          <t>Pendiente (retro; construido bajo GO CEO)</t>
        </is>
      </c>
    </row>
  </sheetData>
  <dataValidations count="1">
    <dataValidation sqref="E2:E16" showDropDown="0" showInputMessage="0" showErrorMessage="0" allowBlank="1" type="list" errorStyle="stop" operator="between">
      <formula1>"Pendiente,Aprobado,Rechazado"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2" min="1" max="1"/>
    <col width="80" customWidth="1" style="12" min="2" max="2"/>
    <col width="12" customWidth="1" style="12" min="3" max="3"/>
    <col width="25" customWidth="1" style="12" min="4" max="4"/>
  </cols>
  <sheetData>
    <row r="1" ht="15" customHeight="1" s="13">
      <c r="A1" s="17" t="inlineStr">
        <is>
          <t>#</t>
        </is>
      </c>
      <c r="B1" s="17" t="inlineStr">
        <is>
          <t>Punto del Definition of Done (Spec v1.1.2 §5)</t>
        </is>
      </c>
      <c r="C1" s="17" t="inlineStr">
        <is>
          <t>Estado</t>
        </is>
      </c>
      <c r="D1" s="17" t="inlineStr">
        <is>
          <t>Evidencia</t>
        </is>
      </c>
    </row>
    <row r="2" ht="15" customHeight="1" s="13">
      <c r="A2" s="18" t="n">
        <v>1</v>
      </c>
      <c r="B2" s="22" t="inlineStr">
        <is>
          <t>RBAC 4 roles + segregación con tests NEGATIVOS por rol (incluye export de Consulta denegado)</t>
        </is>
      </c>
      <c r="C2" s="18" t="inlineStr">
        <is>
          <t>Pendiente</t>
        </is>
      </c>
      <c r="D2" s="18" t="n"/>
    </row>
    <row r="3" ht="23.85" customHeight="1" s="13">
      <c r="A3" s="18" t="n">
        <v>2</v>
      </c>
      <c r="B3" s="22" t="inlineStr">
        <is>
          <t>Parsers de los 3 bancos con fixtures reales anonimizados, 0 duplicados en solape, 2 manuales coexisten, reproceso de carga fallida</t>
        </is>
      </c>
      <c r="C3" s="18" t="inlineStr">
        <is>
          <t>Pendiente</t>
        </is>
      </c>
      <c r="D3" s="18" t="inlineStr">
        <is>
          <t>Parsers 3 bancos + dedup 0-solape + 2 manuales: GO Kimi R-PR1 9.3. Falta fixtures reales anonimizados (S1-01) para cerrar.</t>
        </is>
      </c>
    </row>
    <row r="4" ht="23.85" customHeight="1" s="13">
      <c r="A4" s="18" t="n">
        <v>3</v>
      </c>
      <c r="B4" s="22" t="inlineStr">
        <is>
          <t>Ciclo presupuestal completo demostrado; sugerido == 4 columnas del Excel congelado (TOLERANCIA_CUADRE)</t>
        </is>
      </c>
      <c r="C4" s="18" t="inlineStr">
        <is>
          <t>Pendiente</t>
        </is>
      </c>
      <c r="D4" s="18" t="n"/>
    </row>
    <row r="5" ht="15" customHeight="1" s="13">
      <c r="A5" s="18" t="n">
        <v>4</v>
      </c>
      <c r="B5" s="22" t="inlineStr">
        <is>
          <t>Migración histórica conciliada contra el Excel; acta firmada por el Financiero</t>
        </is>
      </c>
      <c r="C5" s="18" t="inlineStr">
        <is>
          <t>Pendiente</t>
        </is>
      </c>
      <c r="D5" s="18" t="n"/>
    </row>
    <row r="6" ht="15" customHeight="1" s="13">
      <c r="A6" s="18" t="n">
        <v>5</v>
      </c>
      <c r="B6" s="22" t="inlineStr">
        <is>
          <t>Módulo IVA reproduce el cuatrimestre May–Ago 2026 con facturas reales</t>
        </is>
      </c>
      <c r="C6" s="18" t="inlineStr">
        <is>
          <t>Pendiente</t>
        </is>
      </c>
      <c r="D6" s="18" t="n"/>
    </row>
    <row r="7" ht="15" customHeight="1" s="13">
      <c r="A7" s="18" t="n">
        <v>6</v>
      </c>
      <c r="B7" s="22" t="inlineStr">
        <is>
          <t>Audit log con los 30 eventos (29 + extracto.cargado de CR-001) + test CI de inmutabilidad</t>
        </is>
      </c>
      <c r="C7" s="18" t="inlineStr">
        <is>
          <t>Cumplido</t>
        </is>
      </c>
      <c r="D7" s="18" t="inlineStr">
        <is>
          <t>Catálogo vivo: 36 eventos (29 Spec + CR-001 + CR-S2 + CR-S4 x2 + CR-S5 x3; será 37 con CR-S6 si recibe GO) + test de inmutabilidad del audit_log (update/remove FALLA) verde en CI real</t>
        </is>
      </c>
    </row>
    <row r="8" ht="15" customHeight="1" s="13">
      <c r="A8" s="18" t="n">
        <v>7</v>
      </c>
      <c r="B8" s="22" t="inlineStr">
        <is>
          <t>Dashboard replica la hoja Inicio con cifras idénticas, incluido ingreso proyectado (M10)</t>
        </is>
      </c>
      <c r="C8" s="18" t="inlineStr">
        <is>
          <t>Pendiente</t>
        </is>
      </c>
      <c r="D8" s="18" t="n"/>
    </row>
    <row r="9" ht="15" customHeight="1" s="13">
      <c r="A9" s="18" t="n">
        <v>8</v>
      </c>
      <c r="B9" s="22" t="inlineStr">
        <is>
          <t>Suite verde en CI con pip-audit, gitleaks y Dependabot</t>
        </is>
      </c>
      <c r="C9" s="18" t="inlineStr">
        <is>
          <t>Cumplido</t>
        </is>
      </c>
      <c r="D9" s="18" t="inlineStr">
        <is>
          <t>CI 5 jobs verdes (run 29771391813): pip-audit --strict 0 CVEs, gitleaks, Dependabot activo; Kimi PR-I GO 9.5 (2026-07-20)</t>
        </is>
      </c>
    </row>
    <row r="10" ht="23.85" customHeight="1" s="13">
      <c r="A10" s="18" t="n">
        <v>9</v>
      </c>
      <c r="B10" s="22" t="inlineStr">
        <is>
          <t>Carga: 5.000 movimientos &lt; 30 s y p95 dashboard &lt; 2 s con 12 meses de volumen (5 reales + sintético)</t>
        </is>
      </c>
      <c r="C10" s="18" t="inlineStr">
        <is>
          <t>Pendiente</t>
        </is>
      </c>
      <c r="D10" s="18" t="n"/>
    </row>
    <row r="11" ht="15" customHeight="1" s="13">
      <c r="A11" s="18" t="n">
        <v>10</v>
      </c>
      <c r="B11" s="22" t="inlineStr">
        <is>
          <t>Restauración selectiva cronometrada contra instancia temporal tamaño producción; RTO medido</t>
        </is>
      </c>
      <c r="C11" s="18" t="inlineStr">
        <is>
          <t>Pendiente</t>
        </is>
      </c>
      <c r="D11" s="18" t="n"/>
    </row>
    <row r="12" ht="23.85" customHeight="1" s="13">
      <c r="A12" s="18" t="n">
        <v>11</v>
      </c>
      <c r="B12" s="22" t="inlineStr">
        <is>
          <t>Auth endurecida verificada: logout revoca, desactivado pierde acceso, MFA Admin/Directivo, backoff</t>
        </is>
      </c>
      <c r="C12" s="18" t="inlineStr">
        <is>
          <t>Cumplido</t>
        </is>
      </c>
      <c r="D12" s="18" t="inlineStr">
        <is>
          <t>PR-2 GO Kimi R-PR2 (2026-07-19): MFA TOTP+step-up+respaldo+HIBP+reset; auth endurecida (Sesion 2). Gates: Kimi PR-2 R Aprobado.</t>
        </is>
      </c>
    </row>
    <row r="13" ht="15" customHeight="1" s="13">
      <c r="A13" s="18" t="n">
        <v>12</v>
      </c>
      <c r="B13" s="22" t="inlineStr">
        <is>
          <t>Cabeceras de seguridad (CSP, HSTS, nosniff, frame-ancestors) con test en CI</t>
        </is>
      </c>
      <c r="C13" s="18" t="inlineStr">
        <is>
          <t>Cumplido</t>
        </is>
      </c>
      <c r="D13" s="18" t="inlineStr">
        <is>
          <t>PR-3 GO Kimi I-PR3 9.2 (2026-07-19): SecurityHeadersMiddleware (CSP/HSTS/nosniff/Referrer/frame-ancestors/X-Frame) + vercel.json SPA + 6 tests CI. | 20-jul: verificado en URL real https://compas-api-von1.onrender.com (CSP/HSTS/nosniff/DENY/no-referrer)</t>
        </is>
      </c>
    </row>
  </sheetData>
  <dataValidations count="1">
    <dataValidation sqref="C2:C13" showDropDown="0" showInputMessage="0" showErrorMessage="0" allowBlank="1" type="list" errorStyle="stop" operator="between">
      <formula1>"Pendiente,En curso,Cumplido"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G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12" min="1" max="1"/>
    <col width="60" customWidth="1" style="12" min="2" max="2"/>
    <col width="12" customWidth="1" style="12" min="3" max="4"/>
    <col width="18" customWidth="1" style="12" min="5" max="5"/>
    <col width="14" customWidth="1" style="12" min="6" max="6"/>
    <col width="30" customWidth="1" style="12" min="7" max="7"/>
  </cols>
  <sheetData>
    <row r="1" ht="15" customHeight="1" s="13">
      <c r="A1" s="17" t="inlineStr">
        <is>
          <t>CR</t>
        </is>
      </c>
      <c r="B1" s="17" t="inlineStr">
        <is>
          <t>Descripción</t>
        </is>
      </c>
      <c r="C1" s="17" t="inlineStr">
        <is>
          <t>Solicitante</t>
        </is>
      </c>
      <c r="D1" s="17" t="inlineStr">
        <is>
          <t>Fecha</t>
        </is>
      </c>
      <c r="E1" s="17" t="inlineStr">
        <is>
          <t>Estado</t>
        </is>
      </c>
      <c r="F1" s="17" t="inlineStr">
        <is>
          <t>Sprint destino</t>
        </is>
      </c>
      <c r="G1" s="17" t="inlineStr">
        <is>
          <t>Impacto declarado</t>
        </is>
      </c>
    </row>
    <row r="2" ht="23.85" customHeight="1" s="13">
      <c r="A2" s="18" t="inlineStr">
        <is>
          <t>CR-001</t>
        </is>
      </c>
      <c r="B2" s="22" t="inlineStr">
        <is>
          <t>Gestión de extractos mensuales como fuente de verificación y corrección (ExtractoMensual + verificación automática + regla de cierre)</t>
        </is>
      </c>
      <c r="C2" s="18" t="inlineStr">
        <is>
          <t>CEO</t>
        </is>
      </c>
      <c r="D2" s="18" t="inlineStr">
        <is>
          <t>2026-07-18</t>
        </is>
      </c>
      <c r="E2" s="18" t="inlineStr">
        <is>
          <t>Aprobado y firmado</t>
        </is>
      </c>
      <c r="F2" s="18" t="inlineStr">
        <is>
          <t>Sprint 4</t>
        </is>
      </c>
      <c r="G2" s="18" t="inlineStr">
        <is>
          <t>Ninguno (1–1,5 días dentro del buffer)</t>
        </is>
      </c>
    </row>
    <row r="3" ht="23.85" customHeight="1" s="13">
      <c r="A3" s="18" t="inlineStr">
        <is>
          <t>CR-002</t>
        </is>
      </c>
      <c r="B3" s="22" t="inlineStr">
        <is>
          <t>Errata documental v1.1.3 (8 ítems): catálogo 29-&gt;30; cookie Path /auth-&gt;/api/v1/auth (Spec §4 Y STACK §3); api.compas.roddos.com + Origin; convención UTC-aware; colección refresh_sessions (Spec §2.3/STACK §4.2); TTL denylist por tipo; secreto MONGODB_URI_AUDIT (STACK §5.1). De auditorías Kimi I-PLAN+R-PLAN. Ver docs/COMPAS_ERRATA_PENDIENTE_v1_1_3.md + E-9: eventos mfa.habilitado/mfa.reset (catalogo 30-&gt;32, Kimi M3 de PR-2).</t>
        </is>
      </c>
      <c r="C3" s="18" t="inlineStr">
        <is>
          <t>Auditoría Kimi / Tech Lead</t>
        </is>
      </c>
      <c r="D3" s="18" t="inlineStr">
        <is>
          <t>2026-07-18</t>
        </is>
      </c>
      <c r="E3" s="18" t="inlineStr">
        <is>
          <t>Borrador</t>
        </is>
      </c>
      <c r="F3" s="18" t="inlineStr">
        <is>
          <t>Sprint 0 (errata) / re-baseline v1.1.3</t>
        </is>
      </c>
      <c r="G3" s="18" t="inlineStr">
        <is>
          <t>Ninguno de decisión/costo; solo reconciliación documental. Ver docs/COMPAS_ERRATA_PENDIENTE_v1_1_3.md</t>
        </is>
      </c>
    </row>
    <row r="4">
      <c r="A4" s="18" t="inlineStr">
        <is>
          <t>CR-003</t>
        </is>
      </c>
      <c r="B4" s="22" t="inlineStr">
        <is>
          <t>Mecanismo de aprobacion del Gate G1: aprobador = CEO Andres (decision) + auditoria adversarial Kimi &gt;=9.0 (evidencia); deroga a Ivan como required reviewer (era nominal). Origen: A-01 Kimi I-PLAN 0b. Ver docs/cambios/CR-003-gate-g1-aprobador.md</t>
        </is>
      </c>
      <c r="C4" s="18" t="inlineStr">
        <is>
          <t>CEO</t>
        </is>
      </c>
      <c r="D4" s="18" t="inlineStr">
        <is>
          <t>2026-07-19</t>
        </is>
      </c>
      <c r="E4" s="18" t="inlineStr">
        <is>
          <t>Aprobado por el CEO</t>
        </is>
      </c>
      <c r="F4" s="18" t="inlineStr">
        <is>
          <t>Sprint 0b / re-baseline v1.1.3</t>
        </is>
      </c>
      <c r="G4" s="18" t="inlineStr">
        <is>
          <t>Debilita bus-factor (2do par humano); aceptado por el CEO, compensado por gate Kimi. Costo/plazo: ninguno.</t>
        </is>
      </c>
    </row>
    <row r="5">
      <c r="A5" s="12" t="inlineStr">
        <is>
          <t>CR-A2</t>
        </is>
      </c>
      <c r="B5" s="12" t="inlineStr">
        <is>
          <t>Dedup: huella con ordinal de ocurrencia (Kimi A-01) + análisis de colisión sobre fixtures reales</t>
        </is>
      </c>
      <c r="C5" s="12" t="inlineStr">
        <is>
          <t>Kimi (auditoría I-PR1) / Claude</t>
        </is>
      </c>
      <c r="D5" s="12" t="inlineStr">
        <is>
          <t>2026-07-20</t>
        </is>
      </c>
      <c r="E5" s="12" t="inlineStr">
        <is>
          <t>Aceptada por Kimi (GO R-PR1 9.3); análisis de colisión pendiente de fixtures (S1-01)</t>
        </is>
      </c>
      <c r="F5" s="12" t="inlineStr">
        <is>
          <t>Sprint 1/2</t>
        </is>
      </c>
      <c r="G5" s="12" t="inlineStr">
        <is>
          <t>Correctitud ya garantizada por el ordinal; el análisis solo cuantifica la frecuencia de colisión</t>
        </is>
      </c>
    </row>
    <row r="6">
      <c r="A6" s="12" t="inlineStr">
        <is>
          <t>CR-S2</t>
        </is>
      </c>
      <c r="B6" s="12" t="inlineStr">
        <is>
          <t>Evento transaccion.creada — rastro forense del POST manual (catálogo 30→31)</t>
        </is>
      </c>
      <c r="C6" s="12" t="inlineStr">
        <is>
          <t>Kimi (I-PR1 sprint2-cargas M-1) / Claude</t>
        </is>
      </c>
      <c r="D6" s="12" t="inlineStr">
        <is>
          <t>2026-07-20</t>
        </is>
      </c>
      <c r="E6" s="12" t="inlineStr">
        <is>
          <t>Aceptada por gate Kimi; folde a v1.1.3 junto con E-9</t>
        </is>
      </c>
      <c r="F6" s="12" t="inlineStr">
        <is>
          <t>Sprint 2</t>
        </is>
      </c>
      <c r="G6" s="12" t="inlineStr">
        <is>
          <t>Regla 11 y events.py actualizados; emitida en toda creación manual</t>
        </is>
      </c>
    </row>
    <row r="7">
      <c r="A7" s="12" t="inlineStr">
        <is>
          <t>CR-S3</t>
        </is>
      </c>
      <c r="B7" s="12" t="inlineStr">
        <is>
          <t>Gobernanza del inventario de secretos en repo (condición GO 9.2 sprint2)</t>
        </is>
      </c>
      <c r="C7" s="12" t="inlineStr">
        <is>
          <t>Kimi (R-PR1 sprint2) / Claude</t>
        </is>
      </c>
      <c r="D7" s="12" t="inlineStr">
        <is>
          <t>2026-07-20</t>
        </is>
      </c>
      <c r="E7" s="12" t="inlineStr">
        <is>
          <t>Aprobada (firma CEO 2026-07-20 en sesión). Condición del GO 9.2 CUMPLIDA.</t>
        </is>
      </c>
      <c r="F7" s="12" t="inlineStr">
        <is>
          <t>Sprint 2</t>
        </is>
      </c>
      <c r="G7" s="12" t="inlineStr">
        <is>
          <t>Allowlist path exacto verificado; regla de rotación; migrar a Secrets Manager/SOPS en go-live</t>
        </is>
      </c>
    </row>
    <row r="8">
      <c r="A8" s="12" t="inlineStr">
        <is>
          <t>CR-S4</t>
        </is>
      </c>
      <c r="B8" s="12" t="inlineStr">
        <is>
          <t>C1 categorías administrables: eventos rubro.creado/rubro.editado (catálogo 31→33) + permiso rubros:gestionar={financiero,admin}</t>
        </is>
      </c>
      <c r="C8" s="12" t="inlineStr">
        <is>
          <t>CEO (C1) / gate Kimi</t>
        </is>
      </c>
      <c r="D8" s="12" t="inlineStr">
        <is>
          <t>2026-07-22</t>
        </is>
      </c>
      <c r="E8" s="12" t="inlineStr">
        <is>
          <t>Aprobado vía gate Kimi (PLAN-I 9.2 + I-PR1 9.4) + autorización CEO; merge 126ac29 (PR #24)</t>
        </is>
      </c>
      <c r="F8" s="12" t="inlineStr">
        <is>
          <t>Sprint 4</t>
        </is>
      </c>
      <c r="G8" s="12" t="inlineStr">
        <is>
          <t>Regla 11 y permissions.py actualizados; re-seed taxonomía real corrido en prod</t>
        </is>
      </c>
    </row>
    <row r="9">
      <c r="A9" s="12" t="inlineStr">
        <is>
          <t>CR-S5</t>
        </is>
      </c>
      <c r="B9" s="12" t="inlineStr">
        <is>
          <t>C3 auto-clasificación: eventos regla.creada/editada/desactivada (catálogo 33→36) + permiso reglas:gestionar={financiero,admin}</t>
        </is>
      </c>
      <c r="C9" s="12" t="inlineStr">
        <is>
          <t>CEO (C3) / gate Kimi</t>
        </is>
      </c>
      <c r="D9" s="12" t="inlineStr">
        <is>
          <t>2026-07-22</t>
        </is>
      </c>
      <c r="E9" s="12" t="inlineStr">
        <is>
          <t>Aprobado vía gate Kimi (PLAN-I 9.3 + I-PR1 9.4) + autorización CEO; merge 7253bd5 (PR #25)</t>
        </is>
      </c>
      <c r="F9" s="12" t="inlineStr">
        <is>
          <t>Sprint 5</t>
        </is>
      </c>
      <c r="G9" s="12" t="inlineStr">
        <is>
          <t>Regla 11 y permissions.py actualizados; semilla ingresos→Recaudo corrida en prod</t>
        </is>
      </c>
    </row>
    <row r="10">
      <c r="A10" s="12" t="inlineStr">
        <is>
          <t>CR-S6</t>
        </is>
      </c>
      <c r="B10" s="12" t="inlineStr">
        <is>
          <t>C4 ajuste diario de caja: evento saldo_banco.reportado (catálogo 36→37) + capacidad caja:reportar={financiero,admin}</t>
        </is>
      </c>
      <c r="C10" s="12" t="inlineStr">
        <is>
          <t>CEO (C4) / Claude</t>
        </is>
      </c>
      <c r="D10" s="12" t="inlineStr">
        <is>
          <t>2026-07-23</t>
        </is>
      </c>
      <c r="E10" s="12" t="inlineStr">
        <is>
          <t>Declarado en PLAN-I sprint6-ajuste-caja — PENDIENTE gate Kimi (&gt;=9.0)</t>
        </is>
      </c>
      <c r="F10" s="12" t="inlineStr">
        <is>
          <t>Sprint 6</t>
        </is>
      </c>
      <c r="G10" s="12" t="inlineStr">
        <is>
          <t>Solo se aplica si el PLAN recibe GO; sin código aún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A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2" min="1" max="1"/>
  </cols>
  <sheetData>
    <row r="1" ht="16.15" customHeight="1" s="13">
      <c r="A1" s="23" t="inlineStr">
        <is>
          <t>Cómo usar este tablero</t>
        </is>
      </c>
    </row>
    <row r="3" ht="23.85" customHeight="1" s="13">
      <c r="A3" s="24" t="inlineStr">
        <is>
          <t>1. Al cerrar cada sesión de Claude Code o cada entregable: cambia el Estado en la hoja Tareas (desplegable) y anota fecha y evidencia (commit, PR, demo).</t>
        </is>
      </c>
    </row>
    <row r="4" ht="23.85" customHeight="1" s="13">
      <c r="A4" s="24" t="inlineStr">
        <is>
          <t>2. Estados: Pendiente → En curso → Hecha (el ejecutor terminó) → Verificada (Iván o el gate lo validó). Bloqueada exige nota en Evidencia.</t>
        </is>
      </c>
    </row>
    <row r="5" ht="15" customHeight="1" s="13">
      <c r="A5" s="24" t="inlineStr">
        <is>
          <t>3. El Dashboard calcula el % de avance por sprint automáticamente (fórmulas COUNTIF sobre Tareas).</t>
        </is>
      </c>
    </row>
    <row r="6" ht="15" customHeight="1" s="13">
      <c r="A6" s="24" t="inlineStr">
        <is>
          <t>4. Gates: solo el aprobador nombrado cambia el estado a Aprobado, con fecha.</t>
        </is>
      </c>
    </row>
    <row r="7" ht="15" customHeight="1" s="13">
      <c r="A7" s="24" t="inlineStr">
        <is>
          <t>5. DoD: los 12 puntos deben estar 'Cumplido' antes del gate G5 (más el punto 6 actualizado a 30 eventos por CR-001).</t>
        </is>
      </c>
    </row>
    <row r="8" ht="15" customHeight="1" s="13">
      <c r="A8" s="24" t="inlineStr">
        <is>
          <t>6. CRs: NINGÚN cambio de alcance se construye sin fila aquí y aprobación del CEO (lección de la auditoría).</t>
        </is>
      </c>
    </row>
    <row r="9" ht="15" customHeight="1" s="13">
      <c r="A9" s="24" t="inlineStr">
        <is>
          <t>7. Este archivo vive en docs/ del repo y se versiona con git: commit al final de cada semana como mínimo.</t>
        </is>
      </c>
    </row>
    <row r="10" ht="15" customHeight="1" s="13">
      <c r="A10" s="24" t="inlineStr">
        <is>
          <t>Celdas editables: columnas Estado, Fecha cierre y Evidencia (Tareas); Estado y Fecha (Gates, DoD); filas nuevas en CRs.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2026-07-18T16:46:58Z</dcterms:created>
  <dcterms:modified xmlns:dcterms="http://purl.org/dc/terms/" xmlns:xsi="http://www.w3.org/2001/XMLSchema-instance" xsi:type="dcterms:W3CDTF">2026-07-23T19:33:51Z</dcterms:modified>
  <cp:revision>0</cp:revision>
</cp:coreProperties>
</file>