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Dashboard" sheetId="1" state="visible" r:id="rId1"/>
    <sheet xmlns:r="http://schemas.openxmlformats.org/officeDocument/2006/relationships" name="Tareas" sheetId="2" state="visible" r:id="rId2"/>
    <sheet xmlns:r="http://schemas.openxmlformats.org/officeDocument/2006/relationships" name="Gates" sheetId="3" state="visible" r:id="rId3"/>
    <sheet xmlns:r="http://schemas.openxmlformats.org/officeDocument/2006/relationships" name="DoD" sheetId="4" state="visible" r:id="rId4"/>
    <sheet xmlns:r="http://schemas.openxmlformats.org/officeDocument/2006/relationships" name="CRs" sheetId="5" state="visible" r:id="rId5"/>
    <sheet xmlns:r="http://schemas.openxmlformats.org/officeDocument/2006/relationships" name="Leyenda" sheetId="6" state="visible" r:id="rId6"/>
  </sheets>
  <definedNames>
    <definedName name="_xlnm._FilterDatabase" localSheetId="1" hidden="1">'Tareas'!$A$1:$I$37</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1F4E79"/>
      <sz val="16"/>
    </font>
    <font>
      <name val="Arial"/>
      <charset val="1"/>
      <family val="0"/>
      <i val="1"/>
      <sz val="10"/>
    </font>
    <font>
      <name val="Arial"/>
      <charset val="1"/>
      <family val="0"/>
      <b val="1"/>
      <sz val="11"/>
    </font>
    <font>
      <name val="Arial"/>
      <charset val="1"/>
      <family val="0"/>
      <b val="1"/>
      <color rgb="FFFFFFFF"/>
      <sz val="10"/>
    </font>
    <font>
      <name val="Arial"/>
      <charset val="1"/>
      <family val="0"/>
      <sz val="10"/>
    </font>
    <font>
      <name val="Arial"/>
      <charset val="1"/>
      <family val="0"/>
      <b val="1"/>
      <color rgb="FF1F4E79"/>
      <sz val="13"/>
    </font>
  </fonts>
  <fills count="4">
    <fill>
      <patternFill/>
    </fill>
    <fill>
      <patternFill patternType="gray125"/>
    </fill>
    <fill>
      <patternFill patternType="solid">
        <fgColor rgb="FF1F4E79"/>
        <bgColor rgb="FF003366"/>
      </patternFill>
    </fill>
    <fill>
      <patternFill patternType="solid">
        <fgColor rgb="FFFFF2CC"/>
        <bgColor rgb="FFFFFFFF"/>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1F4E79"/>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D20"/>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4" customWidth="1" style="12" min="1" max="1"/>
    <col width="10" customWidth="1" style="12" min="2" max="2"/>
    <col width="26" customWidth="1" style="12" min="3" max="3"/>
    <col width="10" customWidth="1" style="12" min="4" max="4"/>
  </cols>
  <sheetData>
    <row r="1" ht="19.7" customHeight="1" s="13">
      <c r="A1" s="14" t="inlineStr">
        <is>
          <t>COMPAS — Control de Desarrollo</t>
        </is>
      </c>
    </row>
    <row r="2" ht="15" customHeight="1" s="13">
      <c r="A2" s="15" t="inlineStr">
        <is>
          <t>Baseline v1.1.2 + CR-001 · Certificado GO 9.3/10 · Go-live: 10 semanas</t>
        </is>
      </c>
    </row>
    <row r="4" ht="15" customHeight="1" s="13">
      <c r="A4" s="16" t="inlineStr">
        <is>
          <t>Avance por sprint (se actualiza solo al cambiar Estado en la hoja Tareas)</t>
        </is>
      </c>
    </row>
    <row r="6" ht="15" customHeight="1" s="13">
      <c r="A6" s="17" t="inlineStr">
        <is>
          <t>Sprint</t>
        </is>
      </c>
      <c r="B6" s="17" t="inlineStr">
        <is>
          <t>Tareas</t>
        </is>
      </c>
      <c r="C6" s="17" t="inlineStr">
        <is>
          <t>Cerradas (Hecha+Verificada)</t>
        </is>
      </c>
      <c r="D6" s="17" t="inlineStr">
        <is>
          <t>% Avance</t>
        </is>
      </c>
    </row>
    <row r="7" ht="15" customHeight="1" s="13">
      <c r="A7" s="18" t="inlineStr">
        <is>
          <t>Sprint 0</t>
        </is>
      </c>
      <c r="B7" s="18">
        <f>COUNTIF(Tareas!B:B,A7)</f>
        <v/>
      </c>
      <c r="C7" s="18">
        <f>COUNTIFS(Tareas!B:B,A7,Tareas!F:F,"Hecha")+COUNTIFS(Tareas!B:B,A7,Tareas!F:F,"Verificada")</f>
        <v/>
      </c>
      <c r="D7" s="19">
        <f>IF(B7=0,0,C7/B7)</f>
        <v/>
      </c>
    </row>
    <row r="8" ht="15" customHeight="1" s="13">
      <c r="A8" s="18" t="inlineStr">
        <is>
          <t>Sprint 0b</t>
        </is>
      </c>
      <c r="B8" s="18">
        <f>COUNTIF(Tareas!B:B,A8)</f>
        <v/>
      </c>
      <c r="C8" s="18">
        <f>COUNTIFS(Tareas!B:B,A8,Tareas!F:F,"Hecha")+COUNTIFS(Tareas!B:B,A8,Tareas!F:F,"Verificada")</f>
        <v/>
      </c>
      <c r="D8" s="19">
        <f>IF(B8=0,0,C8/B8)</f>
        <v/>
      </c>
    </row>
    <row r="9" ht="15" customHeight="1" s="13">
      <c r="A9" s="18" t="inlineStr">
        <is>
          <t>Sprint 1</t>
        </is>
      </c>
      <c r="B9" s="18">
        <f>COUNTIF(Tareas!B:B,A9)</f>
        <v/>
      </c>
      <c r="C9" s="18">
        <f>COUNTIFS(Tareas!B:B,A9,Tareas!F:F,"Hecha")+COUNTIFS(Tareas!B:B,A9,Tareas!F:F,"Verificada")</f>
        <v/>
      </c>
      <c r="D9" s="19">
        <f>IF(B9=0,0,C9/B9)</f>
        <v/>
      </c>
    </row>
    <row r="10" ht="15" customHeight="1" s="13">
      <c r="A10" s="18" t="inlineStr">
        <is>
          <t>Sprint 2</t>
        </is>
      </c>
      <c r="B10" s="18">
        <f>COUNTIF(Tareas!B:B,A10)</f>
        <v/>
      </c>
      <c r="C10" s="18">
        <f>COUNTIFS(Tareas!B:B,A10,Tareas!F:F,"Hecha")+COUNTIFS(Tareas!B:B,A10,Tareas!F:F,"Verificada")</f>
        <v/>
      </c>
      <c r="D10" s="19">
        <f>IF(B10=0,0,C10/B10)</f>
        <v/>
      </c>
    </row>
    <row r="11" ht="15" customHeight="1" s="13">
      <c r="A11" s="18" t="inlineStr">
        <is>
          <t>Sprint 3</t>
        </is>
      </c>
      <c r="B11" s="18">
        <f>COUNTIF(Tareas!B:B,A11)</f>
        <v/>
      </c>
      <c r="C11" s="18">
        <f>COUNTIFS(Tareas!B:B,A11,Tareas!F:F,"Hecha")+COUNTIFS(Tareas!B:B,A11,Tareas!F:F,"Verificada")</f>
        <v/>
      </c>
      <c r="D11" s="19">
        <f>IF(B11=0,0,C11/B11)</f>
        <v/>
      </c>
    </row>
    <row r="12" ht="15" customHeight="1" s="13">
      <c r="A12" s="18" t="inlineStr">
        <is>
          <t>Sprint 4</t>
        </is>
      </c>
      <c r="B12" s="18">
        <f>COUNTIF(Tareas!B:B,A12)</f>
        <v/>
      </c>
      <c r="C12" s="18">
        <f>COUNTIFS(Tareas!B:B,A12,Tareas!F:F,"Hecha")+COUNTIFS(Tareas!B:B,A12,Tareas!F:F,"Verificada")</f>
        <v/>
      </c>
      <c r="D12" s="19">
        <f>IF(B12=0,0,C12/B12)</f>
        <v/>
      </c>
    </row>
    <row r="13" ht="15" customHeight="1" s="13">
      <c r="A13" s="18" t="inlineStr">
        <is>
          <t>Sprint 5</t>
        </is>
      </c>
      <c r="B13" s="18">
        <f>COUNTIF(Tareas!B:B,A13)</f>
        <v/>
      </c>
      <c r="C13" s="18">
        <f>COUNTIFS(Tareas!B:B,A13,Tareas!F:F,"Hecha")+COUNTIFS(Tareas!B:B,A13,Tareas!F:F,"Verificada")</f>
        <v/>
      </c>
      <c r="D13" s="19">
        <f>IF(B13=0,0,C13/B13)</f>
        <v/>
      </c>
    </row>
    <row r="14" ht="15" customHeight="1" s="13">
      <c r="A14" s="18" t="inlineStr">
        <is>
          <t>Sprint 6a</t>
        </is>
      </c>
      <c r="B14" s="18">
        <f>COUNTIF(Tareas!B:B,A14)</f>
        <v/>
      </c>
      <c r="C14" s="18">
        <f>COUNTIFS(Tareas!B:B,A14,Tareas!F:F,"Hecha")+COUNTIFS(Tareas!B:B,A14,Tareas!F:F,"Verificada")</f>
        <v/>
      </c>
      <c r="D14" s="19">
        <f>IF(B14=0,0,C14/B14)</f>
        <v/>
      </c>
    </row>
    <row r="15" ht="15" customHeight="1" s="13">
      <c r="A15" s="18" t="inlineStr">
        <is>
          <t>Sprint 6b</t>
        </is>
      </c>
      <c r="B15" s="18">
        <f>COUNTIF(Tareas!B:B,A15)</f>
        <v/>
      </c>
      <c r="C15" s="18">
        <f>COUNTIFS(Tareas!B:B,A15,Tareas!F:F,"Hecha")+COUNTIFS(Tareas!B:B,A15,Tareas!F:F,"Verificada")</f>
        <v/>
      </c>
      <c r="D15" s="19">
        <f>IF(B15=0,0,C15/B15)</f>
        <v/>
      </c>
    </row>
    <row r="16" ht="15" customHeight="1" s="13">
      <c r="A16" s="18" t="inlineStr">
        <is>
          <t>Sprint 7</t>
        </is>
      </c>
      <c r="B16" s="18">
        <f>COUNTIF(Tareas!B:B,A16)</f>
        <v/>
      </c>
      <c r="C16" s="18">
        <f>COUNTIFS(Tareas!B:B,A16,Tareas!F:F,"Hecha")+COUNTIFS(Tareas!B:B,A16,Tareas!F:F,"Verificada")</f>
        <v/>
      </c>
      <c r="D16" s="19">
        <f>IF(B16=0,0,C16/B16)</f>
        <v/>
      </c>
    </row>
    <row r="17" ht="15" customHeight="1" s="13">
      <c r="A17" s="18" t="inlineStr">
        <is>
          <t>Sprint 8</t>
        </is>
      </c>
      <c r="B17" s="18">
        <f>COUNTIF(Tareas!B:B,A17)</f>
        <v/>
      </c>
      <c r="C17" s="18">
        <f>COUNTIFS(Tareas!B:B,A17,Tareas!F:F,"Hecha")+COUNTIFS(Tareas!B:B,A17,Tareas!F:F,"Verificada")</f>
        <v/>
      </c>
      <c r="D17" s="19">
        <f>IF(B17=0,0,C17/B17)</f>
        <v/>
      </c>
    </row>
    <row r="18" ht="15" customHeight="1" s="13">
      <c r="A18" s="18" t="inlineStr">
        <is>
          <t>Post-plan</t>
        </is>
      </c>
      <c r="B18" s="18">
        <f>COUNTIF(Tareas!B:B,A18)</f>
        <v/>
      </c>
      <c r="C18" s="18">
        <f>COUNTIFS(Tareas!B:B,A18,Tareas!F:F,"Hecha")+COUNTIFS(Tareas!B:B,A18,Tareas!F:F,"Verificada")</f>
        <v/>
      </c>
      <c r="D18" s="19">
        <f>IF(B18=0,0,C18/B18)</f>
        <v/>
      </c>
    </row>
    <row r="19" ht="15" customHeight="1" s="13">
      <c r="A19" s="18" t="inlineStr">
        <is>
          <t>Externos</t>
        </is>
      </c>
      <c r="B19" s="18">
        <f>COUNTIF(Tareas!B:B,A19)</f>
        <v/>
      </c>
      <c r="C19" s="18">
        <f>COUNTIFS(Tareas!B:B,A19,Tareas!F:F,"Hecha")+COUNTIFS(Tareas!B:B,A19,Tareas!F:F,"Verificada")</f>
        <v/>
      </c>
      <c r="D19" s="19">
        <f>IF(B19=0,0,C19/B19)</f>
        <v/>
      </c>
    </row>
    <row r="20" ht="15" customHeight="1" s="13">
      <c r="A20" s="20" t="inlineStr">
        <is>
          <t>TOTAL</t>
        </is>
      </c>
      <c r="B20" s="20">
        <f>SUM(B7:B19)</f>
        <v/>
      </c>
      <c r="C20" s="20">
        <f>SUM(C7:C19)</f>
        <v/>
      </c>
      <c r="D20" s="21">
        <f>IF(B20=0,0,C20/B20)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8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2" min="1" max="1"/>
    <col width="10" customWidth="1" style="12" min="2" max="2"/>
    <col width="8" customWidth="1" style="12" min="3" max="3"/>
    <col width="62" customWidth="1" style="12" min="4" max="4"/>
    <col width="18" customWidth="1" style="12" min="5" max="5"/>
    <col width="12" customWidth="1" style="12" min="6" max="7"/>
    <col width="30" customWidth="1" style="12" min="8" max="8"/>
    <col width="9" customWidth="1" style="12" min="9" max="9"/>
  </cols>
  <sheetData>
    <row r="1" ht="23.85" customHeight="1" s="13">
      <c r="A1" s="17" t="inlineStr">
        <is>
          <t>ID</t>
        </is>
      </c>
      <c r="B1" s="17" t="inlineStr">
        <is>
          <t>Sprint</t>
        </is>
      </c>
      <c r="C1" s="17" t="inlineStr">
        <is>
          <t>Semana</t>
        </is>
      </c>
      <c r="D1" s="17" t="inlineStr">
        <is>
          <t>Tarea / Entregable</t>
        </is>
      </c>
      <c r="E1" s="17" t="inlineStr">
        <is>
          <t>Responsable</t>
        </is>
      </c>
      <c r="F1" s="17" t="inlineStr">
        <is>
          <t>Estado</t>
        </is>
      </c>
      <c r="G1" s="17" t="inlineStr">
        <is>
          <t>Fecha cierre</t>
        </is>
      </c>
      <c r="H1" s="17" t="inlineStr">
        <is>
          <t>Evidencia / Nota</t>
        </is>
      </c>
      <c r="I1" s="17" t="inlineStr">
        <is>
          <t>Gate-DoD</t>
        </is>
      </c>
    </row>
    <row r="2" ht="23.85" customHeight="1" s="13">
      <c r="A2" s="18" t="inlineStr">
        <is>
          <t>S0-01</t>
        </is>
      </c>
      <c r="B2" s="18" t="inlineStr">
        <is>
          <t>Sprint 0</t>
        </is>
      </c>
      <c r="C2" s="18" t="inlineStr">
        <is>
          <t>1</t>
        </is>
      </c>
      <c r="D2" s="22" t="inlineStr">
        <is>
          <t>Repo GitHub creado (RoddosCol/compas, rama main) con baseline documental v1.1.2 + CR-001</t>
        </is>
      </c>
      <c r="E2" s="18" t="inlineStr">
        <is>
          <t>Andrés</t>
        </is>
      </c>
      <c r="F2" s="18" t="inlineStr">
        <is>
          <t>Hecha</t>
        </is>
      </c>
      <c r="G2" s="18" t="inlineStr">
        <is>
          <t>2026-07-18</t>
        </is>
      </c>
      <c r="H2" s="22" t="inlineStr">
        <is>
          <t>Commit eb34afe pushed</t>
        </is>
      </c>
      <c r="I2" s="18" t="n"/>
    </row>
    <row r="3" ht="15" customHeight="1" s="13">
      <c r="A3" s="18" t="inlineStr">
        <is>
          <t>S0-02</t>
        </is>
      </c>
      <c r="B3" s="18" t="inlineStr">
        <is>
          <t>Sprint 0</t>
        </is>
      </c>
      <c r="C3" s="18" t="inlineStr">
        <is>
          <t>1</t>
        </is>
      </c>
      <c r="D3" s="22" t="inlineStr">
        <is>
          <t>Claude Code instalado y autenticado (v2.1.214)</t>
        </is>
      </c>
      <c r="E3" s="18" t="inlineStr">
        <is>
          <t>Andrés</t>
        </is>
      </c>
      <c r="F3" s="18" t="inlineStr">
        <is>
          <t>Hecha</t>
        </is>
      </c>
      <c r="G3" s="18" t="inlineStr">
        <is>
          <t>2026-07-18</t>
        </is>
      </c>
      <c r="H3" s="22" t="inlineStr">
        <is>
          <t>install.ps1 nativo Windows</t>
        </is>
      </c>
      <c r="I3" s="18" t="n"/>
    </row>
    <row r="4" ht="35.05" customHeight="1" s="13">
      <c r="A4" s="18" t="inlineStr">
        <is>
          <t>S0-03</t>
        </is>
      </c>
      <c r="B4" s="18" t="inlineStr">
        <is>
          <t>Sprint 0</t>
        </is>
      </c>
      <c r="C4" s="18" t="inlineStr">
        <is>
          <t>1</t>
        </is>
      </c>
      <c r="D4" s="22" t="inlineStr">
        <is>
          <t>Sesión 1: esqueleto backend FastAPI (app/, Settings, /health, Beanie, RUN_SCHEDULER condicional) + esqueleto frontend (Vite+React+TS+Tailwind+shadcn) con tests verdes</t>
        </is>
      </c>
      <c r="E4" s="18" t="inlineStr">
        <is>
          <t>Claude Code + Andrés</t>
        </is>
      </c>
      <c r="F4" s="18" t="inlineStr">
        <is>
          <t>Hecha</t>
        </is>
      </c>
      <c r="G4" s="18" t="inlineStr">
        <is>
          <t>2026-07-18</t>
        </is>
      </c>
      <c r="H4" s="22" t="inlineStr">
        <is>
          <t>Commit 61048ac — esqueleto backend+frontend verde (pytest 9/1skip, build+vitest 3/3, npm audit 0 vulns)</t>
        </is>
      </c>
      <c r="I4" s="18" t="n"/>
    </row>
    <row r="5" ht="35.05" customHeight="1" s="13">
      <c r="A5" s="18" t="inlineStr">
        <is>
          <t>S0-04</t>
        </is>
      </c>
      <c r="B5" s="18" t="inlineStr">
        <is>
          <t>Sprint 0</t>
        </is>
      </c>
      <c r="C5" s="18" t="inlineStr">
        <is>
          <t>1</t>
        </is>
      </c>
      <c r="D5" s="22" t="inlineStr">
        <is>
          <t>Sesión 2: portar de SISMO auth JWT (token_version, logout/denylist, rotación refresh), RBAC 4 roles, audit_log append-only + test CI de inmutabilidad + docs/PORTADO_DE_SISMO.md</t>
        </is>
      </c>
      <c r="E5" s="18" t="inlineStr">
        <is>
          <t>Claude Code + Andrés</t>
        </is>
      </c>
      <c r="F5" s="18" t="inlineStr">
        <is>
          <t>Hecha</t>
        </is>
      </c>
      <c r="G5" s="18" t="inlineStr">
        <is>
          <t>2026-07-19</t>
        </is>
      </c>
      <c r="H5" s="22" t="inlineStr">
        <is>
          <t>SESIÓN 2 COMPLETA (audit→auth→RBAC), 3/3 PRs GO por Kimi: PR-1 9.2, PR-2 9.3, PR-3 9.5 (+ gate PLAN 9.1). Commit 6a6ef63. pytest 80/6skip, ruff limpio.</t>
        </is>
      </c>
      <c r="I5" s="18" t="inlineStr">
        <is>
          <t>G1</t>
        </is>
      </c>
    </row>
    <row r="6" ht="23.85" customHeight="1" s="13">
      <c r="A6" s="18" t="inlineStr">
        <is>
          <t>S0-05</t>
        </is>
      </c>
      <c r="B6" s="18" t="inlineStr">
        <is>
          <t>Sprint 0</t>
        </is>
      </c>
      <c r="C6" s="18" t="inlineStr">
        <is>
          <t>1</t>
        </is>
      </c>
      <c r="D6" s="22" t="inlineStr">
        <is>
          <t>Sesión 3: CI/CD GitHub Actions (lint+tests+build+pip-audit+gitleaks bloqueantes; main→staging; tag→production con reviewer) + Dependabot</t>
        </is>
      </c>
      <c r="E6" s="18" t="inlineStr">
        <is>
          <t>Claude Code + Andrés</t>
        </is>
      </c>
      <c r="F6" s="18" t="inlineStr">
        <is>
          <t>Hecha</t>
        </is>
      </c>
      <c r="G6" s="18" t="inlineStr">
        <is>
          <t>2026-07-20</t>
        </is>
      </c>
      <c r="H6" s="22" t="inlineStr">
        <is>
          <t>PR #6 merge 3a1536d; CI 5 jobs verdes (run 29771391813); Kimi PR-I GO 9.5; DoD #8</t>
        </is>
      </c>
      <c r="I6" s="18" t="inlineStr">
        <is>
          <t>G1</t>
        </is>
      </c>
    </row>
    <row r="7" ht="35.05" customHeight="1" s="13">
      <c r="A7" s="18" t="inlineStr">
        <is>
          <t>S0-06</t>
        </is>
      </c>
      <c r="B7" s="18" t="inlineStr">
        <is>
          <t>Sprint 0</t>
        </is>
      </c>
      <c r="C7" s="18" t="inlineStr">
        <is>
          <t>1</t>
        </is>
      </c>
      <c r="D7" s="22" t="inlineStr">
        <is>
          <t>Aprovisionamiento manual (RUNBOOK §1-§7): Atlas database compas + usuario, render.yaml aplicado, Vercel, Cloudflare DNS, S3 IAM + bucket compas-archivo (Object Lock) + CRR, Sentry, Better Stack + 8 heartbeats</t>
        </is>
      </c>
      <c r="E7" s="18" t="inlineStr">
        <is>
          <t>Andrés</t>
        </is>
      </c>
      <c r="F7" s="18" t="inlineStr">
        <is>
          <t>Hecha</t>
        </is>
      </c>
      <c r="G7" s="18" t="inlineStr">
        <is>
          <t>2026-07-20</t>
        </is>
      </c>
      <c r="H7" s="22" t="inlineStr">
        <is>
          <t>Atlas aprovisionado: compas en cluster SISMO-V3, compas_app + audit_writer/compas_audit (UI; driver bloqueado por Atlas), índices+semillas verificados. Render/S3: pendientes aparte.</t>
        </is>
      </c>
      <c r="I7" s="18" t="n"/>
    </row>
    <row r="8" ht="23.85" customHeight="1" s="13">
      <c r="A8" s="18" t="inlineStr">
        <is>
          <t>S0-07</t>
        </is>
      </c>
      <c r="B8" s="18" t="inlineStr">
        <is>
          <t>Sprint 0</t>
        </is>
      </c>
      <c r="C8" s="18" t="inlineStr">
        <is>
          <t>1</t>
        </is>
      </c>
      <c r="D8" s="22" t="inlineStr">
        <is>
          <t>Secretos cargados por entorno (RUNBOOK §8) — acceso solo Andrés + Iván</t>
        </is>
      </c>
      <c r="E8" s="18" t="inlineStr">
        <is>
          <t>Andrés</t>
        </is>
      </c>
      <c r="F8" s="18" t="inlineStr">
        <is>
          <t>Hecha</t>
        </is>
      </c>
      <c r="G8" s="18" t="inlineStr">
        <is>
          <t>2026-07-20</t>
        </is>
      </c>
      <c r="H8" s="22" t="inlineStr">
        <is>
          <t>4 secretos cargados en Render (URI_COMPAS/URI_AUDIT/JWT/MFA_ENC_KEY). API LIVE: https://compas-api-von1.onrender.com — /health/ready 200 {ready, mongo up, beanie ready}; cabeceras DoD #12 verificadas.</t>
        </is>
      </c>
      <c r="I8" s="18" t="n"/>
    </row>
    <row r="9" ht="35.05" customHeight="1" s="13">
      <c r="A9" s="18" t="inlineStr">
        <is>
          <t>S0B-01</t>
        </is>
      </c>
      <c r="B9" s="18" t="inlineStr">
        <is>
          <t>Sprint 0b</t>
        </is>
      </c>
      <c r="C9" s="18" t="inlineStr">
        <is>
          <t>1</t>
        </is>
      </c>
      <c r="D9" s="22" t="inlineStr">
        <is>
          <t>Sesión 4: Rubro (semilla 5 grupos del Excel), MesControl, Configuracion (CALENDARIO_DIAN cargado: 13-may-26 / 10-sep-26 / 14-ene-27), audit log 30 eventos</t>
        </is>
      </c>
      <c r="E9" s="18" t="inlineStr">
        <is>
          <t>Claude Code + Andrés</t>
        </is>
      </c>
      <c r="F9" s="18" t="inlineStr">
        <is>
          <t>Hecha</t>
        </is>
      </c>
      <c r="G9" s="18" t="inlineStr">
        <is>
          <t>2026-07-19</t>
        </is>
      </c>
      <c r="H9" s="22" t="inlineStr">
        <is>
          <t>PR-1 GO Kimi 9.4 (commit 203e23f). Dominio Rubro+semilla real 32 rubros, MesControl, Configuracion tipada, init_beanie no-fatal. 133 tests verdes, ruff limpio. B-2 aplicada.</t>
        </is>
      </c>
      <c r="I9" s="18" t="n"/>
    </row>
    <row r="10" ht="15" customHeight="1" s="13">
      <c r="A10" s="18" t="inlineStr">
        <is>
          <t>S0B-02</t>
        </is>
      </c>
      <c r="B10" s="18" t="inlineStr">
        <is>
          <t>Sprint 0b</t>
        </is>
      </c>
      <c r="C10" s="18" t="inlineStr">
        <is>
          <t>1</t>
        </is>
      </c>
      <c r="D10" s="22" t="inlineStr">
        <is>
          <t>MFA TOTP para admin (movida de S0, nit 4)</t>
        </is>
      </c>
      <c r="E10" s="18" t="inlineStr">
        <is>
          <t>Claude Code + Andrés</t>
        </is>
      </c>
      <c r="F10" s="18" t="inlineStr">
        <is>
          <t>Hecha</t>
        </is>
      </c>
      <c r="G10" s="18" t="inlineStr">
        <is>
          <t>2026-07-19</t>
        </is>
      </c>
      <c r="H10" s="22" t="inlineStr">
        <is>
          <t>PR-2 GO Kimi R-PR2 (fix f625f65). MFA TOTP+step-up+respaldo+HIBP+reset, login 2 pasos, challenge un-solo-uso, cifrado en reposo. Cierra DoD #11. 166 tests verdes.</t>
        </is>
      </c>
      <c r="I10" s="18" t="inlineStr">
        <is>
          <t>G1</t>
        </is>
      </c>
    </row>
    <row r="11" ht="15" customHeight="1" s="13">
      <c r="A11" s="18" t="inlineStr">
        <is>
          <t>S0B-03</t>
        </is>
      </c>
      <c r="B11" s="18" t="inlineStr">
        <is>
          <t>Sprint 0b</t>
        </is>
      </c>
      <c r="C11" s="18" t="inlineStr">
        <is>
          <t>1</t>
        </is>
      </c>
      <c r="D11" s="22" t="inlineStr">
        <is>
          <t>Checklist §9 del RUNBOOK completo con evidencias</t>
        </is>
      </c>
      <c r="E11" s="18" t="inlineStr">
        <is>
          <t>Andrés</t>
        </is>
      </c>
      <c r="F11" s="18" t="inlineStr">
        <is>
          <t>Hecha</t>
        </is>
      </c>
      <c r="G11" s="18" t="inlineStr">
        <is>
          <t>2026-07-20</t>
        </is>
      </c>
      <c r="H11" s="22" t="inlineStr">
        <is>
          <t>Bloque C ejecutado: C1/C3/C4/C6/C7 con evidencia; C2 sustituido (entorno único, decisión CEO); C5 diferido a pre-carga-real (guardrail M-04). Paquete G1-R generado.</t>
        </is>
      </c>
      <c r="I11" s="18" t="n"/>
    </row>
    <row r="12" ht="23.85" customHeight="1" s="13">
      <c r="A12" s="18" t="inlineStr">
        <is>
          <t>S0B-04</t>
        </is>
      </c>
      <c r="B12" s="18" t="inlineStr">
        <is>
          <t>Sprint 0b</t>
        </is>
      </c>
      <c r="C12" s="18" t="inlineStr">
        <is>
          <t>1</t>
        </is>
      </c>
      <c r="D12" s="22" t="inlineStr">
        <is>
          <t>GATE G1 (BLOQUEANTE): checklist de seguridad aprobado por CEO Andres + evidencia adversarial Kimi &gt;=9.0 (aprobador != ejecutor via CR-003; Ivan derogado)</t>
        </is>
      </c>
      <c r="E12" s="18" t="inlineStr">
        <is>
          <t>CEO Andres</t>
        </is>
      </c>
      <c r="F12" s="18" t="inlineStr">
        <is>
          <t>Hecha</t>
        </is>
      </c>
      <c r="G12" s="18" t="inlineStr">
        <is>
          <t>2026-07-20</t>
        </is>
      </c>
      <c r="H12" s="22" t="inlineStr">
        <is>
          <t>GATE G1 GO 9.4 (G1-R) + aprobación CEO. SPRINT 0 CERRADO. Certificado en planning/phases/gate-g1/auditorias/G1-R/.</t>
        </is>
      </c>
      <c r="I12" s="18" t="inlineStr">
        <is>
          <t>G1</t>
        </is>
      </c>
    </row>
    <row r="13" ht="23.85" customHeight="1" s="13">
      <c r="A13" s="18" t="inlineStr">
        <is>
          <t>S1-01</t>
        </is>
      </c>
      <c r="B13" s="18" t="inlineStr">
        <is>
          <t>Sprint 1</t>
        </is>
      </c>
      <c r="C13" s="18" t="inlineStr">
        <is>
          <t>2</t>
        </is>
      </c>
      <c r="D13" s="22" t="inlineStr">
        <is>
          <t>Fixtures reales entregados y anonimizados (Bancolombia, BBVA, Global66 — los del proyecto + SISMO v2); layouts congelados (primer entregable)</t>
        </is>
      </c>
      <c r="E13" s="18" t="inlineStr">
        <is>
          <t>Andrés + Financiero</t>
        </is>
      </c>
      <c r="F13" s="18" t="inlineStr">
        <is>
          <t>Pendiente</t>
        </is>
      </c>
      <c r="G13" s="18" t="n"/>
      <c r="H13" s="22" t="inlineStr">
        <is>
          <t>Global66 ya en el proyecto</t>
        </is>
      </c>
      <c r="I13" s="18" t="n"/>
    </row>
    <row r="14" ht="35.05" customHeight="1" s="13">
      <c r="A14" s="18" t="inlineStr">
        <is>
          <t>S1-02</t>
        </is>
      </c>
      <c r="B14" s="18" t="inlineStr">
        <is>
          <t>Sprint 1</t>
        </is>
      </c>
      <c r="C14" s="18" t="inlineStr">
        <is>
          <t>2</t>
        </is>
      </c>
      <c r="D14" s="22" t="inlineStr">
        <is>
          <t>Parser Bancolombia → esquema canónico + deduplicación (índice parcial, manuales MAN-) + pantalla de cargas con ciclo de vida (fallida/reaper/reproceso) + POST manual (US-03, US-09)</t>
        </is>
      </c>
      <c r="E14" s="18" t="inlineStr">
        <is>
          <t>Claude Code + Andrés</t>
        </is>
      </c>
      <c r="F14" s="18" t="inlineStr">
        <is>
          <t>Hecha</t>
        </is>
      </c>
      <c r="G14" s="18" t="inlineStr">
        <is>
          <t>2026-07-20</t>
        </is>
      </c>
      <c r="H14" s="22" t="inlineStr">
        <is>
          <t>GO Kimi R-PR1 9.3; merge 72034a0. Parser Bancolombia (esquema canónico, 16 tests).</t>
        </is>
      </c>
      <c r="I14" s="18" t="n"/>
    </row>
    <row r="15" ht="23.85" customHeight="1" s="13">
      <c r="A15" s="18" t="inlineStr">
        <is>
          <t>S2-01</t>
        </is>
      </c>
      <c r="B15" s="18" t="inlineStr">
        <is>
          <t>Sprint 2</t>
        </is>
      </c>
      <c r="C15" s="18" t="inlineStr">
        <is>
          <t>3</t>
        </is>
      </c>
      <c r="D15" s="22" t="inlineStr">
        <is>
          <t>Parsers BBVA y Global66 (moneda original + tasa) + reglas de clasificación + pantalla Por clasificar</t>
        </is>
      </c>
      <c r="E15" s="18" t="inlineStr">
        <is>
          <t>Claude Code + Andrés</t>
        </is>
      </c>
      <c r="F15" s="18" t="inlineStr">
        <is>
          <t>Hecha</t>
        </is>
      </c>
      <c r="G15" s="18" t="inlineStr">
        <is>
          <t>2026-07-20</t>
        </is>
      </c>
      <c r="H15" s="22" t="inlineStr">
        <is>
          <t>GO Kimi R-PR1 9.3; merge 72034a0. Parsers BBVA+Global66 (moneda/tasa/FX).</t>
        </is>
      </c>
      <c r="I15" s="18" t="inlineStr">
        <is>
          <t>G2</t>
        </is>
      </c>
    </row>
    <row r="16" ht="23.85" customHeight="1" s="13">
      <c r="A16" s="18" t="inlineStr">
        <is>
          <t>S2-02</t>
        </is>
      </c>
      <c r="B16" s="18" t="inlineStr">
        <is>
          <t>Sprint 2</t>
        </is>
      </c>
      <c r="C16" s="18" t="inlineStr">
        <is>
          <t>3</t>
        </is>
      </c>
      <c r="D16" s="22" t="inlineStr">
        <is>
          <t>MINI-MIGRACIÓN: bases reales mar–jul del Excel congelado, cargadas y clasificadas, cuadradas</t>
        </is>
      </c>
      <c r="E16" s="18" t="inlineStr">
        <is>
          <t>Claude Code + Financiero</t>
        </is>
      </c>
      <c r="F16" s="18" t="inlineStr">
        <is>
          <t>Pendiente</t>
        </is>
      </c>
      <c r="G16" s="18" t="n"/>
      <c r="H16" s="22" t="n"/>
      <c r="I16" s="18" t="inlineStr">
        <is>
          <t>G2</t>
        </is>
      </c>
    </row>
    <row r="17" ht="15" customHeight="1" s="13">
      <c r="A17" s="18" t="inlineStr">
        <is>
          <t>S2-03</t>
        </is>
      </c>
      <c r="B17" s="18" t="inlineStr">
        <is>
          <t>Sprint 2</t>
        </is>
      </c>
      <c r="C17" s="18" t="inlineStr">
        <is>
          <t>3</t>
        </is>
      </c>
      <c r="D17" s="22" t="inlineStr">
        <is>
          <t>Wireframes navbar + vista Presupuesto (elabora Tech Lead, aprueba CEO)</t>
        </is>
      </c>
      <c r="E17" s="18" t="inlineStr">
        <is>
          <t>Andrés</t>
        </is>
      </c>
      <c r="F17" s="18" t="inlineStr">
        <is>
          <t>Hecha</t>
        </is>
      </c>
      <c r="G17" s="18" t="inlineStr">
        <is>
          <t>2026-07-23</t>
        </is>
      </c>
      <c r="H17" s="22" t="inlineStr">
        <is>
          <t>Superada por el producto vivo: navbar (derivado de capabilities) + pantallas Meses (S3-04), Cargas (S2-07), Categorias (S4-08), Reglas (S5-03) y Control construidas, aprobadas por el CEO en uso. El wireframe como artefacto previo quedó absorbido por las pantallas reales</t>
        </is>
      </c>
      <c r="I17" s="18" t="inlineStr">
        <is>
          <t>G2</t>
        </is>
      </c>
    </row>
    <row r="18" ht="15" customHeight="1" s="13">
      <c r="A18" s="18" t="inlineStr">
        <is>
          <t>S2-04</t>
        </is>
      </c>
      <c r="B18" s="18" t="inlineStr">
        <is>
          <t>Sprint 2</t>
        </is>
      </c>
      <c r="C18" s="18" t="inlineStr">
        <is>
          <t>3</t>
        </is>
      </c>
      <c r="D18" s="22" t="inlineStr">
        <is>
          <t>GATE G2: parsers + dedup + mini-migración cuadrada</t>
        </is>
      </c>
      <c r="E18" s="18" t="inlineStr">
        <is>
          <t>Financiero + Andrés</t>
        </is>
      </c>
      <c r="F18" s="18" t="inlineStr">
        <is>
          <t>Pendiente</t>
        </is>
      </c>
      <c r="G18" s="18" t="n"/>
      <c r="H18" s="22" t="n"/>
      <c r="I18" s="18" t="inlineStr">
        <is>
          <t>G2</t>
        </is>
      </c>
    </row>
    <row r="19" ht="35.05" customHeight="1" s="13">
      <c r="A19" s="18" t="inlineStr">
        <is>
          <t>S3-01</t>
        </is>
      </c>
      <c r="B19" s="18" t="inlineStr">
        <is>
          <t>Sprint 3</t>
        </is>
      </c>
      <c r="C19" s="18" t="inlineStr">
        <is>
          <t>4</t>
        </is>
      </c>
      <c r="D19" s="22" t="inlineStr">
        <is>
          <t>Motor del sugerido (fórmula Spec §1.4.1, ejemplo numérico como test) + fila compromisos programados + ciclo de estados + versionado + aprobación (tabla de autoridad)</t>
        </is>
      </c>
      <c r="E19" s="18" t="inlineStr">
        <is>
          <t>Claude Code + Andrés</t>
        </is>
      </c>
      <c r="F19" s="18" t="inlineStr">
        <is>
          <t>Hecha</t>
        </is>
      </c>
      <c r="G19" s="18" t="inlineStr">
        <is>
          <t>2026-07-21</t>
        </is>
      </c>
      <c r="H19" s="22" t="inlineStr">
        <is>
          <t>GO Kimi I-PR1 9.2; merge 7f835be (PR motor). Fórmula §1.4.1 + PresupuestoLinea + generación; dorado 48/61/75M→84.033.333,33 end-to-end.</t>
        </is>
      </c>
      <c r="I19" s="18" t="n"/>
    </row>
    <row r="20" ht="23.85" customHeight="1" s="13">
      <c r="A20" s="18" t="inlineStr">
        <is>
          <t>S3-02</t>
        </is>
      </c>
      <c r="B20" s="18" t="inlineStr">
        <is>
          <t>Sprint 3</t>
        </is>
      </c>
      <c r="C20" s="18" t="inlineStr">
        <is>
          <t>4</t>
        </is>
      </c>
      <c r="D20" s="22" t="inlineStr">
        <is>
          <t>DEMO nota CEO #1 en modo histórico: agosto-2026, 4 columnas vs Excel, % global manual</t>
        </is>
      </c>
      <c r="E20" s="18" t="inlineStr">
        <is>
          <t>Andrés</t>
        </is>
      </c>
      <c r="F20" s="18" t="inlineStr">
        <is>
          <t>Pendiente</t>
        </is>
      </c>
      <c r="G20" s="18" t="n"/>
      <c r="H20" s="22" t="inlineStr">
        <is>
          <t>TOLERANCIA_CUADRE $1</t>
        </is>
      </c>
      <c r="I20" s="18" t="inlineStr">
        <is>
          <t>G3</t>
        </is>
      </c>
    </row>
    <row r="21" ht="23.85" customHeight="1" s="13">
      <c r="A21" s="18" t="inlineStr">
        <is>
          <t>S4-01</t>
        </is>
      </c>
      <c r="B21" s="18" t="inlineStr">
        <is>
          <t>Sprint 4</t>
        </is>
      </c>
      <c r="C21" s="18" t="inlineStr">
        <is>
          <t>5</t>
        </is>
      </c>
      <c r="D21" s="22" t="inlineStr">
        <is>
          <t>Vista Control + caja + conciliación por banco + semáforos + transacciones multi-documento + política de tardías</t>
        </is>
      </c>
      <c r="E21" s="18" t="inlineStr">
        <is>
          <t>Claude Code + Andrés</t>
        </is>
      </c>
      <c r="F21" s="18" t="inlineStr">
        <is>
          <t>Hecha</t>
        </is>
      </c>
      <c r="G21" s="18" t="inlineStr">
        <is>
          <t>2026-07-22</t>
        </is>
      </c>
      <c r="H21" s="22" t="inlineStr">
        <is>
          <t>Backend GO Kimi I-PR1 9.4 (merge 7a1eb46) + frontend (sin gate, como S3-04): pantalla /control con tabla por grupo, semáforos y tarjetas de caja/total. build+lint+7 tests verdes.</t>
        </is>
      </c>
      <c r="I21" s="18" t="n"/>
    </row>
    <row r="22" ht="23.85" customHeight="1" s="13">
      <c r="A22" s="18" t="inlineStr">
        <is>
          <t>S4-02</t>
        </is>
      </c>
      <c r="B22" s="18" t="inlineStr">
        <is>
          <t>Sprint 4</t>
        </is>
      </c>
      <c r="C22" s="18" t="inlineStr">
        <is>
          <t>5</t>
        </is>
      </c>
      <c r="D22" s="22" t="inlineStr">
        <is>
          <t>CR-001: ExtractoMensual (PDF Global66 como fixture) + verificación automática + regla de cierre</t>
        </is>
      </c>
      <c r="E22" s="18" t="inlineStr">
        <is>
          <t>Claude Code + Andrés</t>
        </is>
      </c>
      <c r="F22" s="18" t="inlineStr">
        <is>
          <t>Pendiente</t>
        </is>
      </c>
      <c r="G22" s="18" t="n"/>
      <c r="H22" s="22" t="inlineStr">
        <is>
          <t>CR-001 firmado 18-jul</t>
        </is>
      </c>
      <c r="I22" s="18" t="inlineStr">
        <is>
          <t>G3</t>
        </is>
      </c>
    </row>
    <row r="23" ht="15" customHeight="1" s="13">
      <c r="A23" s="18" t="inlineStr">
        <is>
          <t>S4-03</t>
        </is>
      </c>
      <c r="B23" s="18" t="inlineStr">
        <is>
          <t>Sprint 4</t>
        </is>
      </c>
      <c r="C23" s="18" t="inlineStr">
        <is>
          <t>5</t>
        </is>
      </c>
      <c r="D23" s="22" t="inlineStr">
        <is>
          <t>GATE G3 (Directivo): ciclo presupuestal + control con julio real</t>
        </is>
      </c>
      <c r="E23" s="18" t="inlineStr">
        <is>
          <t>Andrés</t>
        </is>
      </c>
      <c r="F23" s="18" t="inlineStr">
        <is>
          <t>Pendiente</t>
        </is>
      </c>
      <c r="G23" s="18" t="n"/>
      <c r="H23" s="22" t="n"/>
      <c r="I23" s="18" t="inlineStr">
        <is>
          <t>G3</t>
        </is>
      </c>
    </row>
    <row r="24" ht="35.05" customHeight="1" s="13">
      <c r="A24" s="18" t="inlineStr">
        <is>
          <t>S5-01</t>
        </is>
      </c>
      <c r="B24" s="18" t="inlineStr">
        <is>
          <t>Sprint 5</t>
        </is>
      </c>
      <c r="C24" s="18" t="inlineStr">
        <is>
          <t>6</t>
        </is>
      </c>
      <c r="D24" s="22" t="inlineStr">
        <is>
          <t>C9/Pagos de la semana (ACOTADO): PagoPlaneado + CRUD + veredicto GET /meses/{mes}/pagos-semana (¿alcanza la caja?) reusando _caja_libro. CR-S7. (Matriz de deudas→C10; matching auto, SnapshotCaja/dashboard→fases aparte)</t>
        </is>
      </c>
      <c r="E24" s="18" t="inlineStr">
        <is>
          <t>Claude Code + Andrés</t>
        </is>
      </c>
      <c r="F24" s="18" t="inlineStr">
        <is>
          <t>Hecha</t>
        </is>
      </c>
      <c r="G24" s="18" t="inlineStr">
        <is>
          <t>2026-07-23</t>
        </is>
      </c>
      <c r="H24" s="22" t="inlineStr">
        <is>
          <t>C9/Pagos de la semana. PR #29 merge be9512b, CI 6/6 (backend-real-mongo verde: marcar-pagado multi-doc, O1, regla 4). Suite 439 passed. Construido/mergeado bajo GO del CEO (gate-waiver 2026-07-23); auditoría Kimi PLAN+código pendiente</t>
        </is>
      </c>
      <c r="I24" s="18" t="n"/>
    </row>
    <row r="25" ht="23.85" customHeight="1" s="13">
      <c r="A25" s="18" t="inlineStr">
        <is>
          <t>S6A-01</t>
        </is>
      </c>
      <c r="B25" s="18" t="inlineStr">
        <is>
          <t>Sprint 6a</t>
        </is>
      </c>
      <c r="C25" s="18" t="inlineStr">
        <is>
          <t>7</t>
        </is>
      </c>
      <c r="D25" s="22" t="inlineStr">
        <is>
          <t>Facturas recibidas Y emitidas (tarifa/exentas, eventos) + IVA cuatrimestral completo</t>
        </is>
      </c>
      <c r="E25" s="18" t="inlineStr">
        <is>
          <t>Claude Code + Andrés</t>
        </is>
      </c>
      <c r="F25" s="18" t="inlineStr">
        <is>
          <t>Pendiente</t>
        </is>
      </c>
      <c r="G25" s="18" t="n"/>
      <c r="H25" s="22" t="n"/>
      <c r="I25" s="18" t="n"/>
    </row>
    <row r="26" ht="15" customHeight="1" s="13">
      <c r="A26" s="18" t="inlineStr">
        <is>
          <t>S6A-02</t>
        </is>
      </c>
      <c r="B26" s="18" t="inlineStr">
        <is>
          <t>Sprint 6a</t>
        </is>
      </c>
      <c r="C26" s="18" t="inlineStr">
        <is>
          <t>7</t>
        </is>
      </c>
      <c r="D26" s="22" t="inlineStr">
        <is>
          <t>Taller de limpieza del histórico con el Financiero</t>
        </is>
      </c>
      <c r="E26" s="18" t="inlineStr">
        <is>
          <t>Financiero</t>
        </is>
      </c>
      <c r="F26" s="18" t="inlineStr">
        <is>
          <t>Pendiente</t>
        </is>
      </c>
      <c r="G26" s="18" t="n"/>
      <c r="H26" s="22" t="inlineStr">
        <is>
          <t>Riesgo 2</t>
        </is>
      </c>
      <c r="I26" s="18" t="n"/>
    </row>
    <row r="27" ht="35.05" customHeight="1" s="13">
      <c r="A27" s="18" t="inlineStr">
        <is>
          <t>S6B-01</t>
        </is>
      </c>
      <c r="B27" s="18" t="inlineStr">
        <is>
          <t>Sprint 6b</t>
        </is>
      </c>
      <c r="C27" s="18" t="inlineStr">
        <is>
          <t>8</t>
        </is>
      </c>
      <c r="D27" s="22" t="inlineStr">
        <is>
          <t>M10 ingresos modo Excel (+ pre-llenado % global operativo) + vista Capacidad de pago + dashboard Inicio completo + job de archivado (Object Lock)</t>
        </is>
      </c>
      <c r="E27" s="18" t="inlineStr">
        <is>
          <t>Claude Code + Andrés</t>
        </is>
      </c>
      <c r="F27" s="18" t="inlineStr">
        <is>
          <t>Pendiente</t>
        </is>
      </c>
      <c r="G27" s="18" t="n"/>
      <c r="H27" s="22" t="n"/>
      <c r="I27" s="18" t="inlineStr">
        <is>
          <t>G4</t>
        </is>
      </c>
    </row>
    <row r="28" ht="23.85" customHeight="1" s="13">
      <c r="A28" s="18" t="inlineStr">
        <is>
          <t>S6B-02</t>
        </is>
      </c>
      <c r="B28" s="18" t="inlineStr">
        <is>
          <t>Sprint 6b</t>
        </is>
      </c>
      <c r="C28" s="18" t="inlineStr">
        <is>
          <t>8</t>
        </is>
      </c>
      <c r="D28" s="22" t="inlineStr">
        <is>
          <t>GATE G4 (Financiero): facturas ambos lados + IVA May–Ago reproducido + M10 + Capacidad de pago + dashboard</t>
        </is>
      </c>
      <c r="E28" s="18" t="inlineStr">
        <is>
          <t>Financiero</t>
        </is>
      </c>
      <c r="F28" s="18" t="inlineStr">
        <is>
          <t>Pendiente</t>
        </is>
      </c>
      <c r="G28" s="18" t="n"/>
      <c r="H28" s="22" t="n"/>
      <c r="I28" s="18" t="inlineStr">
        <is>
          <t>G4</t>
        </is>
      </c>
    </row>
    <row r="29" ht="23.85" customHeight="1" s="13">
      <c r="A29" s="18" t="inlineStr">
        <is>
          <t>S7-01</t>
        </is>
      </c>
      <c r="B29" s="18" t="inlineStr">
        <is>
          <t>Sprint 7</t>
        </is>
      </c>
      <c r="C29" s="18" t="inlineStr">
        <is>
          <t>9</t>
        </is>
      </c>
      <c r="D29" s="22" t="inlineStr">
        <is>
          <t>Migración restante (deudas, facturas Auteco, presupuestos históricos) + conciliación formal con acta firmada</t>
        </is>
      </c>
      <c r="E29" s="18" t="inlineStr">
        <is>
          <t>Claude Code + Financiero</t>
        </is>
      </c>
      <c r="F29" s="18" t="inlineStr">
        <is>
          <t>Pendiente</t>
        </is>
      </c>
      <c r="G29" s="18" t="n"/>
      <c r="H29" s="22" t="inlineStr">
        <is>
          <t>TOLERANCIA_CUADRE $1</t>
        </is>
      </c>
      <c r="I29" s="18" t="inlineStr">
        <is>
          <t>G5</t>
        </is>
      </c>
    </row>
    <row r="30" ht="23.85" customHeight="1" s="13">
      <c r="A30" s="18" t="inlineStr">
        <is>
          <t>S7-02</t>
        </is>
      </c>
      <c r="B30" s="18" t="inlineStr">
        <is>
          <t>Sprint 7</t>
        </is>
      </c>
      <c r="C30" s="18" t="inlineStr">
        <is>
          <t>9</t>
        </is>
      </c>
      <c r="D30" s="22" t="inlineStr">
        <is>
          <t>Reporte de cierre + prueba de restauración cronometrada (DoD-10) + capacitación</t>
        </is>
      </c>
      <c r="E30" s="18" t="inlineStr">
        <is>
          <t>Claude Code + Andrés</t>
        </is>
      </c>
      <c r="F30" s="18" t="inlineStr">
        <is>
          <t>Pendiente</t>
        </is>
      </c>
      <c r="G30" s="18" t="n"/>
      <c r="H30" s="22" t="n"/>
      <c r="I30" s="18" t="inlineStr">
        <is>
          <t>G5</t>
        </is>
      </c>
    </row>
    <row r="31" ht="15" customHeight="1" s="13">
      <c r="A31" s="18" t="inlineStr">
        <is>
          <t>S7-03</t>
        </is>
      </c>
      <c r="B31" s="18" t="inlineStr">
        <is>
          <t>Sprint 7</t>
        </is>
      </c>
      <c r="C31" s="18" t="inlineStr">
        <is>
          <t>9</t>
        </is>
      </c>
      <c r="D31" s="22" t="inlineStr">
        <is>
          <t>UAT con guion (US-01..10, 100% críticos ✓)</t>
        </is>
      </c>
      <c r="E31" s="18" t="inlineStr">
        <is>
          <t>Andrés + Iván</t>
        </is>
      </c>
      <c r="F31" s="18" t="inlineStr">
        <is>
          <t>Pendiente</t>
        </is>
      </c>
      <c r="G31" s="18" t="n"/>
      <c r="H31" s="22" t="n"/>
      <c r="I31" s="18" t="inlineStr">
        <is>
          <t>G5</t>
        </is>
      </c>
    </row>
    <row r="32" ht="15" customHeight="1" s="13">
      <c r="A32" s="18" t="inlineStr">
        <is>
          <t>S7-04</t>
        </is>
      </c>
      <c r="B32" s="18" t="inlineStr">
        <is>
          <t>Sprint 7</t>
        </is>
      </c>
      <c r="C32" s="18" t="inlineStr">
        <is>
          <t>9</t>
        </is>
      </c>
      <c r="D32" s="22" t="inlineStr">
        <is>
          <t>GATE G5 (CEO, BLOQUEANTE ABSOLUTO — ventana 48h)</t>
        </is>
      </c>
      <c r="E32" s="18" t="inlineStr">
        <is>
          <t>Andrés</t>
        </is>
      </c>
      <c r="F32" s="18" t="inlineStr">
        <is>
          <t>Pendiente</t>
        </is>
      </c>
      <c r="G32" s="18" t="n"/>
      <c r="H32" s="22" t="n"/>
      <c r="I32" s="18" t="inlineStr">
        <is>
          <t>G5</t>
        </is>
      </c>
    </row>
    <row r="33" ht="23.85" customHeight="1" s="13">
      <c r="A33" s="18" t="inlineStr">
        <is>
          <t>S8-01</t>
        </is>
      </c>
      <c r="B33" s="18" t="inlineStr">
        <is>
          <t>Sprint 8</t>
        </is>
      </c>
      <c r="C33" s="18" t="inlineStr">
        <is>
          <t>10</t>
        </is>
      </c>
      <c r="D33" s="22" t="inlineStr">
        <is>
          <t>Deploy a producción (tag v1.0.0 + reviewer Iván) + monitoreo SLOs + inicio double-run</t>
        </is>
      </c>
      <c r="E33" s="18" t="inlineStr">
        <is>
          <t>Andrés + Iván</t>
        </is>
      </c>
      <c r="F33" s="18" t="inlineStr">
        <is>
          <t>Pendiente</t>
        </is>
      </c>
      <c r="G33" s="18" t="n"/>
      <c r="H33" s="22" t="n"/>
      <c r="I33" s="18" t="n"/>
    </row>
    <row r="34" ht="23.85" customHeight="1" s="13">
      <c r="A34" s="18" t="inlineStr">
        <is>
          <t>S8-02</t>
        </is>
      </c>
      <c r="B34" s="18" t="inlineStr">
        <is>
          <t>Post-plan</t>
        </is>
      </c>
      <c r="C34" s="18" t="inlineStr">
        <is>
          <t>10+</t>
        </is>
      </c>
      <c r="D34" s="22" t="inlineStr">
        <is>
          <t>Double-run: 4 conciliaciones semanales cuadradas + 1 cierre mensual → Excel a solo-lectura</t>
        </is>
      </c>
      <c r="E34" s="18" t="inlineStr">
        <is>
          <t>Financiero</t>
        </is>
      </c>
      <c r="F34" s="18" t="inlineStr">
        <is>
          <t>Pendiente</t>
        </is>
      </c>
      <c r="G34" s="18" t="n"/>
      <c r="H34" s="22" t="inlineStr">
        <is>
          <t>Criterio de apagado §7 del PLAN</t>
        </is>
      </c>
      <c r="I34" s="18" t="n"/>
    </row>
    <row r="35" ht="23.85" customHeight="1" s="13">
      <c r="A35" s="18" t="inlineStr">
        <is>
          <t>EXT-01</t>
        </is>
      </c>
      <c r="B35" s="18" t="inlineStr">
        <is>
          <t>Externos</t>
        </is>
      </c>
      <c r="C35" s="18" t="inlineStr">
        <is>
          <t>—</t>
        </is>
      </c>
      <c r="D35" s="22" t="inlineStr">
        <is>
          <t>Memo RNBD firmado con el contador (prerrequisito del go-live, no del código)</t>
        </is>
      </c>
      <c r="E35" s="18" t="inlineStr">
        <is>
          <t>Andrés + Contador</t>
        </is>
      </c>
      <c r="F35" s="18" t="inlineStr">
        <is>
          <t>Pendiente</t>
        </is>
      </c>
      <c r="G35" s="18" t="n"/>
      <c r="H35" s="22" t="n"/>
      <c r="I35" s="18" t="n"/>
    </row>
    <row r="36" ht="15" customHeight="1" s="13">
      <c r="A36" s="18" t="inlineStr">
        <is>
          <t>EXT-02</t>
        </is>
      </c>
      <c r="B36" s="18" t="inlineStr">
        <is>
          <t>Externos</t>
        </is>
      </c>
      <c r="C36" s="18" t="inlineStr">
        <is>
          <t>—</t>
        </is>
      </c>
      <c r="D36" s="22" t="inlineStr">
        <is>
          <t>Extracto reciente Bancolombia y BBVA para validar layouts de SISMO v2</t>
        </is>
      </c>
      <c r="E36" s="18" t="inlineStr">
        <is>
          <t>Andrés</t>
        </is>
      </c>
      <c r="F36" s="18" t="inlineStr">
        <is>
          <t>Pendiente</t>
        </is>
      </c>
      <c r="G36" s="18" t="n"/>
      <c r="H36" s="22" t="n"/>
      <c r="I36" s="18" t="n"/>
    </row>
    <row r="37" ht="23.85" customHeight="1" s="13">
      <c r="A37" s="18" t="inlineStr">
        <is>
          <t>EXT-03</t>
        </is>
      </c>
      <c r="B37" s="18" t="inlineStr">
        <is>
          <t>Externos</t>
        </is>
      </c>
      <c r="C37" s="18" t="inlineStr">
        <is>
          <t>—</t>
        </is>
      </c>
      <c r="D37" s="22" t="inlineStr">
        <is>
          <t>Cuenta de Iván creada y agregado como colaborador del repo + required reviewer de production</t>
        </is>
      </c>
      <c r="E37" s="18" t="inlineStr">
        <is>
          <t>Andrés</t>
        </is>
      </c>
      <c r="F37" s="18" t="inlineStr">
        <is>
          <t>Pendiente</t>
        </is>
      </c>
      <c r="G37" s="18" t="n"/>
      <c r="H37" s="22" t="n"/>
      <c r="I37" s="18" t="n"/>
    </row>
    <row r="38">
      <c r="A38" s="12" t="inlineStr">
        <is>
          <t>S0-08</t>
        </is>
      </c>
      <c r="B38" s="12" t="inlineStr">
        <is>
          <t>Sprint 0</t>
        </is>
      </c>
      <c r="C38" s="12" t="inlineStr">
        <is>
          <t>1</t>
        </is>
      </c>
      <c r="D38" s="12" t="inlineStr">
        <is>
          <t>Procedimiento de auditoría adversarial con Kimi estipulado (.planning/, templates, generador PDF, regla en CLAUDE.md)</t>
        </is>
      </c>
      <c r="E38" s="12" t="inlineStr">
        <is>
          <t>Claude Code + Andrés</t>
        </is>
      </c>
      <c r="F38" s="12" t="inlineStr">
        <is>
          <t>Hecha</t>
        </is>
      </c>
      <c r="G38" s="12" t="inlineStr">
        <is>
          <t>2026-07-18</t>
        </is>
      </c>
      <c r="H38" s="12" t="inlineStr">
        <is>
          <t>Commit 3dc2424 — portado de SISMO-V3; umbral &gt;=9.0, alcance crítico+plan</t>
        </is>
      </c>
      <c r="I38" s="12" t="inlineStr"/>
    </row>
    <row r="39">
      <c r="A39" s="12" t="inlineStr">
        <is>
          <t>S0B-05</t>
        </is>
      </c>
      <c r="B39" s="12" t="inlineStr">
        <is>
          <t>Sprint 0b</t>
        </is>
      </c>
      <c r="C39" s="12" t="inlineStr">
        <is>
          <t>1</t>
        </is>
      </c>
      <c r="D39" s="12" t="inlineStr">
        <is>
          <t>Seguimiento Kimi B-1: rubro destino de INGRESO para la regla PRD M7 (Abono-&gt;recaudo). Decidir ANTES de Sprint 2: anadir rubro Recaudo (tipo ingreso) a la semilla vs crearlo el Admin. Ambiguedad: los 5 grupos son de egreso.</t>
        </is>
      </c>
      <c r="E39" s="12" t="inlineStr">
        <is>
          <t>Claude Code + Andres</t>
        </is>
      </c>
      <c r="F39" s="12" t="inlineStr">
        <is>
          <t>Hecha</t>
        </is>
      </c>
      <c r="G39" s="12" t="inlineStr">
        <is>
          <t>2026-07-20</t>
        </is>
      </c>
      <c r="H39" s="12" t="inlineStr">
        <is>
          <t>3673e25 — rubro sistema 'Recaudo' (ingreso) en semilla (33) + sembrado en base viva.</t>
        </is>
      </c>
      <c r="I39" s="12" t="n"/>
    </row>
    <row r="40">
      <c r="A40" s="12" t="inlineStr">
        <is>
          <t>S0B-06</t>
        </is>
      </c>
      <c r="B40" s="12" t="inlineStr">
        <is>
          <t>Sprint 0b</t>
        </is>
      </c>
      <c r="C40" s="12" t="inlineStr">
        <is>
          <t>1</t>
        </is>
      </c>
      <c r="D40" s="12" t="inlineStr">
        <is>
          <t>PR-3: cabeceras de seguridad (CSP estricta/HSTS/nosniff/Referrer-Policy/frame-ancestors) en API (middleware) + SPA (vercel.json) + test CI. Cierra DoD #12.</t>
        </is>
      </c>
      <c r="E40" s="12" t="inlineStr">
        <is>
          <t>Claude Code + Andres</t>
        </is>
      </c>
      <c r="F40" s="12" t="inlineStr">
        <is>
          <t>Hecha</t>
        </is>
      </c>
      <c r="G40" s="12" t="inlineStr">
        <is>
          <t>2026-07-19</t>
        </is>
      </c>
      <c r="H40" s="12" t="inlineStr">
        <is>
          <t>PR-3 GO Kimi 9.2 (commit 40e760f + ajustes B-1/B-2). Cabeceras API+SPA, 6 tests CI. Cierra DoD #12.</t>
        </is>
      </c>
      <c r="I40" s="12" t="inlineStr">
        <is>
          <t>G1</t>
        </is>
      </c>
    </row>
    <row r="41">
      <c r="A41" s="12" t="inlineStr">
        <is>
          <t>S2-05</t>
        </is>
      </c>
      <c r="B41" s="12" t="inlineStr">
        <is>
          <t>Sprint 2</t>
        </is>
      </c>
      <c r="C41" s="12" t="inlineStr">
        <is>
          <t>3</t>
        </is>
      </c>
      <c r="D41" s="12" t="inlineStr">
        <is>
          <t>Transaccion §1.5 + dedup (banco,id_banco) + servicio de carga §1.6 (insertMany ordered=False, F-02)</t>
        </is>
      </c>
      <c r="E41" s="12" t="inlineStr">
        <is>
          <t>Claude Code + Andrés</t>
        </is>
      </c>
      <c r="F41" s="12" t="inlineStr">
        <is>
          <t>Hecha</t>
        </is>
      </c>
      <c r="G41" s="12" t="inlineStr">
        <is>
          <t>2026-07-20</t>
        </is>
      </c>
      <c r="H41" s="12" t="inlineStr">
        <is>
          <t>GO Kimi R-PR1 9.3; merge 72034a0. Transaccion §1.5 + dedup + carga §1.6 (A-01 ordinal, transacción).</t>
        </is>
      </c>
      <c r="I41" s="12" t="inlineStr">
        <is>
          <t>G2 / DoD #2</t>
        </is>
      </c>
    </row>
    <row r="42">
      <c r="A42" s="12" t="inlineStr">
        <is>
          <t>DISP-01</t>
        </is>
      </c>
      <c r="B42" s="12" t="inlineStr">
        <is>
          <t>Go-live</t>
        </is>
      </c>
      <c r="C42" s="12" t="inlineStr">
        <is>
          <t>—</t>
        </is>
      </c>
      <c r="D42" s="12" t="inlineStr">
        <is>
          <t>DISPARADOR G1 (no negociable): ANTES del 1er deploy con datos reales — autoDeploy:false + tag v* + required reviewer + prueba adversarial del bloqueo</t>
        </is>
      </c>
      <c r="E42" s="12" t="inlineStr">
        <is>
          <t>Andrés + Claude Code</t>
        </is>
      </c>
      <c r="F42" s="12" t="inlineStr">
        <is>
          <t>Pendiente</t>
        </is>
      </c>
      <c r="G42" s="12" t="inlineStr"/>
      <c r="H42" s="12" t="inlineStr">
        <is>
          <t>Registrado por Kimi en veredicto G1 9.4</t>
        </is>
      </c>
      <c r="I42" s="12" t="inlineStr">
        <is>
          <t>G1</t>
        </is>
      </c>
    </row>
    <row r="43">
      <c r="A43" s="12" t="inlineStr">
        <is>
          <t>DISP-02</t>
        </is>
      </c>
      <c r="B43" s="12" t="inlineStr">
        <is>
          <t>Pre-carga real</t>
        </is>
      </c>
      <c r="C43" s="12" t="inlineStr">
        <is>
          <t>—</t>
        </is>
      </c>
      <c r="D43" s="12" t="inlineStr">
        <is>
          <t>DISPARADOR G1: S3 + Object Lock + CRR ANTES de la primera carga real (fixtures/mini-migración, gate G2)</t>
        </is>
      </c>
      <c r="E43" s="12" t="inlineStr">
        <is>
          <t>Andrés + Claude Code</t>
        </is>
      </c>
      <c r="F43" s="12" t="inlineStr">
        <is>
          <t>Pendiente</t>
        </is>
      </c>
      <c r="G43" s="12" t="inlineStr"/>
      <c r="H43" s="12" t="inlineStr">
        <is>
          <t>Guardrail M-04 vigente mientras tanto</t>
        </is>
      </c>
      <c r="I43" s="12" t="inlineStr">
        <is>
          <t>G2</t>
        </is>
      </c>
    </row>
    <row r="44">
      <c r="A44" s="12" t="inlineStr">
        <is>
          <t>DISP-03</t>
        </is>
      </c>
      <c r="B44" s="12" t="inlineStr">
        <is>
          <t>Go-live</t>
        </is>
      </c>
      <c r="C44" s="12" t="inlineStr">
        <is>
          <t>—</t>
        </is>
      </c>
      <c r="D44" s="12" t="inlineStr">
        <is>
          <t>DISPARADOR G1: re-verificar cabeceras (C4) al cablear Cloudflare/compas.roddos.com</t>
        </is>
      </c>
      <c r="E44" s="12" t="inlineStr">
        <is>
          <t>Claude Code</t>
        </is>
      </c>
      <c r="F44" s="12" t="inlineStr">
        <is>
          <t>Hecha</t>
        </is>
      </c>
      <c r="G44" s="12" t="inlineStr">
        <is>
          <t>2026-07-20</t>
        </is>
      </c>
      <c r="H44" s="12" t="inlineStr">
        <is>
          <t>Cabeceras verificadas en https://api.compas.roddos.com (CSP/HSTS/nosniff/DENY/no-referrer). DNS real: GoDaddy (corrección RUNBOOK §5, 45c26cf).</t>
        </is>
      </c>
      <c r="I44" s="12" t="inlineStr">
        <is>
          <t>G1</t>
        </is>
      </c>
    </row>
    <row r="45">
      <c r="A45" s="12" t="inlineStr">
        <is>
          <t>S2-06</t>
        </is>
      </c>
      <c r="B45" s="12" t="inlineStr">
        <is>
          <t>Sprint 2</t>
        </is>
      </c>
      <c r="C45" s="12" t="inlineStr">
        <is>
          <t>3</t>
        </is>
      </c>
      <c r="D45" s="12" t="inlineStr">
        <is>
          <t>API de cargas (upload F-22 + listado) y POST /transacciones manual (MAN-+ULID, Idempotency-Key §1.12)</t>
        </is>
      </c>
      <c r="E45" s="12" t="inlineStr">
        <is>
          <t>Claude Code + Andrés</t>
        </is>
      </c>
      <c r="F45" s="12" t="inlineStr">
        <is>
          <t>Hecha</t>
        </is>
      </c>
      <c r="G45" s="12" t="inlineStr">
        <is>
          <t>2026-07-20</t>
        </is>
      </c>
      <c r="H45" s="12" t="inlineStr">
        <is>
          <t>GO Kimi R-PR1 9.2 (condicionado CR-S3); merge c1566dc. 54f12d6 en rama feat/cargas-endpoints-manual — 232 tests, ruff limpio. Gate Kimi</t>
        </is>
      </c>
      <c r="I45" s="12" t="inlineStr">
        <is>
          <t>G2 / DoD #1-#2</t>
        </is>
      </c>
    </row>
    <row r="46">
      <c r="A46" s="12" t="inlineStr">
        <is>
          <t>S2-07</t>
        </is>
      </c>
      <c r="B46" s="12" t="inlineStr">
        <is>
          <t>Sprint 2</t>
        </is>
      </c>
      <c r="C46" s="12" t="inlineStr">
        <is>
          <t>3</t>
        </is>
      </c>
      <c r="D46" s="12" t="inlineStr">
        <is>
          <t>Pantalla de cargas (upload F-22 + historial + errores por fila + transacción manual) + login MFA + shell auth</t>
        </is>
      </c>
      <c r="E46" s="12" t="inlineStr">
        <is>
          <t>Claude Code</t>
        </is>
      </c>
      <c r="F46" s="12" t="inlineStr">
        <is>
          <t>Hecha</t>
        </is>
      </c>
      <c r="G46" s="12" t="inlineStr">
        <is>
          <t>2026-07-20</t>
        </is>
      </c>
      <c r="H46" s="12" t="inlineStr">
        <is>
          <t>GO Kimi R-PR1 9.2 (condicionado CR-S3); merge c1566dc. En rama feat/cargas-endpoints-manual — vitest 7/7, biome limpio, build OK. Merge</t>
        </is>
      </c>
      <c r="I46" s="12" t="inlineStr">
        <is>
          <t>G2</t>
        </is>
      </c>
    </row>
    <row r="47">
      <c r="A47" s="12" t="inlineStr">
        <is>
          <t>S2-08</t>
        </is>
      </c>
      <c r="B47" s="12" t="inlineStr">
        <is>
          <t>Sprint 2</t>
        </is>
      </c>
      <c r="C47" s="12" t="inlineStr">
        <is>
          <t>3</t>
        </is>
      </c>
      <c r="D47" s="12" t="inlineStr">
        <is>
          <t>Frontend en Vercel + dominios compas.roddos.com / api.compas.roddos.com (GoDaddy) + superadmin inicial</t>
        </is>
      </c>
      <c r="E47" s="12" t="inlineStr">
        <is>
          <t>Andrés + Claude Code</t>
        </is>
      </c>
      <c r="F47" s="12" t="inlineStr">
        <is>
          <t>Hecha</t>
        </is>
      </c>
      <c r="G47" s="12" t="inlineStr">
        <is>
          <t>2026-07-20</t>
        </is>
      </c>
      <c r="H47" s="12" t="inlineStr">
        <is>
          <t>compas.roddos.com 200 · api ready en dominio · CORS/cookie same-site OK · superadmin andres@roddos.com creado</t>
        </is>
      </c>
      <c r="I47" s="12" t="inlineStr">
        <is>
          <t>G2</t>
        </is>
      </c>
    </row>
    <row r="48">
      <c r="A48" s="12" t="inlineStr">
        <is>
          <t>S3-03</t>
        </is>
      </c>
      <c r="B48" s="12" t="inlineStr">
        <is>
          <t>Sprint 3</t>
        </is>
      </c>
      <c r="C48" s="12" t="inlineStr">
        <is>
          <t>4</t>
        </is>
      </c>
      <c r="D48" s="12" t="inlineStr">
        <is>
          <t>Apertura del mes (US-01): POST /meses + mes.creado con compensación O1 + GET /meses</t>
        </is>
      </c>
      <c r="E48" s="12" t="inlineStr">
        <is>
          <t>Claude Code</t>
        </is>
      </c>
      <c r="F48" s="12" t="inlineStr">
        <is>
          <t>Hecha</t>
        </is>
      </c>
      <c r="G48" s="12" t="inlineStr">
        <is>
          <t>2026-07-21</t>
        </is>
      </c>
      <c r="H48" s="12" t="inlineStr">
        <is>
          <t>GO Kimi R-PR1 9.4; merge a main. Apertura US-01 con arrastre F-14 + contigüidad + runtime-imports CI.</t>
        </is>
      </c>
      <c r="I48" s="12" t="inlineStr">
        <is>
          <t>G3</t>
        </is>
      </c>
    </row>
    <row r="49">
      <c r="A49" s="12" t="inlineStr">
        <is>
          <t>S2-09</t>
        </is>
      </c>
      <c r="B49" s="12" t="inlineStr">
        <is>
          <t>Sprint 2</t>
        </is>
      </c>
      <c r="C49" s="12" t="inlineStr">
        <is>
          <t>3</t>
        </is>
      </c>
      <c r="D49" s="12" t="inlineStr">
        <is>
          <t>CI reparado: replica set 1-nodo (regla 8 en CI), ruff format, CVEs python-multipart (pip-audit)</t>
        </is>
      </c>
      <c r="E49" s="12" t="inlineStr">
        <is>
          <t>Claude Code</t>
        </is>
      </c>
      <c r="F49" s="12" t="inlineStr">
        <is>
          <t>Hecha</t>
        </is>
      </c>
      <c r="G49" s="12" t="inlineStr">
        <is>
          <t>2026-07-21</t>
        </is>
      </c>
      <c r="H49" s="12" t="inlineStr">
        <is>
          <t>6ccea46 — CI main verde (run 29861083363). Incidente deploy: multipart ausente → pin 0.0.31.</t>
        </is>
      </c>
      <c r="I49" s="12" t="inlineStr">
        <is>
          <t>DoD #8</t>
        </is>
      </c>
    </row>
    <row r="50">
      <c r="A50" s="12" t="inlineStr">
        <is>
          <t>S3-04</t>
        </is>
      </c>
      <c r="B50" s="12" t="inlineStr">
        <is>
          <t>Sprint 3</t>
        </is>
      </c>
      <c r="C50" s="12" t="inlineStr">
        <is>
          <t>4</t>
        </is>
      </c>
      <c r="D50" s="12" t="inlineStr">
        <is>
          <t>Frontend: tema claro RODDOS + pantalla Meses (diálogo Abrir mes, US-01)</t>
        </is>
      </c>
      <c r="E50" s="12" t="inlineStr">
        <is>
          <t>Claude Code</t>
        </is>
      </c>
      <c r="F50" s="12" t="inlineStr">
        <is>
          <t>Hecha</t>
        </is>
      </c>
      <c r="G50" s="12" t="inlineStr">
        <is>
          <t>2026-07-21</t>
        </is>
      </c>
      <c r="H50" s="12" t="inlineStr">
        <is>
          <t>Frontend (sin gate): build+lint+vitest verdes. Deploy Vercel automático desde main.</t>
        </is>
      </c>
      <c r="I50" s="12" t="inlineStr">
        <is>
          <t>—</t>
        </is>
      </c>
    </row>
    <row r="51">
      <c r="A51" s="12" t="inlineStr">
        <is>
          <t>S3-05</t>
        </is>
      </c>
      <c r="B51" s="12" t="inlineStr">
        <is>
          <t>Sprint 3</t>
        </is>
      </c>
      <c r="C51" s="12" t="inlineStr">
        <is>
          <t>4</t>
        </is>
      </c>
      <c r="D51" s="12" t="inlineStr">
        <is>
          <t>Acotamiento + aprobación del presupuesto (§2.4; monto_definido + ajustes; aprobar → definido, transacción multi-doc regla 8)</t>
        </is>
      </c>
      <c r="E51" s="12" t="inlineStr">
        <is>
          <t>Claude Code</t>
        </is>
      </c>
      <c r="F51" s="12" t="inlineStr">
        <is>
          <t>Hecha</t>
        </is>
      </c>
      <c r="G51" s="12" t="inlineStr">
        <is>
          <t>2026-07-21</t>
        </is>
      </c>
      <c r="H51" s="12" t="inlineStr">
        <is>
          <t>GO Kimi I-PR1 9.5 (gate código); merge 885d32e (PR #21) a main. Transacción multi-doc regla 8 + saga O1 probadas en real-mongo.</t>
        </is>
      </c>
      <c r="I51" s="12" t="inlineStr">
        <is>
          <t>Gate Kimi PLAN</t>
        </is>
      </c>
    </row>
    <row r="52">
      <c r="A52" s="12" t="inlineStr">
        <is>
          <t>S4-00</t>
        </is>
      </c>
      <c r="B52" s="12" t="inlineStr">
        <is>
          <t>Sprint 4</t>
        </is>
      </c>
      <c r="C52" s="12" t="inlineStr">
        <is>
          <t>5</t>
        </is>
      </c>
      <c r="D52" s="12" t="inlineStr">
        <is>
          <t>Higiene: dar a acotar_linea la misma transacción Mongo que aprobar (evita inconsistencia benigna crash entre ln.save y mc.save) + split de tests</t>
        </is>
      </c>
      <c r="E52" s="12" t="inlineStr">
        <is>
          <t>Claude Code</t>
        </is>
      </c>
      <c r="F52" s="12" t="inlineStr">
        <is>
          <t>Hecha</t>
        </is>
      </c>
      <c r="G52" s="12" t="inlineStr">
        <is>
          <t>2026-07-23</t>
        </is>
      </c>
      <c r="H52" s="12" t="inlineStr">
        <is>
          <t>PR #26 merged dea4a16 — Kimi I-PR1 9.5/10 GO (planning/phases/sprint4-deuda/auditorias/PR1-I). Rollback total probado en real-mongo</t>
        </is>
      </c>
      <c r="I52" s="12" t="inlineStr"/>
    </row>
    <row r="53">
      <c r="A53" s="12" t="inlineStr">
        <is>
          <t>S4-04</t>
        </is>
      </c>
      <c r="B53" s="12" t="inlineStr">
        <is>
          <t>Sprint 4</t>
        </is>
      </c>
      <c r="C53" s="12" t="inlineStr">
        <is>
          <t>5</t>
        </is>
      </c>
      <c r="D53" s="12" t="inlineStr">
        <is>
          <t>Cierre de mes + conciliación por banco + reapertura (transacción multi-doc regla 8; ajuste de conciliación día-1 M+1; F-14)</t>
        </is>
      </c>
      <c r="E53" s="12" t="inlineStr">
        <is>
          <t>Claude Code</t>
        </is>
      </c>
      <c r="F53" s="12" t="inlineStr">
        <is>
          <t>Hecha</t>
        </is>
      </c>
      <c r="G53" s="12" t="inlineStr">
        <is>
          <t>2026-07-21</t>
        </is>
      </c>
      <c r="H53" s="12" t="inlineStr">
        <is>
          <t>GO Kimi I-PR1 9.4 (gate código); merge 9c62966 (PR #22). Transacción multi-doc regla 8 + saga O1 + contra-asiento probados en real-mongo (34 passed).</t>
        </is>
      </c>
      <c r="I53" s="12" t="inlineStr">
        <is>
          <t>Gate Kimi PLAN + G3</t>
        </is>
      </c>
    </row>
    <row r="54">
      <c r="A54" s="12" t="inlineStr">
        <is>
          <t>S4-05</t>
        </is>
      </c>
      <c r="B54" s="12" t="inlineStr">
        <is>
          <t>Sprint 4</t>
        </is>
      </c>
      <c r="C54" s="12" t="inlineStr">
        <is>
          <t>5</t>
        </is>
      </c>
      <c r="D54" s="12" t="inlineStr">
        <is>
          <t>B-1: sembrar rubro 'Ajuste de conciliación' (33→34) + UMBRAL_DIF_BANCO_CIERRE en base viva (migración idempotente, precedente S0B-05)</t>
        </is>
      </c>
      <c r="E54" s="12" t="inlineStr">
        <is>
          <t>Claude Code</t>
        </is>
      </c>
      <c r="F54" s="12" t="inlineStr">
        <is>
          <t>Hecha</t>
        </is>
      </c>
      <c r="G54" s="12" t="inlineStr">
        <is>
          <t>2026-07-21</t>
        </is>
      </c>
      <c r="H54" s="12" t="inlineStr">
        <is>
          <t>Baja B-1 Kimi I-PR1 — PREVIA a la demo G3 con julio real</t>
        </is>
      </c>
      <c r="I54" s="12" t="inlineStr">
        <is>
          <t>G3</t>
        </is>
      </c>
    </row>
    <row r="55">
      <c r="A55" s="12" t="inlineStr">
        <is>
          <t>S4-06</t>
        </is>
      </c>
      <c r="B55" s="12" t="inlineStr">
        <is>
          <t>Sprint 4</t>
        </is>
      </c>
      <c r="C55" s="12" t="inlineStr">
        <is>
          <t>5</t>
        </is>
      </c>
      <c r="D55" s="12" t="inlineStr">
        <is>
          <t>B-2/B-3: releer mc.estado dentro de la sesión (TOCTOU) + test POST /reabrir exige step-up (401). Backport junto a S4-00</t>
        </is>
      </c>
      <c r="E55" s="12" t="inlineStr">
        <is>
          <t>Claude Code</t>
        </is>
      </c>
      <c r="F55" s="12" t="inlineStr">
        <is>
          <t>Hecha</t>
        </is>
      </c>
      <c r="G55" s="12" t="inlineStr">
        <is>
          <t>2026-07-23</t>
        </is>
      </c>
      <c r="H55" s="12" t="inlineStr">
        <is>
          <t>PR #26 merged dea4a16 — Kimi I-PR1 9.5/10 GO. B-2: 2 tests TOCTOU real-mongo (cierre y siguiente-cerrado); B-3: test step-up 403</t>
        </is>
      </c>
      <c r="I55" s="12" t="inlineStr"/>
    </row>
    <row r="56">
      <c r="A56" s="12" t="inlineStr">
        <is>
          <t>S4-07</t>
        </is>
      </c>
      <c r="B56" s="12" t="inlineStr">
        <is>
          <t>Sprint 4</t>
        </is>
      </c>
      <c r="C56" s="12" t="inlineStr">
        <is>
          <t>5</t>
        </is>
      </c>
      <c r="D56" s="12" t="inlineStr">
        <is>
          <t>C1 categorías administrables (CRUD rubros + re-seed taxonomía real) + CR-S4 (2 eventos + permiso rubros:gestionar)</t>
        </is>
      </c>
      <c r="E56" s="12" t="inlineStr">
        <is>
          <t>Claude Code</t>
        </is>
      </c>
      <c r="F56" s="12" t="inlineStr">
        <is>
          <t>Hecha</t>
        </is>
      </c>
      <c r="G56" s="12" t="inlineStr">
        <is>
          <t>2026-07-22</t>
        </is>
      </c>
      <c r="H56" s="12" t="inlineStr">
        <is>
          <t>GO Kimi 9.2/9.4; merge 126ac29 (PR #24). Re-seed corrido en prod 2026-07-22: 39 rubros (solo difs de orden, 0 de tipo_flujo); depurar desde la app: Renting, Garantía cupo, Deudas impuestos, Planillas nuevas, Arriendos(operación). Falta frontend admin (sin gate)</t>
        </is>
      </c>
      <c r="I56" s="12" t="inlineStr">
        <is>
          <t>Gate Kimi PLAN</t>
        </is>
      </c>
    </row>
    <row r="57">
      <c r="A57" s="12" t="inlineStr">
        <is>
          <t>S4-08</t>
        </is>
      </c>
      <c r="B57" s="12" t="inlineStr">
        <is>
          <t>Sprint 4</t>
        </is>
      </c>
      <c r="C57" s="12" t="n">
        <v>5</v>
      </c>
      <c r="D57" s="12" t="inlineStr">
        <is>
          <t>Frontend: pantalla Categorías (C1) — CRUD rubros por grupo, acciones solo con rubros:gestionar</t>
        </is>
      </c>
      <c r="E57" s="12" t="inlineStr">
        <is>
          <t>Claude Code</t>
        </is>
      </c>
      <c r="F57" s="12" t="inlineStr">
        <is>
          <t>Hecha</t>
        </is>
      </c>
      <c r="G57" s="12" t="inlineStr">
        <is>
          <t>2026-07-22</t>
        </is>
      </c>
      <c r="H57" s="12" t="inlineStr">
        <is>
          <t>Commit 73b6877 (sin gate, como las demás pantallas). Vitest 11 passed; biome+tsc+build verdes. Habilita depuración D3 del CEO</t>
        </is>
      </c>
      <c r="I57" s="12" t="inlineStr">
        <is>
          <t>—</t>
        </is>
      </c>
    </row>
    <row r="58">
      <c r="A58" s="12" t="inlineStr">
        <is>
          <t>S5-02</t>
        </is>
      </c>
      <c r="B58" s="12" t="inlineStr">
        <is>
          <t>Sprint 5</t>
        </is>
      </c>
      <c r="C58" s="12" t="n">
        <v>6</v>
      </c>
      <c r="D58" s="12" t="inlineStr">
        <is>
          <t>C3 auto-clasificación: ReglaClasificacion (Spec §1.9) + aplicación en carga + reclasificación manual + semilla sin PII (CR-S5)</t>
        </is>
      </c>
      <c r="E58" s="12" t="inlineStr">
        <is>
          <t>Claude Code + Andrés</t>
        </is>
      </c>
      <c r="F58" s="12" t="inlineStr">
        <is>
          <t>Hecha</t>
        </is>
      </c>
      <c r="G58" s="12" t="inlineStr">
        <is>
          <t>2026-07-22</t>
        </is>
      </c>
      <c r="H58" s="12" t="inlineStr">
        <is>
          <t>GO Kimi PLAN-I 9.3 + I-PR1 9.4; merge 7253bd5 (PR #25). Semilla de reglas corrida en prod (2 ingresos → Recaudo, sin colisiones). Pendientes: pantalla reglas (sin gate) + extensión semilla egresos cuando CEO comparta el mapeo</t>
        </is>
      </c>
      <c r="I58" s="12" t="inlineStr">
        <is>
          <t>Gate Kimi PLAN</t>
        </is>
      </c>
    </row>
    <row r="59">
      <c r="A59" s="12" t="inlineStr">
        <is>
          <t>S5-03</t>
        </is>
      </c>
      <c r="B59" s="12" t="inlineStr">
        <is>
          <t>Sprint 5</t>
        </is>
      </c>
      <c r="C59" s="12" t="n">
        <v>6</v>
      </c>
      <c r="D59" s="12" t="inlineStr">
        <is>
          <t>Frontend: pantalla Reglas de clasificación (C3) — CRUD + aprobar + aplicar-pendientes con reporte D2</t>
        </is>
      </c>
      <c r="E59" s="12" t="inlineStr">
        <is>
          <t>Claude Code</t>
        </is>
      </c>
      <c r="F59" s="12" t="inlineStr">
        <is>
          <t>Hecha</t>
        </is>
      </c>
      <c r="G59" s="12" t="inlineStr">
        <is>
          <t>2026-07-22</t>
        </is>
      </c>
      <c r="H59" s="12" t="inlineStr">
        <is>
          <t>Commit 9815513 (sin gate, como las demás pantallas). Vitest 15 passed; biome+tsc+build verdes</t>
        </is>
      </c>
      <c r="I59" s="12" t="inlineStr">
        <is>
          <t>—</t>
        </is>
      </c>
    </row>
    <row r="60">
      <c r="A60" s="12" t="inlineStr">
        <is>
          <t>S6-01</t>
        </is>
      </c>
      <c r="B60" s="12" t="inlineStr">
        <is>
          <t>Sprint 6</t>
        </is>
      </c>
      <c r="C60" s="12" t="n">
        <v>7</v>
      </c>
      <c r="D60" s="12" t="inlineStr">
        <is>
          <t>C4 ajuste diario de caja: PATCH /meses/{mes}/saldos (upsert saldos_banco) + conciliacion al instante + CR-S6 (+1 evento saldo_banco.reportado, capacidad caja:reportar)</t>
        </is>
      </c>
      <c r="E60" s="12" t="inlineStr">
        <is>
          <t>Claude Code + Andrés</t>
        </is>
      </c>
      <c r="F60" s="12" t="inlineStr">
        <is>
          <t>Hecha</t>
        </is>
      </c>
      <c r="G60" s="12" t="inlineStr">
        <is>
          <t>2026-07-23</t>
        </is>
      </c>
      <c r="H60" s="12" t="inlineStr">
        <is>
          <t>PLAN-I GO Kimi 9.3 (B-1 incorporada). Código: PR #27 merge 670ba4e, CI 6/6 (backend-real-mongo verde: upsert atómico, B-1 concurrencia, O1, D4, D6). Suite 425 passed. Merge autorizado por CEO (gate-waiver 2026-07-23, Kimi ausente hasta 25-jul); auditoría Kimi de CÓDIGO RETROACTIVA pendiente</t>
        </is>
      </c>
    </row>
    <row r="61">
      <c r="A61" s="12" t="inlineStr">
        <is>
          <t>S6-02</t>
        </is>
      </c>
      <c r="B61" s="12" t="inlineStr">
        <is>
          <t>Sprint 6</t>
        </is>
      </c>
      <c r="C61" s="12" t="n">
        <v>7</v>
      </c>
      <c r="D61" s="12" t="inlineStr">
        <is>
          <t>Frontend: pantalla Caja (C4) — reportar saldo por banco del mes en ejecución + conciliación al instante; formulario solo con caja:reportar</t>
        </is>
      </c>
      <c r="E61" s="12" t="inlineStr">
        <is>
          <t>Claude Code</t>
        </is>
      </c>
      <c r="F61" s="12" t="inlineStr">
        <is>
          <t>Hecha</t>
        </is>
      </c>
      <c r="G61" s="12" t="inlineStr">
        <is>
          <t>2026-07-23</t>
        </is>
      </c>
      <c r="H61" s="12" t="inlineStr">
        <is>
          <t>Sin gate (como las demás pantallas). Vitest 2 passed (Caja) + suite 17/17; biome+tsc+build verdes. CajaPage + lib/caja.ts + ruta /caja + link navbar (caja:reportar)</t>
        </is>
      </c>
    </row>
    <row r="62">
      <c r="A62" s="12" t="inlineStr">
        <is>
          <t>COCK-01</t>
        </is>
      </c>
      <c r="B62" s="12" t="inlineStr">
        <is>
          <t>Cockpit</t>
        </is>
      </c>
      <c r="C62" s="12" t="inlineStr">
        <is>
          <t>Fase 1</t>
        </is>
      </c>
      <c r="D62" s="12" t="inlineStr">
        <is>
          <t>C7 — Motor de proyección de caja (BACKEND): recaudo por 2 vías DISCRIMINADO (cuota-a-cuota + iniciales), CAJA VERAZ (provisión NIIF 9 fuera del flujo, decisión CEO), semanas exactas por calendario real, inventario Auteco saldo rodante (anti-doble-conteo), escenarios (Pesimista/Base/Optimista), horizonte CONFIGURABLE a 180 meses (15 años). Motor puro + endpoint GET /proyeccion. Fuente: Dashboard Artefacto (formulación limpia del Simulador 2030).</t>
        </is>
      </c>
      <c r="E62" s="12" t="inlineStr">
        <is>
          <t>Claude Code</t>
        </is>
      </c>
      <c r="F62" s="12" t="inlineStr">
        <is>
          <t>Hecha</t>
        </is>
      </c>
      <c r="G62" s="12" t="inlineStr">
        <is>
          <t>2026-07-23</t>
        </is>
      </c>
      <c r="H62" s="12" t="inlineStr">
        <is>
          <t>commits 0db940b..4cd3f2f (rama cock-01-motor-proyeccion); 18 tests motor + 5 endpoints end-to-end; suite backend 476 verde; ruff limpio</t>
        </is>
      </c>
      <c r="I62" s="12" t="inlineStr">
        <is>
          <t>Gate Kimi</t>
        </is>
      </c>
    </row>
    <row r="63">
      <c r="A63" s="12" t="inlineStr">
        <is>
          <t>COCK-02</t>
        </is>
      </c>
      <c r="B63" s="12" t="inlineStr">
        <is>
          <t>Cockpit</t>
        </is>
      </c>
      <c r="C63" s="12" t="inlineStr">
        <is>
          <t>Fase 1</t>
        </is>
      </c>
      <c r="D63" s="12" t="inlineStr">
        <is>
          <t>Motor de ingresos por modelo + ModeloMoto ADMINISTRABLE (CRUD, baja lógica, saga O1, es_sistema inmutable) + ParametrosProyeccion versionado (drivers del motor) + CR-COCK (catálogo 40→44 eventos + capacidad proyeccion:gestionar).</t>
        </is>
      </c>
      <c r="E63" s="12" t="inlineStr">
        <is>
          <t>Claude Code</t>
        </is>
      </c>
      <c r="F63" s="12" t="inlineStr">
        <is>
          <t>Hecha</t>
        </is>
      </c>
      <c r="G63" s="12" t="inlineStr">
        <is>
          <t>2026-07-23</t>
        </is>
      </c>
      <c r="H63" s="12" t="inlineStr">
        <is>
          <t>commits de78dae, 0ea77cb; entidades registradas en DOMAIN_DOCUMENTS</t>
        </is>
      </c>
      <c r="I63" s="12" t="inlineStr">
        <is>
          <t>Gate Kimi</t>
        </is>
      </c>
    </row>
    <row r="64">
      <c r="A64" s="12" t="inlineStr">
        <is>
          <t>COCK-03</t>
        </is>
      </c>
      <c r="B64" s="12" t="inlineStr">
        <is>
          <t>Cockpit</t>
        </is>
      </c>
      <c r="C64" s="12" t="inlineStr">
        <is>
          <t>Fase 1</t>
        </is>
      </c>
      <c r="D64" s="12" t="inlineStr">
        <is>
          <t>Vista Proyecciones (frontend, el corazón visual): curva de caja SVG vs UMBRAL (caja mínima), KPIs (piso de caja, mes más ajustado, capital requerido, meses bajo mínimo, runway), ingreso DISCRIMINADO (recaudo crédito vs cuota inicial), selector de escenario (Pesimista/Base/Optimista) y horizonte (hasta 15 años). Consume GET /proyeccion; el front solo presenta.</t>
        </is>
      </c>
      <c r="E64" s="12" t="inlineStr">
        <is>
          <t>Claude Code</t>
        </is>
      </c>
      <c r="F64" s="12" t="inlineStr">
        <is>
          <t>Hecha</t>
        </is>
      </c>
      <c r="G64" s="12" t="inlineStr">
        <is>
          <t>2026-07-24</t>
        </is>
      </c>
      <c r="H64" s="12" t="inlineStr">
        <is>
          <t>rama cock-03-frontend-proyecciones; ProyeccionPage + lib/proyeccion; Vitest 21 verde; npm run build OK; biome limpio | Re-skin Fase B-1 al hero del Blueprint (curva cian + umbral rojo + KpiTile + tabla), merge main f9307fa; Vitest 33/33.</t>
        </is>
      </c>
      <c r="I64" s="12" t="inlineStr">
        <is>
          <t>sin gate</t>
        </is>
      </c>
    </row>
    <row r="65">
      <c r="A65" s="12" t="inlineStr">
        <is>
          <t>COCK-04</t>
        </is>
      </c>
      <c r="B65" s="12" t="inlineStr">
        <is>
          <t>Cockpit</t>
        </is>
      </c>
      <c r="C65" s="12" t="inlineStr">
        <is>
          <t>Fase 1</t>
        </is>
      </c>
      <c r="D65" s="12" t="inlineStr">
        <is>
          <t>Escenarios: Conservador/Base/Agresivo (mora/recuperación) superpuestos + tarjetas comparativas</t>
        </is>
      </c>
      <c r="E65" s="12" t="inlineStr">
        <is>
          <t>Claude Code</t>
        </is>
      </c>
      <c r="F65" s="12" t="inlineStr">
        <is>
          <t>Hecha</t>
        </is>
      </c>
      <c r="G65" s="12" t="inlineStr">
        <is>
          <t>2026-07-24</t>
        </is>
      </c>
      <c r="H65" s="12" t="inlineStr">
        <is>
          <t>Fase B-4. Merge a main ebb46c5. ScenariosPage: 3 escenarios (pesimista/base/optimista) superpuestos (ScenariosChart, escala compartida; base cyan/optimista green/pesimista amber; umbral rojo) + tarjetas comparativas (caja final, piso, meses bajo minimo, capital). useQueries; consume /proyeccion por escenario. Vitest 45/45, build+biome verdes. Sin gate (UI). GO del CEO.</t>
        </is>
      </c>
      <c r="I65" s="12" t="inlineStr">
        <is>
          <t>Gate Kimi</t>
        </is>
      </c>
    </row>
    <row r="66">
      <c r="A66" s="12" t="inlineStr">
        <is>
          <t>COCK-05</t>
        </is>
      </c>
      <c r="B66" s="12" t="inlineStr">
        <is>
          <t>Cockpit</t>
        </is>
      </c>
      <c r="C66" s="12" t="inlineStr">
        <is>
          <t>Fase 1</t>
        </is>
      </c>
      <c r="D66" s="12" t="inlineStr">
        <is>
          <t>Vista Inicio (pulso ejecutivo): KPIs caja/runway/motos/cartera/mora + línea de vida de la caja + próximos hitos</t>
        </is>
      </c>
      <c r="E66" s="12" t="inlineStr">
        <is>
          <t>Claude Code</t>
        </is>
      </c>
      <c r="F66" s="12" t="inlineStr">
        <is>
          <t>Hecha</t>
        </is>
      </c>
      <c r="G66" s="12" t="inlineStr">
        <is>
          <t>2026-07-24</t>
        </is>
      </c>
      <c r="H66" s="12" t="inlineStr">
        <is>
          <t>Fase B-2. Merge a main f66424d. InicioPage: KPIs del motor (piso/meses bajo minimo/capital/runway) + AlertBanner de perforacion + trayectoria (CashCurve compartido) + enlace a Proyecciones. Consume /proyeccion base; sin backend nuevo. Vitest 38/38, build+biome verdes. Sin gate (UI). GO del CEO.</t>
        </is>
      </c>
      <c r="I66" s="12" t="inlineStr">
        <is>
          <t>sin gate</t>
        </is>
      </c>
    </row>
    <row r="67">
      <c r="A67" s="12" t="inlineStr">
        <is>
          <t>COCK-06</t>
        </is>
      </c>
      <c r="B67" s="12" t="inlineStr">
        <is>
          <t>Cockpit</t>
        </is>
      </c>
      <c r="C67" s="12" t="inlineStr">
        <is>
          <t>Fase 1</t>
        </is>
      </c>
      <c r="D67" s="12" t="inlineStr">
        <is>
          <t>Datos: caja inicial de hoy + captura MANUAL de supuestos/presupuestos + importar modelo 2030 (opcional)</t>
        </is>
      </c>
      <c r="E67" s="12" t="inlineStr">
        <is>
          <t>Claude Code</t>
        </is>
      </c>
      <c r="F67" s="12" t="inlineStr">
        <is>
          <t>Hecha</t>
        </is>
      </c>
      <c r="G67" s="12" t="inlineStr">
        <is>
          <t>2026-07-24</t>
        </is>
      </c>
      <c r="H67" s="12" t="inlineStr">
        <is>
          <t>Fase B-3. Merge a main 9801fec. DatosPage: form de supuestos del motor (PUT /parametros-proyeccion) + catalogo de modelos (alta/desactivar/reactivar sobre /modelos-moto) + enlaces a capturas existentes. Montos string (regla 1); gated por proyeccion:gestionar; al guardar invalida la proyeccion. PENDIENTE: edicion in-situ de un modelo existente. Vitest 41/41, build+biome verdes. Sin gate (UI). GO del CEO.</t>
        </is>
      </c>
      <c r="I67" s="12" t="inlineStr">
        <is>
          <t>sin gate</t>
        </is>
      </c>
    </row>
    <row r="68">
      <c r="A68" s="12" t="inlineStr">
        <is>
          <t>COCK-07</t>
        </is>
      </c>
      <c r="B68" s="12" t="inlineStr">
        <is>
          <t>Cockpit</t>
        </is>
      </c>
      <c r="C68" s="12" t="inlineStr">
        <is>
          <t>Fase 3</t>
        </is>
      </c>
      <c r="D68" s="12" t="inlineStr">
        <is>
          <t>Dashboards operativos: cartera por añada, mora por tramo, cobranza, colocación</t>
        </is>
      </c>
      <c r="E68" s="12" t="inlineStr">
        <is>
          <t>Claude Code</t>
        </is>
      </c>
      <c r="F68" s="12" t="inlineStr">
        <is>
          <t>En curso</t>
        </is>
      </c>
      <c r="G68" s="12" t="inlineStr">
        <is>
          <t>2026-07-24</t>
        </is>
      </c>
      <c r="H68" s="12" t="inlineStr">
        <is>
          <t>First-pass en main 41bde32: DashboardsPage con las series que el motor C7 ya proyecta (cobranza, cuotas iniciales, ingreso bruto, cartera activa) + barras de cobranza mensual. Vitest 49/49, build+biome verdes. FALTA (CR pendiente, ver DASH-01): cartera por añada, mora por tramo y colocacion mensual — requieren motor de agregacion. No se falsearon. Sin gate el first-pass (UI).</t>
        </is>
      </c>
      <c r="I68" s="12" t="inlineStr">
        <is>
          <t>Gate Kimi (cálculo)</t>
        </is>
      </c>
    </row>
    <row r="69">
      <c r="A69" s="12" t="inlineStr">
        <is>
          <t>COCK-08</t>
        </is>
      </c>
      <c r="B69" s="12" t="inlineStr">
        <is>
          <t>Cockpit</t>
        </is>
      </c>
      <c r="C69" s="12" t="inlineStr">
        <is>
          <t>Fase 3</t>
        </is>
      </c>
      <c r="D69" s="12" t="inlineStr">
        <is>
          <t>Reportes para junta/inversionistas (board updates, exportables a PDF)</t>
        </is>
      </c>
      <c r="E69" s="12" t="inlineStr">
        <is>
          <t>Claude Code</t>
        </is>
      </c>
      <c r="F69" s="12" t="inlineStr">
        <is>
          <t>Hecha</t>
        </is>
      </c>
      <c r="G69" s="12" t="inlineStr">
        <is>
          <t>2026-07-24</t>
        </is>
      </c>
      <c r="H69" s="12" t="inlineStr">
        <is>
          <t>Merge a main 6491131. ReportesPage: resumen ejecutivo del escenario base (aviso perforacion + KPIs) + trayectoria (CashCurve) + tabla comparativa de los 3 escenarios; export a PDF por window.print con @media print (oculta sidebar/.no-print). Reusa el motor C7; sin backend nuevo. Vitest 47/47, build+biome verdes. Sin gate (UI). GO del CEO.</t>
        </is>
      </c>
      <c r="I69" s="12" t="inlineStr">
        <is>
          <t>sin gate</t>
        </is>
      </c>
    </row>
    <row r="70">
      <c r="A70" s="12" t="inlineStr">
        <is>
          <t>COCK-09</t>
        </is>
      </c>
      <c r="B70" s="12" t="inlineStr">
        <is>
          <t>Cockpit</t>
        </is>
      </c>
      <c r="C70" s="12" t="inlineStr">
        <is>
          <t>Fase 2</t>
        </is>
      </c>
      <c r="D70" s="12" t="inlineStr">
        <is>
          <t>Dato vivo: actuals (bancos ya construidos) vs proyección + rolling forecast; conexión SISMO/Alegra</t>
        </is>
      </c>
      <c r="E70" s="12" t="inlineStr">
        <is>
          <t>Claude Code</t>
        </is>
      </c>
      <c r="F70" s="12" t="inlineStr">
        <is>
          <t>Pendiente</t>
        </is>
      </c>
      <c r="G70" s="12" t="inlineStr"/>
      <c r="H70" s="12" t="inlineStr">
        <is>
          <t>Blueprint §5.6/§10 (Fase 2). Lo construido C1–C4/cargas/ciclo/cierre es el fondo</t>
        </is>
      </c>
      <c r="I70" s="12" t="inlineStr">
        <is>
          <t>Gate Kimi</t>
        </is>
      </c>
    </row>
    <row r="71">
      <c r="A71" s="12" t="inlineStr">
        <is>
          <t>S6-03</t>
        </is>
      </c>
      <c r="B71" s="12" t="inlineStr">
        <is>
          <t>Sprint 6</t>
        </is>
      </c>
      <c r="C71" s="12" t="n">
        <v>8</v>
      </c>
      <c r="D71" s="12" t="inlineStr">
        <is>
          <t>C5 vista combinada categoría × cuenta: GET /meses/{mes}/control/por-cuenta (matriz rubro×banco, reconcilia con Vista Control) + pestaña Por cuenta en ControlPage</t>
        </is>
      </c>
      <c r="E71" s="12" t="inlineStr">
        <is>
          <t>Claude Code</t>
        </is>
      </c>
      <c r="F71" s="12" t="inlineStr">
        <is>
          <t>Hecha</t>
        </is>
      </c>
      <c r="G71" s="12" t="inlineStr">
        <is>
          <t>2026-07-23</t>
        </is>
      </c>
      <c r="H71" s="12" t="inlineStr">
        <is>
          <t>Read-only, no crítico (sin gate). Backend 7 tests + reconciliación con control(); frontend Vitest 18/18; ruff+biome+tsc+build verdes. Construido bajo GO del CEO</t>
        </is>
      </c>
    </row>
    <row r="72">
      <c r="A72" s="12" t="inlineStr">
        <is>
          <t>COCK-00</t>
        </is>
      </c>
      <c r="B72" s="12" t="inlineStr">
        <is>
          <t>Cockpit</t>
        </is>
      </c>
      <c r="C72" s="12" t="n">
        <v>8</v>
      </c>
      <c r="D72" s="12" t="inlineStr">
        <is>
          <t>Fundación plan de cuentas (ARQUITECTURA_PRESUPUESTAL): Rubro +codigo +tipo Fijo/Variable, +grupo 0000 Ingresos operativos (6 grupos), semilla 42 rubros cruzando los 2 Excel. Armazón sin datos.</t>
        </is>
      </c>
      <c r="E72" s="12" t="inlineStr">
        <is>
          <t>Claude Code</t>
        </is>
      </c>
      <c r="F72" s="12" t="inlineStr">
        <is>
          <t>Hecha</t>
        </is>
      </c>
      <c r="G72" s="12" t="inlineStr">
        <is>
          <t>2026-07-23</t>
        </is>
      </c>
      <c r="H72" s="12" t="inlineStr">
        <is>
          <t>PR #31 merge c2c0faf, CI 8/8. Cruza Arquitectura Presupuestal Operativa (estructura) + Flujo de pago de deudas (taxonomía real). Recaudo→0110 Recaudo de cartera. Migración re-seed toma la semilla nueva al aplicar (desde cero). Bajo GO del CEO (gate-waiver 2026-07-23; auditoría Kimi pendiente)</t>
        </is>
      </c>
    </row>
    <row r="73">
      <c r="A73" s="12" t="inlineStr">
        <is>
          <t>S4-09</t>
        </is>
      </c>
      <c r="B73" s="12" t="inlineStr">
        <is>
          <t>Sprint 4</t>
        </is>
      </c>
      <c r="C73" s="12" t="n">
        <v>5</v>
      </c>
      <c r="D73" s="12" t="inlineStr">
        <is>
          <t>C1 extensión: exponer codigo + Tipo Fijo/Variable en API /rubros y pantalla Categorías (grupo Ingresos operativos incluido)</t>
        </is>
      </c>
      <c r="E73" s="12" t="inlineStr">
        <is>
          <t>Claude Code</t>
        </is>
      </c>
      <c r="F73" s="12" t="inlineStr">
        <is>
          <t>Hecha</t>
        </is>
      </c>
      <c r="G73" s="12" t="inlineStr">
        <is>
          <t>2026-07-23</t>
        </is>
      </c>
      <c r="H73" s="12" t="inlineStr">
        <is>
          <t>PR #32 merge 737bcb0, CI verde (re-run tras fix de tsc -b en tests). Backend 40 tests; frontend 18/18. Sin gate (extensión C1). Bajo GO del CEO</t>
        </is>
      </c>
    </row>
    <row r="74">
      <c r="A74" s="12" t="inlineStr">
        <is>
          <t>COCK-10</t>
        </is>
      </c>
      <c r="B74" s="12" t="inlineStr">
        <is>
          <t>Cockpit</t>
        </is>
      </c>
      <c r="C74" s="12" t="inlineStr">
        <is>
          <t>Fase 1</t>
        </is>
      </c>
      <c r="D74" s="12" t="inlineStr">
        <is>
          <t>Cockpit UX Fase A: sistema de diseno (tokens RODDOS + fuentes Montserrat/Raleway @fontsource, sin CDN) + app shell (sidebar fijo, arbol 8 vistas capability-gated) + componentes base (Button/Card/KpiTile/AlertBanner/ScenarioChip/PageHeader) + placeholder EnConstruccion</t>
        </is>
      </c>
      <c r="E74" s="12" t="inlineStr">
        <is>
          <t>Claude Code</t>
        </is>
      </c>
      <c r="F74" s="12" t="inlineStr">
        <is>
          <t>Hecha</t>
        </is>
      </c>
      <c r="G74" s="12" t="inlineStr">
        <is>
          <t>2026-07-24</t>
        </is>
      </c>
      <c r="H74" s="12" t="inlineStr">
        <is>
          <t>Merge a main a7b2101 (PR #35). Convierte la hoja en blanco en el cockpit del Blueprint (fondo blanco + acentos RODDOS). TDD 15 tests; Vitest 33/33, npm run build + biome verdes. Sin gate (UI no critica). GO del CEO.</t>
        </is>
      </c>
      <c r="I74" s="12" t="inlineStr">
        <is>
          <t>sin gate</t>
        </is>
      </c>
    </row>
    <row r="75">
      <c r="A75" s="12" t="inlineStr">
        <is>
          <t>IVA-01</t>
        </is>
      </c>
      <c r="B75" s="12" t="inlineStr">
        <is>
          <t>Cockpit</t>
        </is>
      </c>
      <c r="C75" s="12" t="inlineStr">
        <is>
          <t>Fase final</t>
        </is>
      </c>
      <c r="D75" s="12" t="inlineStr">
        <is>
          <t>C11 Motor de liquidacion de IVA cuatrimestral: entidad Factura (compra/venta, tercero+NIT, base, tarifa, IVA, fecha-&gt;cuatrimestre) + generado-descontable con arrastre de saldo a favor, en Decimal (solo backend).</t>
        </is>
      </c>
      <c r="E75" s="12" t="inlineStr">
        <is>
          <t>Claude Code</t>
        </is>
      </c>
      <c r="F75" s="12" t="inlineStr">
        <is>
          <t>Pendiente</t>
        </is>
      </c>
      <c r="H75" s="12" t="inlineStr">
        <is>
          <t>AL FINAL DEL DESARROLLO. De docs/modelo/AUDITORIA-IVA-ARTIFACT-V2.md (P0-1). Cimientos ya: CALENDARIO_DIAN, ModeloMoto.precio_venta_con_iva/costo_auteco, evento iva.declarado.</t>
        </is>
      </c>
      <c r="I75" s="12" t="inlineStr">
        <is>
          <t>Gate Kimi (IVA/calculo)</t>
        </is>
      </c>
    </row>
    <row r="76">
      <c r="A76" s="12" t="inlineStr">
        <is>
          <t>IVA-02</t>
        </is>
      </c>
      <c r="B76" s="12" t="inlineStr">
        <is>
          <t>Cockpit</t>
        </is>
      </c>
      <c r="C76" s="12" t="inlineStr">
        <is>
          <t>Fase final</t>
        </is>
      </c>
      <c r="D76" s="12" t="inlineStr">
        <is>
          <t>Enchufar el IVA neto como egreso en la proyeccion de caja en la fecha DIAN real (CALENDARIO_DIAN, digito 2). CORRIGE omision verificada: el motor C7 hoy NO resta IVA -&gt; caja proyectada sobreestimada.</t>
        </is>
      </c>
      <c r="E76" s="12" t="inlineStr">
        <is>
          <t>Claude Code</t>
        </is>
      </c>
      <c r="F76" s="12" t="inlineStr">
        <is>
          <t>Pendiente</t>
        </is>
      </c>
      <c r="H76" s="12" t="inlineStr">
        <is>
          <t>AL FINAL. AUDITORIA-IVA P0-2. Riesgo material tipo caja-espuria (al alza).</t>
        </is>
      </c>
      <c r="I76" s="12" t="inlineStr">
        <is>
          <t>Gate Kimi (IVA/calculo)</t>
        </is>
      </c>
    </row>
    <row r="77">
      <c r="A77" s="12" t="inlineStr">
        <is>
          <t>IVA-03</t>
        </is>
      </c>
      <c r="B77" s="12" t="inlineStr">
        <is>
          <t>Cockpit</t>
        </is>
      </c>
      <c r="C77" s="12" t="inlineStr">
        <is>
          <t>Fase final</t>
        </is>
      </c>
      <c r="D77" s="12" t="inlineStr">
        <is>
          <t>Descontable de OTRAS compras deducibles (no solo Auteco) para no sobreestimar el IVA a pagar.</t>
        </is>
      </c>
      <c r="E77" s="12" t="inlineStr">
        <is>
          <t>Claude Code</t>
        </is>
      </c>
      <c r="F77" s="12" t="inlineStr">
        <is>
          <t>Pendiente</t>
        </is>
      </c>
      <c r="H77" s="12" t="inlineStr">
        <is>
          <t>AL FINAL. AUDITORIA-IVA P0-3.</t>
        </is>
      </c>
      <c r="I77" s="12" t="inlineStr">
        <is>
          <t>Gate Kimi (IVA/calculo)</t>
        </is>
      </c>
    </row>
    <row r="78">
      <c r="A78" s="12" t="inlineStr">
        <is>
          <t>IVA-04</t>
        </is>
      </c>
      <c r="B78" s="12" t="inlineStr">
        <is>
          <t>Cockpit</t>
        </is>
      </c>
      <c r="C78" s="12" t="inlineStr">
        <is>
          <t>Fase final</t>
        </is>
      </c>
      <c r="D78" s="12" t="inlineStr">
        <is>
          <t>Fondo de provision de IVA (reserva mensual % del neto) como capacidad de tesoreria; aporte del artifact v6.</t>
        </is>
      </c>
      <c r="E78" s="12" t="inlineStr">
        <is>
          <t>Claude Code</t>
        </is>
      </c>
      <c r="F78" s="12" t="inlineStr">
        <is>
          <t>Pendiente</t>
        </is>
      </c>
      <c r="H78" s="12" t="inlineStr">
        <is>
          <t>AL FINAL. AUDITORIA-IVA P1-4.</t>
        </is>
      </c>
      <c r="I78" s="12" t="inlineStr">
        <is>
          <t>Gate Kimi (calculo/caja)</t>
        </is>
      </c>
    </row>
    <row r="79">
      <c r="A79" s="12" t="inlineStr">
        <is>
          <t>IVA-05</t>
        </is>
      </c>
      <c r="B79" s="12" t="inlineStr">
        <is>
          <t>Cockpit</t>
        </is>
      </c>
      <c r="C79" s="12" t="inlineStr">
        <is>
          <t>Fase final</t>
        </is>
      </c>
      <c r="D79" s="12" t="inlineStr">
        <is>
          <t>Generado sobre TODAS las ventas gravadas (repuestos/accesorios/servicio) si RODDOS las factura + simulador cuanto-pago-si-vendo-N-motos integrado en Escenarios.</t>
        </is>
      </c>
      <c r="E79" s="12" t="inlineStr">
        <is>
          <t>Claude Code</t>
        </is>
      </c>
      <c r="F79" s="12" t="inlineStr">
        <is>
          <t>Pendiente</t>
        </is>
      </c>
      <c r="H79" s="12" t="inlineStr">
        <is>
          <t>AL FINAL. AUDITORIA-IVA P1-5/6.</t>
        </is>
      </c>
      <c r="I79" s="12" t="inlineStr">
        <is>
          <t>Gate Kimi (calculo)</t>
        </is>
      </c>
    </row>
    <row r="80">
      <c r="A80" s="12" t="inlineStr">
        <is>
          <t>IVA-06</t>
        </is>
      </c>
      <c r="B80" s="12" t="inlineStr">
        <is>
          <t>Cockpit</t>
        </is>
      </c>
      <c r="C80" s="12" t="inlineStr">
        <is>
          <t>Fase final</t>
        </is>
      </c>
      <c r="D80" s="12" t="inlineStr">
        <is>
          <t>Vista IVA del cockpit (curva neto/pago DIAN/fondo de provision, proximo pago) + export Excel + consulta fecha-&gt;cuatrimestre. Reemplaza el placeholder /iva.</t>
        </is>
      </c>
      <c r="E80" s="12" t="inlineStr">
        <is>
          <t>Claude Code</t>
        </is>
      </c>
      <c r="F80" s="12" t="inlineStr">
        <is>
          <t>Pendiente</t>
        </is>
      </c>
      <c r="H80" s="12" t="inlineStr">
        <is>
          <t>AL FINAL. AUDITORIA-IVA P2-7/8/9. Solo presentacion.</t>
        </is>
      </c>
      <c r="I80" s="12" t="inlineStr">
        <is>
          <t>sin gate (UI)</t>
        </is>
      </c>
    </row>
    <row r="81">
      <c r="A81" s="12" t="inlineStr">
        <is>
          <t>DASH-01</t>
        </is>
      </c>
      <c r="B81" s="12" t="inlineStr">
        <is>
          <t>Cockpit</t>
        </is>
      </c>
      <c r="C81" s="12" t="inlineStr">
        <is>
          <t>Fase final</t>
        </is>
      </c>
      <c r="D81" s="12" t="inlineStr">
        <is>
          <t>Motor de agregacion operativa: cartera por AÑADA (cohorte), mora por TRAMO (aging) y colocacion mensual expuesta desde el motor. Completa COCK-07.</t>
        </is>
      </c>
      <c r="E81" s="12" t="inlineStr">
        <is>
          <t>Claude Code</t>
        </is>
      </c>
      <c r="F81" s="12" t="inlineStr">
        <is>
          <t>Pendiente</t>
        </is>
      </c>
      <c r="H81" s="12" t="inlineStr">
        <is>
          <t>AL FINAL DEL DESARROLLO. Necesario para las vistas de Dashboards de anada/tramo/colocacion que el first-pass dejo marcadas como pendientes.</t>
        </is>
      </c>
      <c r="I81" s="12" t="inlineStr">
        <is>
          <t>Gate Kimi (calculo)</t>
        </is>
      </c>
    </row>
    <row r="82">
      <c r="A82" s="12" t="inlineStr">
        <is>
          <t>COCK-11</t>
        </is>
      </c>
      <c r="B82" s="12" t="inlineStr">
        <is>
          <t>Cockpit</t>
        </is>
      </c>
      <c r="C82" s="12" t="inlineStr">
        <is>
          <t>Fase 1</t>
        </is>
      </c>
      <c r="D82" s="12" t="inlineStr">
        <is>
          <t>Re-skin de vistas existentes al Blueprint: Presupuesto (ControlPage) + herramientas de captura (Caja, Cargas, Categorias, Reglas, Meses). Coherencia visual total del cockpit: ninguna pantalla queda en el estilo viejo.</t>
        </is>
      </c>
      <c r="E82" s="12" t="inlineStr">
        <is>
          <t>Claude Code</t>
        </is>
      </c>
      <c r="F82" s="12" t="inlineStr">
        <is>
          <t>Hecha</t>
        </is>
      </c>
      <c r="G82" s="12" t="inlineStr">
        <is>
          <t>2026-07-24</t>
        </is>
      </c>
      <c r="H82" s="12" t="inlineStr">
        <is>
          <t>Presupuesto main 704607e; herramientas main 2f55aa6 (4 por agentes en paralelo + Reglas a mano por caida transitoria de API del agente). Sin cambios de logica ni contrato; textos/roles y tests preservados. Suite 45/45, npm run build + biome verdes. Sin gate (UI). GO del CEO.</t>
        </is>
      </c>
      <c r="I82" s="12" t="inlineStr">
        <is>
          <t>sin gate</t>
        </is>
      </c>
    </row>
    <row r="83">
      <c r="A83" s="12" t="inlineStr">
        <is>
          <t>FID-01</t>
        </is>
      </c>
      <c r="B83" s="12" t="inlineStr">
        <is>
          <t>Cockpit</t>
        </is>
      </c>
      <c r="C83" s="12" t="inlineStr">
        <is>
          <t>Fase 1</t>
        </is>
      </c>
      <c r="D83" s="12" t="inlineStr">
        <is>
          <t>Motor C7 suma recaudo/activos de la cartera previa (PR-1 Fidelidad)</t>
        </is>
      </c>
      <c r="E83" s="12" t="inlineStr">
        <is>
          <t>Claude Code</t>
        </is>
      </c>
      <c r="F83" s="12" t="inlineStr">
        <is>
          <t>Hecha</t>
        </is>
      </c>
      <c r="G83" s="12" t="inlineStr">
        <is>
          <t>2026-07-25</t>
        </is>
      </c>
      <c r="H83" s="12" t="inlineStr">
        <is>
          <t>main 9a133c0; motor 22 tests (TDD)</t>
        </is>
      </c>
      <c r="I83" s="12" t="inlineStr">
        <is>
          <t>Gate Kimi pendiente (GO CEO)</t>
        </is>
      </c>
    </row>
    <row r="84">
      <c r="A84" s="12" t="inlineStr">
        <is>
          <t>FID-02</t>
        </is>
      </c>
      <c r="B84" s="12" t="inlineStr">
        <is>
          <t>Cockpit</t>
        </is>
      </c>
      <c r="C84" s="12" t="inlineStr">
        <is>
          <t>Fase 1</t>
        </is>
      </c>
      <c r="D84" s="12" t="inlineStr">
        <is>
          <t>CarteraPreviaRecaudo + servicio + seed idempotente 97 semanas ($1.095.640.900) + evento cartera_previa.cargada</t>
        </is>
      </c>
      <c r="E84" s="12" t="inlineStr">
        <is>
          <t>Claude Code</t>
        </is>
      </c>
      <c r="F84" s="12" t="inlineStr">
        <is>
          <t>Hecha</t>
        </is>
      </c>
      <c r="G84" s="12" t="inlineStr">
        <is>
          <t>2026-07-25</t>
        </is>
      </c>
      <c r="H84" s="12" t="inlineStr">
        <is>
          <t>main 9a133c0; cartera_previa 5 tests</t>
        </is>
      </c>
      <c r="I84" s="12" t="inlineStr">
        <is>
          <t>Gate Kimi pendiente (GO CEO)</t>
        </is>
      </c>
    </row>
    <row r="85">
      <c r="A85" t="inlineStr">
        <is>
          <t>FID-03</t>
        </is>
      </c>
      <c r="B85" t="inlineStr">
        <is>
          <t>Cockpit</t>
        </is>
      </c>
      <c r="C85" t="inlineStr">
        <is>
          <t>Fase 1</t>
        </is>
      </c>
      <c r="D85" t="inlineStr">
        <is>
          <t>Golden-master del motor: paridad con simular() del artefacto (176 meses, dif max 0.042 COP). Cierra tarea paridad #21</t>
        </is>
      </c>
      <c r="E85" t="inlineStr">
        <is>
          <t>Claude Code</t>
        </is>
      </c>
      <c r="F85" t="inlineStr">
        <is>
          <t>Hecha</t>
        </is>
      </c>
      <c r="G85" t="inlineStr">
        <is>
          <t>2026-07-25</t>
        </is>
      </c>
      <c r="H85" t="inlineStr">
        <is>
          <t>main d9cfb69; test_golden_master 2 tests + motor 31</t>
        </is>
      </c>
      <c r="I85" t="inlineStr">
        <is>
          <t>Gate Kimi pendiente (GO CEO)</t>
        </is>
      </c>
    </row>
  </sheetData>
  <autoFilter ref="A1:I37"/>
  <dataValidations count="1">
    <dataValidation sqref="F2:F40" showDropDown="0" showInputMessage="0" showErrorMessage="0" allowBlank="1" type="list" errorStyle="stop" operator="between">
      <formula1>"Pendiente,En curso,Bloqueada,Hecha,Verificada"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F4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12" min="1" max="1"/>
    <col width="14" customWidth="1" style="12" min="2" max="2"/>
    <col width="62" customWidth="1" style="12" min="3" max="3"/>
    <col width="20" customWidth="1" style="12" min="4" max="4"/>
    <col width="12" customWidth="1" style="12" min="5" max="6"/>
  </cols>
  <sheetData>
    <row r="1" ht="15" customHeight="1" s="13">
      <c r="A1" s="17" t="inlineStr">
        <is>
          <t>Gate</t>
        </is>
      </c>
      <c r="B1" s="17" t="inlineStr">
        <is>
          <t>Momento</t>
        </is>
      </c>
      <c r="C1" s="17" t="inlineStr">
        <is>
          <t>Criterio</t>
        </is>
      </c>
      <c r="D1" s="17" t="inlineStr">
        <is>
          <t>Aprobador</t>
        </is>
      </c>
      <c r="E1" s="17" t="inlineStr">
        <is>
          <t>Estado</t>
        </is>
      </c>
      <c r="F1" s="17" t="inlineStr">
        <is>
          <t>Fecha</t>
        </is>
      </c>
    </row>
    <row r="2" ht="23.85" customHeight="1" s="13">
      <c r="A2" s="18" t="inlineStr">
        <is>
          <t>G1</t>
        </is>
      </c>
      <c r="B2" s="18" t="inlineStr">
        <is>
          <t>Fin Sprint 0b</t>
        </is>
      </c>
      <c r="C2" s="22" t="inlineStr">
        <is>
          <t>Esqueleto + checklist de SEGURIDAD (auth endurecida, audit inmutable en CI, escaneo). BLOQUEANTE</t>
        </is>
      </c>
      <c r="D2" s="18" t="inlineStr">
        <is>
          <t>CEO Andres + Kimi (evidencia) [CR-003]</t>
        </is>
      </c>
      <c r="E2" s="18" t="inlineStr">
        <is>
          <t>Aprobado — GO 9.4 (G1-R) + CEO</t>
        </is>
      </c>
      <c r="F2" s="18" t="inlineStr">
        <is>
          <t>2026-07-20</t>
        </is>
      </c>
    </row>
    <row r="3" ht="15" customHeight="1" s="13">
      <c r="A3" s="18" t="inlineStr">
        <is>
          <t>G2</t>
        </is>
      </c>
      <c r="B3" s="18" t="inlineStr">
        <is>
          <t>Fin Sprint 2</t>
        </is>
      </c>
      <c r="C3" s="22" t="inlineStr">
        <is>
          <t>3 parsers + dedup 0 duplicados + mini-migración mar–jul cuadrada</t>
        </is>
      </c>
      <c r="D3" s="18" t="inlineStr">
        <is>
          <t>Financiero + Tech Lead</t>
        </is>
      </c>
      <c r="E3" s="18" t="inlineStr">
        <is>
          <t>Pendiente</t>
        </is>
      </c>
      <c r="F3" s="18" t="n"/>
    </row>
    <row r="4" ht="23.85" customHeight="1" s="13">
      <c r="A4" s="18" t="inlineStr">
        <is>
          <t>G3</t>
        </is>
      </c>
      <c r="B4" s="18" t="inlineStr">
        <is>
          <t>Fin Sprint 4</t>
        </is>
      </c>
      <c r="C4" s="22" t="inlineStr">
        <is>
          <t>Ciclo presupuestal + control con julio real (demo modo histórico ya aprobada en S3)</t>
        </is>
      </c>
      <c r="D4" s="18" t="inlineStr">
        <is>
          <t>Directivo</t>
        </is>
      </c>
      <c r="E4" s="18" t="inlineStr">
        <is>
          <t>Pendiente</t>
        </is>
      </c>
      <c r="F4" s="18" t="n"/>
    </row>
    <row r="5" ht="23.85" customHeight="1" s="13">
      <c r="A5" s="18" t="inlineStr">
        <is>
          <t>G4</t>
        </is>
      </c>
      <c r="B5" s="18" t="inlineStr">
        <is>
          <t>Fin Sprint 6b</t>
        </is>
      </c>
      <c r="C5" s="22" t="inlineStr">
        <is>
          <t>Facturas ambos lados + IVA May–Ago reproducido + M10 + Capacidad de pago + dashboard</t>
        </is>
      </c>
      <c r="D5" s="18" t="inlineStr">
        <is>
          <t>Financiero</t>
        </is>
      </c>
      <c r="E5" s="18" t="inlineStr">
        <is>
          <t>Pendiente</t>
        </is>
      </c>
      <c r="F5" s="18" t="n"/>
    </row>
    <row r="6" ht="23.85" customHeight="1" s="13">
      <c r="A6" s="18" t="inlineStr">
        <is>
          <t>G5</t>
        </is>
      </c>
      <c r="B6" s="18" t="inlineStr">
        <is>
          <t>Fin Sprint 7</t>
        </is>
      </c>
      <c r="C6" s="22" t="inlineStr">
        <is>
          <t>UAT con guion + acta de conciliación + restore cronometrado. BLOQUEANTE ABSOLUTO (ventana 48h)</t>
        </is>
      </c>
      <c r="D6" s="18" t="inlineStr">
        <is>
          <t>CEO Andrés</t>
        </is>
      </c>
      <c r="E6" s="18" t="inlineStr">
        <is>
          <t>Pendiente</t>
        </is>
      </c>
      <c r="F6" s="18" t="n"/>
    </row>
    <row r="7">
      <c r="A7" s="12" t="inlineStr">
        <is>
          <t>Kimi PLAN (S0·Sesión 2)</t>
        </is>
      </c>
      <c r="B7" s="12" t="inlineStr">
        <is>
          <t>Pre-código auth/RBAC/audit</t>
        </is>
      </c>
      <c r="C7" s="12" t="inlineStr">
        <is>
          <t>Auditoría adversarial del plan &gt;=9.0 (I-PLAN 7.8 NO-GO → R-PLAN 9.1 GO)</t>
        </is>
      </c>
      <c r="D7" s="12" t="inlineStr">
        <is>
          <t>Kimi (auditor externo)</t>
        </is>
      </c>
      <c r="E7" s="12" t="inlineStr">
        <is>
          <t>Aprobado</t>
        </is>
      </c>
      <c r="F7" s="12" t="inlineStr">
        <is>
          <t>2026-07-18</t>
        </is>
      </c>
    </row>
    <row r="8">
      <c r="A8" s="12" t="inlineStr">
        <is>
          <t>Kimi PR-1 audit (S0·Sesión 2)</t>
        </is>
      </c>
      <c r="B8" s="12" t="inlineStr">
        <is>
          <t>Post-código PR-1</t>
        </is>
      </c>
      <c r="C8" s="12" t="inlineStr">
        <is>
          <t>Auditoría de código &gt;=9.0 (I-PR1 8.9→R-PR1 8.8→cierre 9.2)</t>
        </is>
      </c>
      <c r="D8" s="12" t="inlineStr">
        <is>
          <t>Kimi (auditor externo)</t>
        </is>
      </c>
      <c r="E8" s="12" t="inlineStr">
        <is>
          <t>Aprobado</t>
        </is>
      </c>
      <c r="F8" s="12" t="inlineStr">
        <is>
          <t>2026-07-18</t>
        </is>
      </c>
    </row>
    <row r="9">
      <c r="A9" s="12" t="inlineStr">
        <is>
          <t>Kimi PR-2 auth (S0·Sesión 2)</t>
        </is>
      </c>
      <c r="B9" s="12" t="inlineStr">
        <is>
          <t>Post-código PR-2</t>
        </is>
      </c>
      <c r="C9" s="12" t="inlineStr">
        <is>
          <t>Auditoría de código &gt;=9.0 (I-PR2 7.8→R-PR2 9.3 GO)</t>
        </is>
      </c>
      <c r="D9" s="12" t="inlineStr">
        <is>
          <t>Kimi (auditor externo)</t>
        </is>
      </c>
      <c r="E9" s="12" t="inlineStr">
        <is>
          <t>Aprobado</t>
        </is>
      </c>
      <c r="F9" s="12" t="inlineStr">
        <is>
          <t>2026-07-19</t>
        </is>
      </c>
    </row>
    <row r="10">
      <c r="A10" s="12" t="inlineStr">
        <is>
          <t>Kimi PR-3 RBAC (S0·Sesión 2)</t>
        </is>
      </c>
      <c r="B10" s="12" t="inlineStr">
        <is>
          <t>Post-código PR-3</t>
        </is>
      </c>
      <c r="C10" s="12" t="inlineStr">
        <is>
          <t>Auditoría de código &gt;=9.0 (I-PR3 9.5 GO) — cierra Sesión 2</t>
        </is>
      </c>
      <c r="D10" s="12" t="inlineStr">
        <is>
          <t>Kimi (auditor externo)</t>
        </is>
      </c>
      <c r="E10" s="12" t="inlineStr">
        <is>
          <t>Aprobado</t>
        </is>
      </c>
      <c r="F10" s="12" t="inlineStr">
        <is>
          <t>2026-07-19</t>
        </is>
      </c>
    </row>
    <row r="11">
      <c r="A11" s="12" t="inlineStr">
        <is>
          <t>Kimi PLAN (S0b)</t>
        </is>
      </c>
      <c r="B11" s="12" t="inlineStr">
        <is>
          <t>Pre-codigo dominio+MFA+cabeceras</t>
        </is>
      </c>
      <c r="C11" s="12" t="inlineStr">
        <is>
          <t>Auditoria del plan &gt;=9.0 (I-PLAN 8.7 GO CONDICIONADO: construir ya; A-01 gobernanza G1 + M-01..M-04 pendientes; estimado &gt;=9.3 al cierre)</t>
        </is>
      </c>
      <c r="D11" s="12" t="inlineStr">
        <is>
          <t>Kimi (auditor externo)</t>
        </is>
      </c>
      <c r="E11" s="12" t="inlineStr">
        <is>
          <t>Pendiente</t>
        </is>
      </c>
      <c r="F11" s="12" t="inlineStr">
        <is>
          <t>2026-07-19</t>
        </is>
      </c>
    </row>
    <row r="12">
      <c r="A12" s="12" t="inlineStr">
        <is>
          <t>Kimi PR-1 (S0b)</t>
        </is>
      </c>
      <c r="B12" s="12" t="inlineStr">
        <is>
          <t>Post-codigo dominio base</t>
        </is>
      </c>
      <c r="C12" s="12" t="inlineStr">
        <is>
          <t>Auditoria de codigo &gt;=9.0 (I-PR1 9.4 GO, merge autorizado). Bajas B-1 (seguimiento S0B-05) y B-2 (aplicada).</t>
        </is>
      </c>
      <c r="D12" s="12" t="inlineStr">
        <is>
          <t>Kimi (auditor externo)</t>
        </is>
      </c>
      <c r="E12" s="12" t="inlineStr">
        <is>
          <t>Aprobado</t>
        </is>
      </c>
      <c r="F12" s="12" t="inlineStr">
        <is>
          <t>2026-07-19</t>
        </is>
      </c>
    </row>
    <row r="13">
      <c r="A13" s="12" t="inlineStr">
        <is>
          <t>Kimi PR-2 (S0b) I</t>
        </is>
      </c>
      <c r="B13" s="12" t="inlineStr">
        <is>
          <t>Post-codigo MFA</t>
        </is>
      </c>
      <c r="C13" s="12" t="inlineStr">
        <is>
          <t>Auditoria de codigo (I-PR2 8.8 NO-GO condicionado; 3 Medias M1/M2/M3 + B1 aplicadas; re-presentar PR2-R, estimado &gt;=9.4)</t>
        </is>
      </c>
      <c r="D13" s="12" t="inlineStr">
        <is>
          <t>Kimi (auditor externo)</t>
        </is>
      </c>
      <c r="E13" s="12" t="inlineStr">
        <is>
          <t>Pendiente</t>
        </is>
      </c>
      <c r="F13" s="12" t="inlineStr">
        <is>
          <t>2026-07-19</t>
        </is>
      </c>
    </row>
    <row r="14">
      <c r="A14" s="12" t="inlineStr">
        <is>
          <t>Kimi PR-2 (S0b) R</t>
        </is>
      </c>
      <c r="B14" s="12" t="inlineStr">
        <is>
          <t>Post-fixes MFA</t>
        </is>
      </c>
      <c r="C14" s="12" t="inlineStr">
        <is>
          <t>Re-auditoria de codigo &gt;=9.0 (I-PR2 8.8 NO-GO -&gt; R-PR2 GO). Cierra DoD #11.</t>
        </is>
      </c>
      <c r="D14" s="12" t="inlineStr">
        <is>
          <t>Kimi (auditor externo)</t>
        </is>
      </c>
      <c r="E14" s="12" t="inlineStr">
        <is>
          <t>Aprobado</t>
        </is>
      </c>
      <c r="F14" s="12" t="inlineStr">
        <is>
          <t>2026-07-19</t>
        </is>
      </c>
    </row>
    <row r="15">
      <c r="A15" s="12" t="inlineStr">
        <is>
          <t>Kimi PR-3 (S0b)</t>
        </is>
      </c>
      <c r="B15" s="12" t="inlineStr">
        <is>
          <t>Post-codigo cabeceras</t>
        </is>
      </c>
      <c r="C15" s="12" t="inlineStr">
        <is>
          <t>Auditoria de codigo &gt;=9.0 (I-PR3 9.2 GO; B-1 orden middleware + B-2 style-src aplicados). Cierra DoD #12. Sprint 0b completo.</t>
        </is>
      </c>
      <c r="D15" s="12" t="inlineStr">
        <is>
          <t>Kimi (auditor externo)</t>
        </is>
      </c>
      <c r="E15" s="12" t="inlineStr">
        <is>
          <t>Aprobado</t>
        </is>
      </c>
      <c r="F15" s="12" t="inlineStr">
        <is>
          <t>2026-07-19</t>
        </is>
      </c>
    </row>
    <row r="16">
      <c r="A16" s="12" t="inlineStr">
        <is>
          <t>Kimi PLAN (Sesion 3 CI)</t>
        </is>
      </c>
      <c r="B16" s="12" t="inlineStr">
        <is>
          <t>Pre-codigo CI/CD</t>
        </is>
      </c>
      <c r="C16" s="12" t="inlineStr">
        <is>
          <t>Auditoria del plan &gt;=9.0 (I-PLAN 9.1 GO; P-1 placeholders a implementar + P-2 required checks incorporadas).</t>
        </is>
      </c>
      <c r="D16" s="12" t="inlineStr">
        <is>
          <t>Kimi (auditor externo)</t>
        </is>
      </c>
      <c r="E16" s="12" t="inlineStr">
        <is>
          <t>Aprobado</t>
        </is>
      </c>
      <c r="F16" s="12" t="inlineStr">
        <is>
          <t>2026-07-19</t>
        </is>
      </c>
    </row>
    <row r="17">
      <c r="A17" s="12" t="inlineStr">
        <is>
          <t>Kimi PR-I (Sesion 3 CI)</t>
        </is>
      </c>
      <c r="B17" s="12" t="inlineStr">
        <is>
          <t>PR codigo CI/CD</t>
        </is>
      </c>
      <c r="C17" s="12" t="inlineStr">
        <is>
          <t>Auditoria de codigo &gt;=9.0 (run verde 29771391813; PR-I 9.5 GO; DoD #8)</t>
        </is>
      </c>
      <c r="D17" s="12" t="inlineStr">
        <is>
          <t>Kimi (auditor externo)</t>
        </is>
      </c>
      <c r="E17" s="12" t="inlineStr">
        <is>
          <t>Aprobado</t>
        </is>
      </c>
      <c r="F17" s="12" t="inlineStr">
        <is>
          <t>2026-07-20</t>
        </is>
      </c>
    </row>
    <row r="18">
      <c r="A18" s="12" t="inlineStr">
        <is>
          <t>Kimi PLAN (Sprint 1)</t>
        </is>
      </c>
      <c r="B18" s="12" t="inlineStr">
        <is>
          <t>Pre-codigo Sprint 1</t>
        </is>
      </c>
      <c r="C18" s="12" t="inlineStr">
        <is>
          <t>Auditoria del plan &gt;=9.0 (PLAN-I 9.2 GO; M-1 aplicada)</t>
        </is>
      </c>
      <c r="D18" s="12" t="inlineStr">
        <is>
          <t>Kimi (auditor externo)</t>
        </is>
      </c>
      <c r="E18" s="12" t="inlineStr">
        <is>
          <t>Aprobado</t>
        </is>
      </c>
      <c r="F18" s="12" t="inlineStr">
        <is>
          <t>2026-07-20</t>
        </is>
      </c>
    </row>
    <row r="19">
      <c r="A19" s="12" t="inlineStr">
        <is>
          <t>Kimi Playbook Bloque C</t>
        </is>
      </c>
      <c r="B19" s="12" t="inlineStr">
        <is>
          <t>Pre-ejecucion infra</t>
        </is>
      </c>
      <c r="C19" s="12" t="inlineStr">
        <is>
          <t>Auditoria del playbook operacional (9.3 GO)</t>
        </is>
      </c>
      <c r="D19" s="12" t="inlineStr">
        <is>
          <t>Kimi (auditor externo)</t>
        </is>
      </c>
      <c r="E19" s="12" t="inlineStr">
        <is>
          <t>Aprobado</t>
        </is>
      </c>
      <c r="F19" s="12" t="inlineStr">
        <is>
          <t>2026-07-20</t>
        </is>
      </c>
    </row>
    <row r="20">
      <c r="A20" s="12" t="inlineStr">
        <is>
          <t>Kimi PR-I (Sprint 1 parsers+carga)</t>
        </is>
      </c>
      <c r="B20" s="12" t="inlineStr">
        <is>
          <t>Post-código PR (parsers+Transaccion+carga §1.6)</t>
        </is>
      </c>
      <c r="C20" s="12" t="inlineStr">
        <is>
          <t>Auditoría de código &gt;=9.0. Auditar: §1.6 vs regla 8; merge pre-gate (desviación CEO); id_banco huella</t>
        </is>
      </c>
      <c r="D20" s="12" t="inlineStr">
        <is>
          <t>Kimi (auditor externo)</t>
        </is>
      </c>
      <c r="E20" s="12" t="inlineStr">
        <is>
          <t>R: GO 9.3 (I 8.0 NO-GO → R). Merge 72034a0</t>
        </is>
      </c>
      <c r="F20" s="12" t="inlineStr">
        <is>
          <t>2026-07-20</t>
        </is>
      </c>
    </row>
    <row r="21">
      <c r="A21" s="12" t="inlineStr">
        <is>
          <t>Kimi PR-1 (Sprint 2 cargas+manual)</t>
        </is>
      </c>
      <c r="B21" s="12" t="inlineStr">
        <is>
          <t>Pre-merge endpoints cargas/manual</t>
        </is>
      </c>
      <c r="C21" s="12" t="inlineStr">
        <is>
          <t>Auditoría de código &gt;=9.0 — paquete PR1-I (sprint2-cargas)</t>
        </is>
      </c>
      <c r="D21" s="12" t="inlineStr">
        <is>
          <t>Kimi (auditor externo)</t>
        </is>
      </c>
      <c r="E21" s="12" t="inlineStr">
        <is>
          <t>R: GO 9.2 pleno (CR-S3 firmada). Merge c1566dc</t>
        </is>
      </c>
      <c r="F21" s="12" t="inlineStr">
        <is>
          <t>2026-07-20</t>
        </is>
      </c>
    </row>
    <row r="22">
      <c r="A22" s="12" t="inlineStr">
        <is>
          <t>Kimi PR-1 (Sprint 3 abrir mes)</t>
        </is>
      </c>
      <c r="B22" s="12" t="inlineStr">
        <is>
          <t>Pre-merge apertura del mes</t>
        </is>
      </c>
      <c r="C22" s="12" t="inlineStr">
        <is>
          <t>Auditoría de código &gt;=9.0 — paquete PR1-I (sprint3-ciclo)</t>
        </is>
      </c>
      <c r="D22" s="12" t="inlineStr">
        <is>
          <t>Kimi (auditor externo)</t>
        </is>
      </c>
      <c r="E22" s="12" t="inlineStr">
        <is>
          <t>R: GO 9.4 (I 8.8 → R). Mergeado a main</t>
        </is>
      </c>
      <c r="F22" s="12" t="inlineStr">
        <is>
          <t>2026-07-21</t>
        </is>
      </c>
    </row>
    <row r="23">
      <c r="A23" s="12" t="inlineStr">
        <is>
          <t>Kimi PR-1 (Sprint 3 motor sugerido)</t>
        </is>
      </c>
      <c r="B23" s="12" t="inlineStr">
        <is>
          <t>Pre-merge motor del sugerido</t>
        </is>
      </c>
      <c r="C23" s="12" t="inlineStr">
        <is>
          <t>Auditoría celda a celda &gt;=9.0 — paquete PR1-I (sprint3-motor)</t>
        </is>
      </c>
      <c r="D23" s="12" t="inlineStr">
        <is>
          <t>Kimi (auditor externo)</t>
        </is>
      </c>
      <c r="E23" s="12" t="inlineStr">
        <is>
          <t>I: GO 9.2 (auditoría celda a celda). Merge autorizado por CEO.</t>
        </is>
      </c>
      <c r="F23" s="12" t="inlineStr">
        <is>
          <t>2026-07-21</t>
        </is>
      </c>
    </row>
    <row r="24">
      <c r="A24" s="12" t="inlineStr">
        <is>
          <t>Kimi PLAN (Sprint 3 acotar+aprobar)</t>
        </is>
      </c>
      <c r="B24" s="12" t="inlineStr">
        <is>
          <t>Pre-código incremento acotar/aprobar</t>
        </is>
      </c>
      <c r="C24" s="12" t="inlineStr">
        <is>
          <t>Auditoría del PLAN &gt;=9.0 antes de construir (merge crítico: aprobación de presupuesto + multi-doc)</t>
        </is>
      </c>
      <c r="D24" s="12" t="inlineStr">
        <is>
          <t>Kimi (auditor externo)</t>
        </is>
      </c>
      <c r="E24" s="12" t="inlineStr">
        <is>
          <t>I: GO 9.2 (PLAN). M-1/M-2 incorporados sin re-auditoría. Construir con TDD.</t>
        </is>
      </c>
      <c r="F24" s="12" t="inlineStr">
        <is>
          <t>2026-07-21</t>
        </is>
      </c>
    </row>
    <row r="25">
      <c r="A25" s="12" t="inlineStr">
        <is>
          <t>Kimi PR-1 (Sprint 3 acotar+aprobar código)</t>
        </is>
      </c>
      <c r="B25" s="12" t="inlineStr">
        <is>
          <t>Pre-merge acotar/aprobar (PR #21)</t>
        </is>
      </c>
      <c r="C25" s="12" t="inlineStr">
        <is>
          <t>Auditoría de código &gt;=9.0: transacción multi-doc (regla 8), saga O1, convergencia en 2 puntos de fallo</t>
        </is>
      </c>
      <c r="D25" s="12" t="inlineStr">
        <is>
          <t>Kimi (auditor externo)</t>
        </is>
      </c>
      <c r="E25" s="12" t="inlineStr">
        <is>
          <t>I: GO 9.5 (gate código). Merge 885d32e autorizado. 1 Baja higiene → S4-00.</t>
        </is>
      </c>
      <c r="F25" s="12" t="inlineStr">
        <is>
          <t>2026-07-21</t>
        </is>
      </c>
    </row>
    <row r="26">
      <c r="A26" s="12" t="inlineStr">
        <is>
          <t>Kimi PLAN (Sprint 4 cierre+conciliación)</t>
        </is>
      </c>
      <c r="B26" s="12" t="inlineStr">
        <is>
          <t>Pre-código cierre/conciliación</t>
        </is>
      </c>
      <c r="C26" s="12" t="inlineStr">
        <is>
          <t>Auditoría del PLAN &gt;=9.0 (merge crítico: cierre multi-doc regla 8 + histórico inmutable + F-14)</t>
        </is>
      </c>
      <c r="D26" s="12" t="inlineStr">
        <is>
          <t>Kimi (auditor externo)</t>
        </is>
      </c>
      <c r="E26" s="12" t="inlineStr">
        <is>
          <t>R: GO 9.4 (I 8.5 NO-GO → R). Plan aprobado, construir con TDD. 8 tests exigidos para el gate de código.</t>
        </is>
      </c>
      <c r="F26" s="12" t="inlineStr">
        <is>
          <t>2026-07-21</t>
        </is>
      </c>
    </row>
    <row r="27">
      <c r="A27" s="12" t="inlineStr">
        <is>
          <t>Kimi PR-1 (Sprint 4 cierre código)</t>
        </is>
      </c>
      <c r="B27" s="12" t="inlineStr">
        <is>
          <t>Pre-merge cierre/conciliación (PR #22)</t>
        </is>
      </c>
      <c r="C27" s="12" t="inlineStr">
        <is>
          <t>Auditoría de código &gt;=9.0: 8 tests contra replica set (regla 8) + saga O1 en 2 puntos de fallo</t>
        </is>
      </c>
      <c r="D27" s="12" t="inlineStr">
        <is>
          <t>Kimi (auditor externo)</t>
        </is>
      </c>
      <c r="E27" s="12" t="inlineStr">
        <is>
          <t>I: GO 9.4 (gate código). Merge 9c62966 autorizado. 8/8 tests real-mongo. 3 Bajas → S4-02/S4-03.</t>
        </is>
      </c>
      <c r="F27" s="12" t="inlineStr">
        <is>
          <t>2026-07-21</t>
        </is>
      </c>
    </row>
    <row r="28">
      <c r="A28" s="12" t="inlineStr">
        <is>
          <t>Kimi PLAN (Sprint 4 Vista Control)</t>
        </is>
      </c>
      <c r="B28" s="12" t="inlineStr">
        <is>
          <t>Pre-código Vista Control</t>
        </is>
      </c>
      <c r="C28" s="12" t="inlineStr">
        <is>
          <t>Auditoría del PLAN &gt;=9.0: cálculo % ejecutado/disponible/semáforo (decisión CEO gate completo)</t>
        </is>
      </c>
      <c r="D28" s="12" t="inlineStr">
        <is>
          <t>Kimi (auditor externo)</t>
        </is>
      </c>
      <c r="E28" s="12" t="inlineStr">
        <is>
          <t>I: GO 9.3 (PLAN, sin hallazgos M/A). 3 Bajas → TDD. Construir.</t>
        </is>
      </c>
      <c r="F28" s="12" t="inlineStr">
        <is>
          <t>2026-07-22</t>
        </is>
      </c>
    </row>
    <row r="29">
      <c r="A29" s="12" t="inlineStr">
        <is>
          <t>Kimi PR-1 (Sprint 4 Vista Control código)</t>
        </is>
      </c>
      <c r="B29" s="12" t="inlineStr">
        <is>
          <t>Pre-merge Vista Control (PR #23)</t>
        </is>
      </c>
      <c r="C29" s="12" t="inlineStr">
        <is>
          <t>Auditoría de código &gt;=9.0: % ejecutado/disponible/semáforo, 8 tests + 3 Bajas</t>
        </is>
      </c>
      <c r="D29" s="12" t="inlineStr">
        <is>
          <t>Kimi (auditor externo)</t>
        </is>
      </c>
      <c r="E29" s="12" t="inlineStr">
        <is>
          <t>I: GO 9.4 (gate código). 8/8 tests + 3 Bajas. Baja nueva B-1 (fail-loud caja) aplicada pre-merge. Merge autorizado (Kimi).</t>
        </is>
      </c>
      <c r="F29" s="12" t="inlineStr">
        <is>
          <t>2026-07-22</t>
        </is>
      </c>
    </row>
    <row r="30">
      <c r="A30" s="12" t="inlineStr">
        <is>
          <t>Kimi PLAN (Sprint 4 C1 categorías)</t>
        </is>
      </c>
      <c r="B30" s="12" t="inlineStr">
        <is>
          <t>Pre-código C1</t>
        </is>
      </c>
      <c r="C30" s="12" t="inlineStr">
        <is>
          <t>Auditoría del PLAN &gt;=9.0: CRUD categorías + CR-S4 (catálogo+RBAC) + re-seed</t>
        </is>
      </c>
      <c r="D30" s="12" t="inlineStr">
        <is>
          <t>Kimi (auditor externo)</t>
        </is>
      </c>
      <c r="E30" s="12" t="inlineStr">
        <is>
          <t>I: GO 9.2 (PLAN, sin hallazgos M/A). 5 Bajas B-1..B-5 a incorporar en TDD; verificación en I-PR1 sin re-auditoría de plan. Autorizado CEO</t>
        </is>
      </c>
      <c r="F30" s="12" t="inlineStr">
        <is>
          <t>2026-07-22</t>
        </is>
      </c>
    </row>
    <row r="31">
      <c r="A31" s="12" t="inlineStr">
        <is>
          <t>Kimi PR-1 (Sprint 4 C1 código)</t>
        </is>
      </c>
      <c r="B31" s="12" t="inlineStr">
        <is>
          <t>Pre-merge C1 rubros (PR #24)</t>
        </is>
      </c>
      <c r="C31" s="12" t="inlineStr">
        <is>
          <t>Auditoría de código &gt;=9.0: B-1..B-5 incorporadas, fail-closed O1, RBAC rubros:gestionar, re-seed con reporte — paquete PR1-I</t>
        </is>
      </c>
      <c r="D31" s="12" t="inlineStr">
        <is>
          <t>Kimi (auditor externo)</t>
        </is>
      </c>
      <c r="E31" s="12" t="inlineStr">
        <is>
          <t>I: GO 9.4 (gate código). 9/9 tests + B-1..B-5; B-1 nueva (URI por env) aplicada pre-merge. Merge 126ac29 autorizado CEO</t>
        </is>
      </c>
      <c r="F31" s="12" t="inlineStr">
        <is>
          <t>2026-07-22</t>
        </is>
      </c>
    </row>
    <row r="32">
      <c r="A32" s="12" t="inlineStr">
        <is>
          <t>Kimi PLAN (Sprint 5 C3 auto-clasificación)</t>
        </is>
      </c>
      <c r="B32" s="12" t="inlineStr">
        <is>
          <t>Pre-código C3</t>
        </is>
      </c>
      <c r="C32" s="12" t="inlineStr">
        <is>
          <t>Auditoría del PLAN &gt;=9.0: coherencia tipo_tx↔tipo_rubro, guarda inactivos en reglas, regla 4 en reclasificación, CR-S5 (33→36 + reglas:gestionar)</t>
        </is>
      </c>
      <c r="D32" s="12" t="inlineStr">
        <is>
          <t>Kimi (auditor externo)</t>
        </is>
      </c>
      <c r="E32" s="12" t="inlineStr">
        <is>
          <t>I: GO 9.3 (PLAN, sin hallazgos M/A). D1-D5 aprobadas; 2 Bajas B-1 (revalidar D1 al activar) y B-2 (sellar clasificada_por/at en aplicar-pendientes) a TDD. Autorizado CEO</t>
        </is>
      </c>
      <c r="F32" s="12" t="inlineStr">
        <is>
          <t>2026-07-22</t>
        </is>
      </c>
    </row>
    <row r="33">
      <c r="A33" s="12" t="inlineStr">
        <is>
          <t>Kimi PR-1 (Sprint 5 C3 código)</t>
        </is>
      </c>
      <c r="B33" s="12" t="inlineStr">
        <is>
          <t>Pre-merge C3 reglas (PR #25)</t>
        </is>
      </c>
      <c r="C33" s="12" t="inlineStr">
        <is>
          <t>Auditoría de código &gt;=9.0: B-1/B-2 incorporadas, normalización única, D1/D2 en todas las vías, sellado aplicar-pendientes — paquete PR1-I</t>
        </is>
      </c>
      <c r="D33" s="12" t="inlineStr">
        <is>
          <t>Kimi (auditor externo)</t>
        </is>
      </c>
      <c r="E33" s="12" t="inlineStr">
        <is>
          <t>I: GO 9.4 (gate código). 11/11 tests + B-1/B-2; B-1 nueva (simetría D2) aplicada pre-merge. Merge 7253bd5 autorizado CEO</t>
        </is>
      </c>
      <c r="F33" s="12" t="inlineStr">
        <is>
          <t>2026-07-22</t>
        </is>
      </c>
    </row>
    <row r="34">
      <c r="A34" s="12" t="inlineStr">
        <is>
          <t>Kimi PR-1 (Sprint 4 deuda S4-00/S4-06)</t>
        </is>
      </c>
      <c r="B34" s="12" t="inlineStr">
        <is>
          <t>Pre-merge deuda técnica (PR #26)</t>
        </is>
      </c>
      <c r="C34" s="12" t="inlineStr">
        <is>
          <t>Auditoría de código &gt;=9.0: acotar transaccional (S4-00), TOCTOU cierre/reapertura (B-2), test step-up (B-3) — prescripciones de Kimi</t>
        </is>
      </c>
      <c r="D34" s="12" t="inlineStr">
        <is>
          <t>Kimi (auditor externo)</t>
        </is>
      </c>
      <c r="E34" s="12" t="inlineStr">
        <is>
          <t>Aprobado 9.5/10 — GO merge</t>
        </is>
      </c>
      <c r="F34" s="12" t="inlineStr">
        <is>
          <t>2026-07-22</t>
        </is>
      </c>
    </row>
    <row r="35">
      <c r="A35" s="12" t="inlineStr">
        <is>
          <t>Kimi PLAN (Sprint 6 C4 ajuste de caja)</t>
        </is>
      </c>
      <c r="B35" s="12" t="inlineStr">
        <is>
          <t>Pre-código C4</t>
        </is>
      </c>
      <c r="C35" s="12" t="inlineStr">
        <is>
          <t>Auditoría del PLAN &gt;=9.0: D1 upsert saldos_banco vs serie, D2 guardas de fecha, O1 mono-doc, CR-S6 (36→37 + caja:reportar)</t>
        </is>
      </c>
      <c r="D35" s="12" t="inlineStr">
        <is>
          <t>Kimi (auditor externo)</t>
        </is>
      </c>
      <c r="E35" s="12" t="inlineStr">
        <is>
          <t>I: GO 9.3 (PLAN). D1-D6 aprobadas; 1 Baja B-1 (upsert atómico posicional) incorporada al construir. Autorizado CEO</t>
        </is>
      </c>
      <c r="F35" s="12" t="inlineStr">
        <is>
          <t>2026-07-23</t>
        </is>
      </c>
    </row>
    <row r="36">
      <c r="A36" s="12" t="inlineStr">
        <is>
          <t>Kimi PR-1 (Sprint 6 C4 código)</t>
        </is>
      </c>
      <c r="B36" s="12" t="inlineStr">
        <is>
          <t>Pre-merge C4 (PR #27)</t>
        </is>
      </c>
      <c r="C36" s="12" t="inlineStr">
        <is>
          <t>Auditoría de código &gt;=9.0: B-1 atomicidad posicional, O1 por banco, D2/D3/D4, CR-S6 (37 + caja:reportar), cero cambios en conciliación — paquete PR1-I</t>
        </is>
      </c>
      <c r="D36" s="12" t="inlineStr">
        <is>
          <t>Kimi (auditor externo)</t>
        </is>
      </c>
      <c r="E36" s="12" t="inlineStr">
        <is>
          <t>CEO gate-waiver 2026-07-23: merge autorizado por el CEO con Kimi ausente (vuelve 25-jul). CI 6/6, GO PLAN 9.3, B-1 incorporada. Auditoría Kimi de código RETROACTIVA pendiente (fix-forward si &lt;9.0)</t>
        </is>
      </c>
      <c r="F36" s="12" t="inlineStr">
        <is>
          <t>2026-07-23 (retro pend.)</t>
        </is>
      </c>
    </row>
    <row r="37">
      <c r="A37" s="12" t="inlineStr">
        <is>
          <t>Kimi PLAN (Sprint 5 C9 Pagos de la semana)</t>
        </is>
      </c>
      <c r="B37" s="12" t="inlineStr">
        <is>
          <t>Pre-código S5-01/C9</t>
        </is>
      </c>
      <c r="C37" s="12" t="inlineStr">
        <is>
          <t>Auditoría del PLAN &gt;=9.0: PagoPlaneado + coherencia tipo (D1), veredicto reusa _caja_libro (D4), marcar-pagado multi-doc (D5), recorte D6, CR-S7 (37→40 + pagos:gestionar). Auditoría RETROACTIVA (Kimi vuelve 25-jul); construcción bajo GO del CEO</t>
        </is>
      </c>
      <c r="D37" s="12" t="inlineStr">
        <is>
          <t>Kimi (auditor externo)</t>
        </is>
      </c>
      <c r="E37" s="12" t="inlineStr">
        <is>
          <t>CEO gate-waiver 2026-07-23: PLAN aprobado por el CEO (GO de fase); auditoría Kimi pendiente</t>
        </is>
      </c>
      <c r="F37" s="12" t="inlineStr">
        <is>
          <t>2026-07-23</t>
        </is>
      </c>
    </row>
    <row r="38">
      <c r="A38" s="12" t="inlineStr">
        <is>
          <t>Kimi PR-1 (Sprint 5 C9 código)</t>
        </is>
      </c>
      <c r="B38" s="12" t="inlineStr">
        <is>
          <t>Pre-merge C9 (PR #29)</t>
        </is>
      </c>
      <c r="C38" s="12" t="inlineStr">
        <is>
          <t>Auditoría de código &gt;=9.0 RETROACTIVA (Kimi vuelve 25-jul): PagoPlaneado + D1, veredicto reusa _caja_libro (D4), marcar-pagado multi-doc+O1 (D5), CR-S7 (37→40 + pagos:gestionar). Construido/mergeado bajo GO del CEO por fase (gate-waiver trazable, fix-forward si &lt;9.0)</t>
        </is>
      </c>
      <c r="D38" s="12" t="inlineStr">
        <is>
          <t>Kimi (auditor externo)</t>
        </is>
      </c>
      <c r="E38" s="12" t="inlineStr">
        <is>
          <t>CEO gate-waiver 2026-07-23: construido y mergeado bajo GO del CEO. CI 6/6, suite 439 passed. Auditoría Kimi pendiente</t>
        </is>
      </c>
      <c r="F38" s="12" t="inlineStr">
        <is>
          <t>2026-07-23</t>
        </is>
      </c>
    </row>
    <row r="39">
      <c r="A39" s="12" t="inlineStr">
        <is>
          <t>Kimi (Cockpit COCK-00 fundación cuentas)</t>
        </is>
      </c>
      <c r="B39" s="12" t="inlineStr">
        <is>
          <t>Pre-merge fundación (PR #31)</t>
        </is>
      </c>
      <c r="C39" s="12" t="inlineStr">
        <is>
          <t>Auditoría de código &gt;=9.0: plan de cuentas 3 niveles + codigo/tipo + grupo ingresos, semilla 42, sin tocar datos prod. CEO gate-waiver 2026-07-23; auditoría Kimi pendiente</t>
        </is>
      </c>
      <c r="D39" s="12" t="inlineStr">
        <is>
          <t>Kimi (auditor externo)</t>
        </is>
      </c>
      <c r="E39" s="12" t="inlineStr">
        <is>
          <t>CEO gate-waiver 2026-07-23: mergeado bajo GO del CEO. CI 8/8. Auditoría Kimi pendiente</t>
        </is>
      </c>
      <c r="F39" s="12" t="inlineStr">
        <is>
          <t>2026-07-23</t>
        </is>
      </c>
    </row>
    <row r="40">
      <c r="A40" s="12" t="inlineStr">
        <is>
          <t>Kimi (Cockpit COCK-01/02 motor de proyección C7)</t>
        </is>
      </c>
      <c r="B40" s="12" t="inlineStr">
        <is>
          <t>Pre-merge motor C7 (PR pendiente)</t>
        </is>
      </c>
      <c r="C40" s="12" t="inlineStr">
        <is>
          <t>Auditoría de código &gt;=9.0: motor compute-only (2 vías discriminado, caja veraz, semanas exactas, Auteco saldo rodante, escenarios, horizonte 180m) + ModeloMoto/ParametrosProyeccion administrables + CR-COCK (40→44 + proyeccion:gestionar). Construido bajo GO del CEO por fase (Kimi vuelve 25-jul).</t>
        </is>
      </c>
      <c r="D40" s="12" t="inlineStr">
        <is>
          <t>Kimi (auditor externo)</t>
        </is>
      </c>
      <c r="E40" s="12" t="inlineStr">
        <is>
          <t>CEO gate-waiver 2026-07-23: construido bajo GO del CEO (TDD, 476 verdes, ruff limpio). Auditoría Kimi RETROACTIVA pendiente (fix-forward si &lt;9.0)</t>
        </is>
      </c>
      <c r="F40" s="12" t="inlineStr">
        <is>
          <t>2026-07-23</t>
        </is>
      </c>
    </row>
    <row r="41">
      <c r="A41" s="12" t="inlineStr">
        <is>
          <t>Kimi AVANCES jue-vie (retro)</t>
        </is>
      </c>
      <c r="B41" s="12" t="inlineStr">
        <is>
          <t>Retro 2026-07-23/24: motor C7 + C4 caja + C9 pagos + COCK-00 + cockpit</t>
        </is>
      </c>
      <c r="C41" s="12" t="inlineStr">
        <is>
          <t>Auditoria retroactiva &gt;=9.0; autodivulga omisiones motor C7 (cartera previa + IVA)</t>
        </is>
      </c>
      <c r="D41" s="12" t="inlineStr">
        <is>
          <t>Kimi (auditor externo)</t>
        </is>
      </c>
      <c r="E41" s="12" t="inlineStr">
        <is>
          <t>Enviado - pendiente respuesta</t>
        </is>
      </c>
      <c r="F41" s="12" t="inlineStr">
        <is>
          <t>2026-07-25</t>
        </is>
      </c>
    </row>
    <row r="42">
      <c r="A42" s="12" t="inlineStr">
        <is>
          <t>Kimi PR Fidelidad PR-1 (cartera previa)</t>
        </is>
      </c>
      <c r="B42" s="12" t="inlineStr">
        <is>
          <t>Post-codigo PR-1</t>
        </is>
      </c>
      <c r="C42" s="12" t="inlineStr">
        <is>
          <t>Auditoria &gt;=9.0 caja/motor; suma recaudo previo</t>
        </is>
      </c>
      <c r="D42" s="12" t="inlineStr">
        <is>
          <t>Kimi (auditor externo)</t>
        </is>
      </c>
      <c r="E42" s="12" t="inlineStr">
        <is>
          <t>Pendiente - merge bajo GO CEO</t>
        </is>
      </c>
      <c r="F42" s="12" t="inlineStr">
        <is>
          <t>2026-07-25</t>
        </is>
      </c>
    </row>
    <row r="43">
      <c r="A43" t="inlineStr">
        <is>
          <t>Kimi PR Fidelidad PR-3 (golden-master)</t>
        </is>
      </c>
      <c r="B43" t="inlineStr">
        <is>
          <t>Post-codigo PR-3</t>
        </is>
      </c>
      <c r="C43" t="inlineStr">
        <is>
          <t>Paridad motor&lt;-&gt;simular al peso (dif 0.042 COP)</t>
        </is>
      </c>
      <c r="D43" t="inlineStr">
        <is>
          <t>Kimi (auditor externo)</t>
        </is>
      </c>
      <c r="E43" t="inlineStr">
        <is>
          <t>Pendiente - merge bajo GO CEO</t>
        </is>
      </c>
      <c r="F43" t="inlineStr">
        <is>
          <t>2026-07-25</t>
        </is>
      </c>
    </row>
  </sheetData>
  <dataValidations count="1">
    <dataValidation sqref="E2:E16" showDropDown="0" showInputMessage="0" showErrorMessage="0" allowBlank="1" type="list" errorStyle="stop" operator="between">
      <formula1>"Pendiente,Aprobado,Rechazado"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12" min="1" max="1"/>
    <col width="80" customWidth="1" style="12" min="2" max="2"/>
    <col width="12" customWidth="1" style="12" min="3" max="3"/>
    <col width="25" customWidth="1" style="12" min="4" max="4"/>
  </cols>
  <sheetData>
    <row r="1" ht="15" customHeight="1" s="13">
      <c r="A1" s="17" t="inlineStr">
        <is>
          <t>#</t>
        </is>
      </c>
      <c r="B1" s="17" t="inlineStr">
        <is>
          <t>Punto del Definition of Done (Spec v1.1.2 §5)</t>
        </is>
      </c>
      <c r="C1" s="17" t="inlineStr">
        <is>
          <t>Estado</t>
        </is>
      </c>
      <c r="D1" s="17" t="inlineStr">
        <is>
          <t>Evidencia</t>
        </is>
      </c>
    </row>
    <row r="2" ht="15" customHeight="1" s="13">
      <c r="A2" s="18" t="n">
        <v>1</v>
      </c>
      <c r="B2" s="22" t="inlineStr">
        <is>
          <t>RBAC 4 roles + segregación con tests NEGATIVOS por rol (incluye export de Consulta denegado)</t>
        </is>
      </c>
      <c r="C2" s="18" t="inlineStr">
        <is>
          <t>Pendiente</t>
        </is>
      </c>
      <c r="D2" s="18" t="n"/>
    </row>
    <row r="3" ht="23.85" customHeight="1" s="13">
      <c r="A3" s="18" t="n">
        <v>2</v>
      </c>
      <c r="B3" s="22" t="inlineStr">
        <is>
          <t>Parsers de los 3 bancos con fixtures reales anonimizados, 0 duplicados en solape, 2 manuales coexisten, reproceso de carga fallida</t>
        </is>
      </c>
      <c r="C3" s="18" t="inlineStr">
        <is>
          <t>Pendiente</t>
        </is>
      </c>
      <c r="D3" s="18" t="inlineStr">
        <is>
          <t>Parsers 3 bancos + dedup 0-solape + 2 manuales: GO Kimi R-PR1 9.3. Falta fixtures reales anonimizados (S1-01) para cerrar.</t>
        </is>
      </c>
    </row>
    <row r="4" ht="23.85" customHeight="1" s="13">
      <c r="A4" s="18" t="n">
        <v>3</v>
      </c>
      <c r="B4" s="22" t="inlineStr">
        <is>
          <t>Ciclo presupuestal completo demostrado; sugerido == 4 columnas del Excel congelado (TOLERANCIA_CUADRE)</t>
        </is>
      </c>
      <c r="C4" s="18" t="inlineStr">
        <is>
          <t>Pendiente</t>
        </is>
      </c>
      <c r="D4" s="18" t="n"/>
    </row>
    <row r="5" ht="15" customHeight="1" s="13">
      <c r="A5" s="18" t="n">
        <v>4</v>
      </c>
      <c r="B5" s="22" t="inlineStr">
        <is>
          <t>Migración histórica conciliada contra el Excel; acta firmada por el Financiero</t>
        </is>
      </c>
      <c r="C5" s="18" t="inlineStr">
        <is>
          <t>Pendiente</t>
        </is>
      </c>
      <c r="D5" s="18" t="n"/>
    </row>
    <row r="6" ht="15" customHeight="1" s="13">
      <c r="A6" s="18" t="n">
        <v>5</v>
      </c>
      <c r="B6" s="22" t="inlineStr">
        <is>
          <t>Módulo IVA reproduce el cuatrimestre May–Ago 2026 con facturas reales</t>
        </is>
      </c>
      <c r="C6" s="18" t="inlineStr">
        <is>
          <t>Pendiente</t>
        </is>
      </c>
      <c r="D6" s="18" t="n"/>
    </row>
    <row r="7" ht="15" customHeight="1" s="13">
      <c r="A7" s="18" t="n">
        <v>6</v>
      </c>
      <c r="B7" s="22" t="inlineStr">
        <is>
          <t>Audit log con los 30 eventos (29 + extracto.cargado de CR-001) + test CI de inmutabilidad</t>
        </is>
      </c>
      <c r="C7" s="18" t="inlineStr">
        <is>
          <t>Cumplido</t>
        </is>
      </c>
      <c r="D7" s="18" t="inlineStr">
        <is>
          <t>Catálogo vivo: 36 eventos (29 Spec + CR-001 + CR-S2 + CR-S4 x2 + CR-S5 x3; será 37 con CR-S6 si recibe GO) + test de inmutabilidad del audit_log (update/remove FALLA) verde en CI real</t>
        </is>
      </c>
    </row>
    <row r="8" ht="15" customHeight="1" s="13">
      <c r="A8" s="18" t="n">
        <v>7</v>
      </c>
      <c r="B8" s="22" t="inlineStr">
        <is>
          <t>Dashboard replica la hoja Inicio con cifras idénticas, incluido ingreso proyectado (M10)</t>
        </is>
      </c>
      <c r="C8" s="18" t="inlineStr">
        <is>
          <t>Pendiente</t>
        </is>
      </c>
      <c r="D8" s="18" t="n"/>
    </row>
    <row r="9" ht="15" customHeight="1" s="13">
      <c r="A9" s="18" t="n">
        <v>8</v>
      </c>
      <c r="B9" s="22" t="inlineStr">
        <is>
          <t>Suite verde en CI con pip-audit, gitleaks y Dependabot</t>
        </is>
      </c>
      <c r="C9" s="18" t="inlineStr">
        <is>
          <t>Cumplido</t>
        </is>
      </c>
      <c r="D9" s="18" t="inlineStr">
        <is>
          <t>CI 5 jobs verdes (run 29771391813): pip-audit --strict 0 CVEs, gitleaks, Dependabot activo; Kimi PR-I GO 9.5 (2026-07-20)</t>
        </is>
      </c>
    </row>
    <row r="10" ht="23.85" customHeight="1" s="13">
      <c r="A10" s="18" t="n">
        <v>9</v>
      </c>
      <c r="B10" s="22" t="inlineStr">
        <is>
          <t>Carga: 5.000 movimientos &lt; 30 s y p95 dashboard &lt; 2 s con 12 meses de volumen (5 reales + sintético)</t>
        </is>
      </c>
      <c r="C10" s="18" t="inlineStr">
        <is>
          <t>Pendiente</t>
        </is>
      </c>
      <c r="D10" s="18" t="n"/>
    </row>
    <row r="11" ht="15" customHeight="1" s="13">
      <c r="A11" s="18" t="n">
        <v>10</v>
      </c>
      <c r="B11" s="22" t="inlineStr">
        <is>
          <t>Restauración selectiva cronometrada contra instancia temporal tamaño producción; RTO medido</t>
        </is>
      </c>
      <c r="C11" s="18" t="inlineStr">
        <is>
          <t>Pendiente</t>
        </is>
      </c>
      <c r="D11" s="18" t="n"/>
    </row>
    <row r="12" ht="23.85" customHeight="1" s="13">
      <c r="A12" s="18" t="n">
        <v>11</v>
      </c>
      <c r="B12" s="22" t="inlineStr">
        <is>
          <t>Auth endurecida verificada: logout revoca, desactivado pierde acceso, MFA Admin/Directivo, backoff</t>
        </is>
      </c>
      <c r="C12" s="18" t="inlineStr">
        <is>
          <t>Cumplido</t>
        </is>
      </c>
      <c r="D12" s="18" t="inlineStr">
        <is>
          <t>PR-2 GO Kimi R-PR2 (2026-07-19): MFA TOTP+step-up+respaldo+HIBP+reset; auth endurecida (Sesion 2). Gates: Kimi PR-2 R Aprobado.</t>
        </is>
      </c>
    </row>
    <row r="13" ht="15" customHeight="1" s="13">
      <c r="A13" s="18" t="n">
        <v>12</v>
      </c>
      <c r="B13" s="22" t="inlineStr">
        <is>
          <t>Cabeceras de seguridad (CSP, HSTS, nosniff, frame-ancestors) con test en CI</t>
        </is>
      </c>
      <c r="C13" s="18" t="inlineStr">
        <is>
          <t>Cumplido</t>
        </is>
      </c>
      <c r="D13" s="18" t="inlineStr">
        <is>
          <t>PR-3 GO Kimi I-PR3 9.2 (2026-07-19): SecurityHeadersMiddleware (CSP/HSTS/nosniff/Referrer/frame-ancestors/X-Frame) + vercel.json SPA + 6 tests CI. | 20-jul: verificado en URL real https://compas-api-von1.onrender.com (CSP/HSTS/nosniff/DENY/no-referrer)</t>
        </is>
      </c>
    </row>
  </sheetData>
  <dataValidations count="1">
    <dataValidation sqref="C2:C13" showDropDown="0" showInputMessage="0" showErrorMessage="0" allowBlank="1" type="list" errorStyle="stop" operator="between">
      <formula1>"Pendiente,En curso,Cumplido"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2" min="1" max="1"/>
    <col width="60" customWidth="1" style="12" min="2" max="2"/>
    <col width="12" customWidth="1" style="12" min="3" max="4"/>
    <col width="18" customWidth="1" style="12" min="5" max="5"/>
    <col width="14" customWidth="1" style="12" min="6" max="6"/>
    <col width="30" customWidth="1" style="12" min="7" max="7"/>
  </cols>
  <sheetData>
    <row r="1" ht="15" customHeight="1" s="13">
      <c r="A1" s="17" t="inlineStr">
        <is>
          <t>CR</t>
        </is>
      </c>
      <c r="B1" s="17" t="inlineStr">
        <is>
          <t>Descripción</t>
        </is>
      </c>
      <c r="C1" s="17" t="inlineStr">
        <is>
          <t>Solicitante</t>
        </is>
      </c>
      <c r="D1" s="17" t="inlineStr">
        <is>
          <t>Fecha</t>
        </is>
      </c>
      <c r="E1" s="17" t="inlineStr">
        <is>
          <t>Estado</t>
        </is>
      </c>
      <c r="F1" s="17" t="inlineStr">
        <is>
          <t>Sprint destino</t>
        </is>
      </c>
      <c r="G1" s="17" t="inlineStr">
        <is>
          <t>Impacto declarado</t>
        </is>
      </c>
    </row>
    <row r="2" ht="23.85" customHeight="1" s="13">
      <c r="A2" s="18" t="inlineStr">
        <is>
          <t>CR-001</t>
        </is>
      </c>
      <c r="B2" s="22" t="inlineStr">
        <is>
          <t>Gestión de extractos mensuales como fuente de verificación y corrección (ExtractoMensual + verificación automática + regla de cierre)</t>
        </is>
      </c>
      <c r="C2" s="18" t="inlineStr">
        <is>
          <t>CEO</t>
        </is>
      </c>
      <c r="D2" s="18" t="inlineStr">
        <is>
          <t>2026-07-18</t>
        </is>
      </c>
      <c r="E2" s="18" t="inlineStr">
        <is>
          <t>Aprobado y firmado</t>
        </is>
      </c>
      <c r="F2" s="18" t="inlineStr">
        <is>
          <t>Sprint 4</t>
        </is>
      </c>
      <c r="G2" s="18" t="inlineStr">
        <is>
          <t>Ninguno (1–1,5 días dentro del buffer)</t>
        </is>
      </c>
    </row>
    <row r="3" ht="23.85" customHeight="1" s="13">
      <c r="A3" s="18" t="inlineStr">
        <is>
          <t>CR-002</t>
        </is>
      </c>
      <c r="B3" s="22" t="inlineStr">
        <is>
          <t>Errata documental v1.1.3 (8 ítems): catálogo 29-&gt;30; cookie Path /auth-&gt;/api/v1/auth (Spec §4 Y STACK §3); api.compas.roddos.com + Origin; convención UTC-aware; colección refresh_sessions (Spec §2.3/STACK §4.2); TTL denylist por tipo; secreto MONGODB_URI_AUDIT (STACK §5.1). De auditorías Kimi I-PLAN+R-PLAN. Ver docs/COMPAS_ERRATA_PENDIENTE_v1_1_3.md + E-9: eventos mfa.habilitado/mfa.reset (catalogo 30-&gt;32, Kimi M3 de PR-2).</t>
        </is>
      </c>
      <c r="C3" s="18" t="inlineStr">
        <is>
          <t>Auditoría Kimi / Tech Lead</t>
        </is>
      </c>
      <c r="D3" s="18" t="inlineStr">
        <is>
          <t>2026-07-18</t>
        </is>
      </c>
      <c r="E3" s="18" t="inlineStr">
        <is>
          <t>Borrador</t>
        </is>
      </c>
      <c r="F3" s="18" t="inlineStr">
        <is>
          <t>Sprint 0 (errata) / re-baseline v1.1.3</t>
        </is>
      </c>
      <c r="G3" s="18" t="inlineStr">
        <is>
          <t>Ninguno de decisión/costo; solo reconciliación documental. Ver docs/COMPAS_ERRATA_PENDIENTE_v1_1_3.md</t>
        </is>
      </c>
    </row>
    <row r="4">
      <c r="A4" s="18" t="inlineStr">
        <is>
          <t>CR-003</t>
        </is>
      </c>
      <c r="B4" s="22" t="inlineStr">
        <is>
          <t>Mecanismo de aprobacion del Gate G1: aprobador = CEO Andres (decision) + auditoria adversarial Kimi &gt;=9.0 (evidencia); deroga a Ivan como required reviewer (era nominal). Origen: A-01 Kimi I-PLAN 0b. Ver docs/cambios/CR-003-gate-g1-aprobador.md</t>
        </is>
      </c>
      <c r="C4" s="18" t="inlineStr">
        <is>
          <t>CEO</t>
        </is>
      </c>
      <c r="D4" s="18" t="inlineStr">
        <is>
          <t>2026-07-19</t>
        </is>
      </c>
      <c r="E4" s="18" t="inlineStr">
        <is>
          <t>Aprobado por el CEO</t>
        </is>
      </c>
      <c r="F4" s="18" t="inlineStr">
        <is>
          <t>Sprint 0b / re-baseline v1.1.3</t>
        </is>
      </c>
      <c r="G4" s="18" t="inlineStr">
        <is>
          <t>Debilita bus-factor (2do par humano); aceptado por el CEO, compensado por gate Kimi. Costo/plazo: ninguno.</t>
        </is>
      </c>
    </row>
    <row r="5">
      <c r="A5" s="12" t="inlineStr">
        <is>
          <t>CR-A2</t>
        </is>
      </c>
      <c r="B5" s="12" t="inlineStr">
        <is>
          <t>Dedup: huella con ordinal de ocurrencia (Kimi A-01) + análisis de colisión sobre fixtures reales</t>
        </is>
      </c>
      <c r="C5" s="12" t="inlineStr">
        <is>
          <t>Kimi (auditoría I-PR1) / Claude</t>
        </is>
      </c>
      <c r="D5" s="12" t="inlineStr">
        <is>
          <t>2026-07-20</t>
        </is>
      </c>
      <c r="E5" s="12" t="inlineStr">
        <is>
          <t>Aceptada por Kimi (GO R-PR1 9.3); análisis de colisión pendiente de fixtures (S1-01)</t>
        </is>
      </c>
      <c r="F5" s="12" t="inlineStr">
        <is>
          <t>Sprint 1/2</t>
        </is>
      </c>
      <c r="G5" s="12" t="inlineStr">
        <is>
          <t>Correctitud ya garantizada por el ordinal; el análisis solo cuantifica la frecuencia de colisión</t>
        </is>
      </c>
    </row>
    <row r="6">
      <c r="A6" s="12" t="inlineStr">
        <is>
          <t>CR-S2</t>
        </is>
      </c>
      <c r="B6" s="12" t="inlineStr">
        <is>
          <t>Evento transaccion.creada — rastro forense del POST manual (catálogo 30→31)</t>
        </is>
      </c>
      <c r="C6" s="12" t="inlineStr">
        <is>
          <t>Kimi (I-PR1 sprint2-cargas M-1) / Claude</t>
        </is>
      </c>
      <c r="D6" s="12" t="inlineStr">
        <is>
          <t>2026-07-20</t>
        </is>
      </c>
      <c r="E6" s="12" t="inlineStr">
        <is>
          <t>Aceptada por gate Kimi; folde a v1.1.3 junto con E-9</t>
        </is>
      </c>
      <c r="F6" s="12" t="inlineStr">
        <is>
          <t>Sprint 2</t>
        </is>
      </c>
      <c r="G6" s="12" t="inlineStr">
        <is>
          <t>Regla 11 y events.py actualizados; emitida en toda creación manual</t>
        </is>
      </c>
    </row>
    <row r="7">
      <c r="A7" s="12" t="inlineStr">
        <is>
          <t>CR-S3</t>
        </is>
      </c>
      <c r="B7" s="12" t="inlineStr">
        <is>
          <t>Gobernanza del inventario de secretos en repo (condición GO 9.2 sprint2)</t>
        </is>
      </c>
      <c r="C7" s="12" t="inlineStr">
        <is>
          <t>Kimi (R-PR1 sprint2) / Claude</t>
        </is>
      </c>
      <c r="D7" s="12" t="inlineStr">
        <is>
          <t>2026-07-20</t>
        </is>
      </c>
      <c r="E7" s="12" t="inlineStr">
        <is>
          <t>Aprobada (firma CEO 2026-07-20 en sesión). Condición del GO 9.2 CUMPLIDA.</t>
        </is>
      </c>
      <c r="F7" s="12" t="inlineStr">
        <is>
          <t>Sprint 2</t>
        </is>
      </c>
      <c r="G7" s="12" t="inlineStr">
        <is>
          <t>Allowlist path exacto verificado; regla de rotación; migrar a Secrets Manager/SOPS en go-live</t>
        </is>
      </c>
    </row>
    <row r="8">
      <c r="A8" s="12" t="inlineStr">
        <is>
          <t>CR-S4</t>
        </is>
      </c>
      <c r="B8" s="12" t="inlineStr">
        <is>
          <t>C1 categorías administrables: eventos rubro.creado/rubro.editado (catálogo 31→33) + permiso rubros:gestionar={financiero,admin}</t>
        </is>
      </c>
      <c r="C8" s="12" t="inlineStr">
        <is>
          <t>CEO (C1) / gate Kimi</t>
        </is>
      </c>
      <c r="D8" s="12" t="inlineStr">
        <is>
          <t>2026-07-22</t>
        </is>
      </c>
      <c r="E8" s="12" t="inlineStr">
        <is>
          <t>Aprobado vía gate Kimi (PLAN-I 9.2 + I-PR1 9.4) + autorización CEO; merge 126ac29 (PR #24)</t>
        </is>
      </c>
      <c r="F8" s="12" t="inlineStr">
        <is>
          <t>Sprint 4</t>
        </is>
      </c>
      <c r="G8" s="12" t="inlineStr">
        <is>
          <t>Regla 11 y permissions.py actualizados; re-seed taxonomía real corrido en prod</t>
        </is>
      </c>
    </row>
    <row r="9">
      <c r="A9" s="12" t="inlineStr">
        <is>
          <t>CR-S5</t>
        </is>
      </c>
      <c r="B9" s="12" t="inlineStr">
        <is>
          <t>C3 auto-clasificación: eventos regla.creada/editada/desactivada (catálogo 33→36) + permiso reglas:gestionar={financiero,admin}</t>
        </is>
      </c>
      <c r="C9" s="12" t="inlineStr">
        <is>
          <t>CEO (C3) / gate Kimi</t>
        </is>
      </c>
      <c r="D9" s="12" t="inlineStr">
        <is>
          <t>2026-07-22</t>
        </is>
      </c>
      <c r="E9" s="12" t="inlineStr">
        <is>
          <t>Aprobado vía gate Kimi (PLAN-I 9.3 + I-PR1 9.4) + autorización CEO; merge 7253bd5 (PR #25)</t>
        </is>
      </c>
      <c r="F9" s="12" t="inlineStr">
        <is>
          <t>Sprint 5</t>
        </is>
      </c>
      <c r="G9" s="12" t="inlineStr">
        <is>
          <t>Regla 11 y permissions.py actualizados; semilla ingresos→Recaudo corrida en prod</t>
        </is>
      </c>
    </row>
    <row r="10">
      <c r="A10" s="12" t="inlineStr">
        <is>
          <t>CR-S6</t>
        </is>
      </c>
      <c r="B10" s="12" t="inlineStr">
        <is>
          <t>C4 ajuste diario de caja: evento saldo_banco.reportado (catálogo 36→37) + capacidad caja:reportar={financiero,admin}</t>
        </is>
      </c>
      <c r="C10" s="12" t="inlineStr">
        <is>
          <t>CEO (C4) / Claude</t>
        </is>
      </c>
      <c r="D10" s="12" t="inlineStr">
        <is>
          <t>2026-07-23</t>
        </is>
      </c>
      <c r="E10" s="12" t="inlineStr">
        <is>
          <t>Declarado en PLAN-I sprint6-ajuste-caja — PENDIENTE gate Kimi (&gt;=9.0)</t>
        </is>
      </c>
      <c r="F10" s="12" t="inlineStr">
        <is>
          <t>Sprint 6</t>
        </is>
      </c>
      <c r="G10" s="12" t="inlineStr">
        <is>
          <t>Solo se aplica si el PLAN recibe GO; sin código aún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12" min="1" max="1"/>
  </cols>
  <sheetData>
    <row r="1" ht="16.15" customHeight="1" s="13">
      <c r="A1" s="23" t="inlineStr">
        <is>
          <t>Cómo usar este tablero</t>
        </is>
      </c>
    </row>
    <row r="3" ht="23.85" customHeight="1" s="13">
      <c r="A3" s="24" t="inlineStr">
        <is>
          <t>1. Al cerrar cada sesión de Claude Code o cada entregable: cambia el Estado en la hoja Tareas (desplegable) y anota fecha y evidencia (commit, PR, demo).</t>
        </is>
      </c>
    </row>
    <row r="4" ht="23.85" customHeight="1" s="13">
      <c r="A4" s="24" t="inlineStr">
        <is>
          <t>2. Estados: Pendiente → En curso → Hecha (el ejecutor terminó) → Verificada (Iván o el gate lo validó). Bloqueada exige nota en Evidencia.</t>
        </is>
      </c>
    </row>
    <row r="5" ht="15" customHeight="1" s="13">
      <c r="A5" s="24" t="inlineStr">
        <is>
          <t>3. El Dashboard calcula el % de avance por sprint automáticamente (fórmulas COUNTIF sobre Tareas).</t>
        </is>
      </c>
    </row>
    <row r="6" ht="15" customHeight="1" s="13">
      <c r="A6" s="24" t="inlineStr">
        <is>
          <t>4. Gates: solo el aprobador nombrado cambia el estado a Aprobado, con fecha.</t>
        </is>
      </c>
    </row>
    <row r="7" ht="15" customHeight="1" s="13">
      <c r="A7" s="24" t="inlineStr">
        <is>
          <t>5. DoD: los 12 puntos deben estar 'Cumplido' antes del gate G5 (más el punto 6 actualizado a 30 eventos por CR-001).</t>
        </is>
      </c>
    </row>
    <row r="8" ht="15" customHeight="1" s="13">
      <c r="A8" s="24" t="inlineStr">
        <is>
          <t>6. CRs: NINGÚN cambio de alcance se construye sin fila aquí y aprobación del CEO (lección de la auditoría).</t>
        </is>
      </c>
    </row>
    <row r="9" ht="15" customHeight="1" s="13">
      <c r="A9" s="24" t="inlineStr">
        <is>
          <t>7. Este archivo vive en docs/ del repo y se versiona con git: commit al final de cada semana como mínimo.</t>
        </is>
      </c>
    </row>
    <row r="10" ht="15" customHeight="1" s="13">
      <c r="A10" s="24" t="inlineStr">
        <is>
          <t>Celdas editables: columnas Estado, Fecha cierre y Evidencia (Tareas); Estado y Fecha (Gates, DoD); filas nuevas en CRs.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2026-07-18T16:46:58Z</dcterms:created>
  <dcterms:modified xmlns:dcterms="http://purl.org/dc/terms/" xmlns:xsi="http://www.w3.org/2001/XMLSchema-instance" xsi:type="dcterms:W3CDTF">2026-07-26T02:56:27Z</dcterms:modified>
  <cp:revision>0</cp:revision>
</cp:coreProperties>
</file>