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calcMode="auto" fullCalcOnLoad="1" refMode="A1" iterate="0" iterateCount="100" iterateDelta="0.0001" calcOnSave="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18" t="inlineStr">
        <is>
          <t>2.0 · Fase 0</t>
        </is>
      </c>
      <c r="B20" s="18">
        <f>COUNTIF(Tareas!B:B,A20)</f>
        <v/>
      </c>
      <c r="C20" s="18">
        <f>COUNTIFS(Tareas!B:B,A20,Tareas!F:F,"Hecha")+COUNTIFS(Tareas!B:B,A20,Tareas!F:F,"Verificada")</f>
        <v/>
      </c>
      <c r="D20" s="19">
        <f>IF(B20=0,0,C20/B20)</f>
        <v/>
      </c>
    </row>
    <row r="21">
      <c r="A21" s="18" t="inlineStr">
        <is>
          <t>2.0 · Funcional</t>
        </is>
      </c>
      <c r="B21" s="18">
        <f>COUNTIF(Tareas!B:B,A21)</f>
        <v/>
      </c>
      <c r="C21" s="18">
        <f>COUNTIFS(Tareas!B:B,A21,Tareas!F:F,"Hecha")+COUNTIFS(Tareas!B:B,A21,Tareas!F:F,"Verificada")</f>
        <v/>
      </c>
      <c r="D21" s="19">
        <f>IF(B21=0,0,C21/B21)</f>
        <v/>
      </c>
    </row>
    <row r="22">
      <c r="A22" s="18" t="inlineStr">
        <is>
          <t>2.0 · Visual</t>
        </is>
      </c>
      <c r="B22" s="18">
        <f>COUNTIF(Tareas!B:B,A22)</f>
        <v/>
      </c>
      <c r="C22" s="18">
        <f>COUNTIFS(Tareas!B:B,A22,Tareas!F:F,"Hecha")+COUNTIFS(Tareas!B:B,A22,Tareas!F:F,"Verificada")</f>
        <v/>
      </c>
      <c r="D22" s="19">
        <f>IF(B22=0,0,C22/B22)</f>
        <v/>
      </c>
    </row>
    <row r="23">
      <c r="A23" s="18" t="inlineStr">
        <is>
          <t>2.0 · Gates</t>
        </is>
      </c>
      <c r="B23" s="18">
        <f>COUNTIF(Tareas!B:B,A23)</f>
        <v/>
      </c>
      <c r="C23" s="18">
        <f>COUNTIFS(Tareas!B:B,A23,Tareas!F:F,"Hecha")+COUNTIFS(Tareas!B:B,A23,Tareas!F:F,"Verificada")</f>
        <v/>
      </c>
      <c r="D23" s="19">
        <f>IF(B23=0,0,C23/B23)</f>
        <v/>
      </c>
    </row>
    <row r="24">
      <c r="A24" s="18" t="inlineStr">
        <is>
          <t>2.0 · Backlog</t>
        </is>
      </c>
      <c r="B24" s="18">
        <f>COUNTIF(Tareas!B:B,A24)</f>
        <v/>
      </c>
      <c r="C24" s="18">
        <f>COUNTIFS(Tareas!B:B,A24,Tareas!F:F,"Hecha")+COUNTIFS(Tareas!B:B,A24,Tareas!F:F,"Verificada")</f>
        <v/>
      </c>
      <c r="D24" s="19">
        <f>IF(B24=0,0,C24/B24)</f>
        <v/>
      </c>
    </row>
    <row r="25">
      <c r="A25" s="18" t="inlineStr">
        <is>
          <t>TOTAL</t>
        </is>
      </c>
      <c r="B25" s="18">
        <f>SUM(B7:B24)</f>
        <v/>
      </c>
      <c r="C25" s="18">
        <f>SUM(C7:C24)</f>
        <v/>
      </c>
      <c r="D25" s="19">
        <f>IF(B25=0,0,C25/B25)</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9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s="1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Hecha</t>
        </is>
      </c>
      <c r="G143" s="12" t="inlineStr">
        <is>
          <t>2026-08-10</t>
        </is>
      </c>
      <c r="H143" s="12" t="inlineStr">
        <is>
          <t>MERGEADO a main 05ea912. Frontend (solo presentacion, motor cero diffs): columna 'Ajuste mora/default' (=neto-bruto) -&gt; Inicial+Semanales+Ajuste==Ingreso fila a fila y total (test caso agosto real); 'Activacion'-&gt;'Alistamiento' agrupada con Costo + tooltips; desglose 'Deudas y obligaciones'. Backend: mapeo E1 4040+4070-&gt;int_deuda (supersede R-2, GO CEO); fixtures+JSON congelado julio +4070 (ejecutado 0, controles intactos). Tests: E1 55, TablaEgreso 9/9, build tsc -b verde, regresion 54. PENDIENTE (bloque aparte): boton Dividir/Deshacer en la UI (endpoints ya vivos; necesita superficie de lista de transacciones bancarias que hoy no existe). | D-UI CERRADO (main 544a278): panel 'Transacciones del mes' en /cargas con Dividir/Deshacer (modal, suma validada en vivo, filtro por tipo_flujo, badge partes). PanelDividir 4/4 + build verde. Cierra PTS6-D completo.</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Hecha</t>
        </is>
      </c>
      <c r="G144" s="12" t="inlineStr">
        <is>
          <t>2026-08-10</t>
        </is>
      </c>
      <c r="H144" s="12" t="inlineStr">
        <is>
          <t>MERGEADO a main a98da08. Meta en 2 lineas (Cuota inicial / Cuotas semanales; total=suma validada; modelo/API ya lo soportaban). Real por concepto: ingreso_real_por_concepto (0120 inicial / 0110 semanal, expande partes, excluye neutros) -&gt; real_inicial/real_semanal en la API; card con bloque Desglose. motor cero diffs. Tests metas 7 + MetasPage 7/7 + build verde. NO se aplico split a la meta real de agosto (el CEO no dio los montos; se captura en la pantalla). Real inicial se llena cuando Liz clasifique ingresos al rubro 0120 de aqui en adelante (reglas hacia adelante, aprobado CEO).</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CR ESCRITO: docs/COMPAS_CR-PTS6F_Cartera_Apertura.md (borrador, registrado en hoja CRs). Propone regenerar la serie cartera_previa_recaudo desde loantape_creditos mes a mes (capa aditiva, motor cero diffs) para cerrar el hueco 127M-&gt;142M. 4 decisiones del CEO (Q1-Q4). Espera GO + gate Kimi antes de construir. Depende de que Liz cargue el LoanTape de SISMO-V3 (hoy loantape_creditos vacia).</t>
        </is>
      </c>
      <c r="I145" s="12" t="inlineStr">
        <is>
          <t>GATE-KIMI PTS6-F (CR motor-adyacente)</t>
        </is>
      </c>
    </row>
    <row r="146">
      <c r="A146" s="12" t="inlineStr">
        <is>
          <t>C2P-EXCEL-DIAN</t>
        </is>
      </c>
      <c r="B146" s="12" t="inlineStr">
        <is>
          <t>FABS</t>
        </is>
      </c>
      <c r="D146" s="12" t="inlineStr">
        <is>
          <t>C2 prima (acta FABS 2026-08-10): import masivo del Excel de documentos recibidos del portal DIAN al modulo IVA — facturas a nombre de RODDOS (gasto, IVA deducible por decidir). POST /facturas/cargar-excel + CargaPanel acepta .xlsx</t>
        </is>
      </c>
      <c r="E146" s="12" t="inlineStr">
        <is>
          <t>Andres</t>
        </is>
      </c>
      <c r="F146" s="12" t="inlineStr">
        <is>
          <t>Hecha</t>
        </is>
      </c>
      <c r="G146" s="12" t="inlineStr">
        <is>
          <t>2026-08-11</t>
        </is>
      </c>
      <c r="H146" s="12" t="inlineStr">
        <is>
          <t>Parser calibrado contra el export REAL (528 filas, 0 errores dry-run; 479 recibidas / 36 emitidas rechazadas / 13 no soportadas). Un solo camino de escritura con la ingesta PDF (persistir_factura_ingesta). 9 tests backend TDD + 3 frontend. MERGE con GATE-WAIVER (GO CEO 2026-08-11, hoja Gates); Kimi retroactivo pendiente. PR #90. LIMPIEZA OPCION A ejecutada en prod 2026-08-11 (GO CEO): respaldo JSON local de 140 facturas → borradas las 137 compras de la ingesta PDF (ventas E3 intactas; FIX-K no vive en esta coleccion) → import del Excel real: 479 creadas / 0 errores / 49 rechazadas con motivo. Estado final: 479 compras sin decidir + 3 ventas.</t>
        </is>
      </c>
    </row>
    <row r="147">
      <c r="A147" s="12" t="inlineStr">
        <is>
          <t>AUTECO-2NITS</t>
        </is>
      </c>
      <c r="B147" s="12" t="inlineStr">
        <is>
          <t>FABS</t>
        </is>
      </c>
      <c r="D147" s="12" t="inlineStr">
        <is>
          <t>Auteco factura con DOS NITs (860024781 historico + 890900317 AUTOTECNICA COLOMBIANA): NIT_AUTECO pasa a {'nits': [...]} con compatibilidad hacia atras; ingesta PDF e import Excel auto-deducen por pertenencia al conjunto.</t>
        </is>
      </c>
      <c r="E147" s="12" t="inlineStr">
        <is>
          <t>Andres</t>
        </is>
      </c>
      <c r="F147" s="12" t="inlineStr">
        <is>
          <t>Hecha</t>
        </is>
      </c>
      <c r="G147" s="12" t="inlineStr">
        <is>
          <t>2026-08-11</t>
        </is>
      </c>
      <c r="H147" s="12" t="inlineStr">
        <is>
          <t>TDD (7 tests rojo-&gt;verde), suite 934 passed + ruff limpio. PR #91 (merge 51961e8, GATE-WAIVER GO CEO 2026-08-11). OPS PROD auditadas: vigencia NIT_AUTECO 2026-08-11 con ambos NITs; 158 compras may-ago marcadas deducibles (actualizar_deducibilidad_lote, factura.actualizada por factura); origen=auteco en las 13 de Autotecnica. Liquidacion verificada: generado 150.651.484 - descontable 181.158.441 -&gt; neto 0, SALDO A FAVOR 30.506.957 (cuadra al peso con los 9 PDF Auteco).</t>
        </is>
      </c>
    </row>
    <row r="148">
      <c r="A148" s="12" t="inlineStr">
        <is>
          <t>SALDO-FAVOR-DECLARADO</t>
        </is>
      </c>
      <c r="B148" s="12" t="inlineStr">
        <is>
          <t>FABS</t>
        </is>
      </c>
      <c r="D148" s="12" t="inlineStr">
        <is>
          <t>Saldo a favor de la declaracion DIAN anterior a los datos de COMPAS: clave SALDO_FAVOR_IVA_DECLARADO ({aplica_desde, valor}); liquidar() lo usa como saldo_favor_previo del periodo configurado REEMPLAZANDO el arrastre derivado (sin doble conteo). Aplica en /liquidacion y en los egresos IVA de la proyeccion.</t>
        </is>
      </c>
      <c r="E148" s="12" t="inlineStr">
        <is>
          <t>Andres</t>
        </is>
      </c>
      <c r="F148" s="12" t="inlineStr">
        <is>
          <t>Hecha</t>
        </is>
      </c>
      <c r="G148" s="12" t="inlineStr">
        <is>
          <t>2026-08-11</t>
        </is>
      </c>
      <c r="H148" s="12" t="inlineStr">
        <is>
          <t>TDD (4 tests rojo-&gt;verde: nucleo x3 + endpoint). Sembrado en prod: 28.950.000 entra en may-ago 2026; liquidacion verificada: favor previo 28.950.000 -&gt; neto 0 -&gt; favor nuevo 59.456.957. GATE-WAIVER GO CEO 2026-08-11 (opcion A elegida en chat). PR pendiente de numero al momento de esta fila; evidencia en el merge.</t>
        </is>
      </c>
    </row>
    <row r="149">
      <c r="A149" s="12" t="inlineStr">
        <is>
          <t>PLAN-52</t>
        </is>
      </c>
      <c r="B149" s="12" t="inlineStr">
        <is>
          <t>FABS</t>
        </is>
      </c>
      <c r="D149" s="12" t="inlineStr">
        <is>
          <t>Segundo plan de pago por modelo de moto (78 o 52 cuotas), peso POR MODELO editable (default 70/30). Capa ADITIVA: _modelo_a_lineas expande cada modelo en una linea de motor por plan (mix = participacion x peso); motor.py CERO diffs, golden master intacto. CRUD/validaciones fail-closed + UI (tabla con los dos planes + dialogo de edicion).</t>
        </is>
      </c>
      <c r="E149" s="12" t="inlineStr">
        <is>
          <t>Andres</t>
        </is>
      </c>
      <c r="F149" s="12" t="inlineStr">
        <is>
          <t>Hecha</t>
        </is>
      </c>
      <c r="G149" s="12" t="inlineStr">
        <is>
          <t>2026-08-11</t>
        </is>
      </c>
      <c r="H149" s="12" t="inlineStr">
        <is>
          <t>TDD 10 tests nuevos (candados: sin plan2 = linea identica; particion no inventa plata; validaciones 422). Backend completo verde + golden master; frontend 257 verdes + build. Datos CEO aplicados en prod via servicio auditado: Raider 78=184.900/52=214.900 peso 0.70; Apache 78=224.900/52=284.900 peso 0.70; Sport 78=154.900 un solo plan. GATE-WAIVER GO CEO 2026-08-11; evidencia = PR del merge.</t>
        </is>
      </c>
    </row>
    <row r="150">
      <c r="A150" s="12" t="inlineStr">
        <is>
          <t>FIX-TORNADO</t>
        </is>
      </c>
      <c r="B150" s="12" t="inlineStr">
        <is>
          <t>FABS</t>
        </is>
      </c>
      <c r="D150" s="12" t="inlineStr">
        <is>
          <t>Bug CEO 2026-08-11: tornado de sensibilidad 'todo en $0'. Causa raiz: corria el motor CRUDO sin E1 anclaje ni D2 reconciliacion -&gt; el piso quedaba clavado en la caja del arranque (704,7M) mientras la pantalla ve el minimo real (492,5M feb-2027). Fix: las 14 corridas pasan por la misma tuberia motor-&gt;E1-&gt;D2 y el cache incluye la huella de las capas.</t>
        </is>
      </c>
      <c r="E150" s="12" t="inlineStr">
        <is>
          <t>Andres</t>
        </is>
      </c>
      <c r="F150" s="12" t="inlineStr">
        <is>
          <t>Hecha</t>
        </is>
      </c>
      <c r="G150" s="12" t="inlineStr">
        <is>
          <t>2026-08-11</t>
        </is>
      </c>
      <c r="H150" s="12" t="inlineStr">
        <is>
          <t>TDD (test rojo: piso tornado == piso_caja pantalla a 60m + factura D2 mueve el piso e invalida cache). Verificado contra PROD: piso 492.513.306 con deltas reales (colocacion +-10% -&gt; +150,4M/-178,6M). Suite 966 passed + ruff. PR #94 (merge f011ea5, GATE-WAIVER GO CEO 2026-08-11).</t>
        </is>
      </c>
    </row>
    <row r="151">
      <c r="A151" s="12" t="inlineStr">
        <is>
          <t>KIMI-B1-GUARD-APACHE</t>
        </is>
      </c>
      <c r="B151" s="12" t="inlineStr">
        <is>
          <t>FABS</t>
        </is>
      </c>
      <c r="D151" s="12" t="inlineStr">
        <is>
          <t>B-1 del gate Kimi 9.4 (obligatoria): documentar el riesgo del indice 1 de apache_por_mes + guard fail-loud en _armar_parametros (override con datos + algun modelo con plan 2 -&gt; ProyeccionError explicito, jamas indexacion silenciosa errada).</t>
        </is>
      </c>
      <c r="E151" s="12" t="inlineStr">
        <is>
          <t>Andres</t>
        </is>
      </c>
      <c r="F151" s="12" t="inlineStr">
        <is>
          <t>Hecha</t>
        </is>
      </c>
      <c r="G151" s="12" t="inlineStr">
        <is>
          <t>2026-08-13</t>
        </is>
      </c>
      <c r="H151" s="12" t="inlineStr">
        <is>
          <t>TDD (2 tests: con plan2 falla nombrando culpables; casos seguros pasan). motor.py cero diffs. Golden + proyeccion + sensibilidad verdes + ruff.</t>
        </is>
      </c>
    </row>
    <row r="152">
      <c r="A152" s="12" t="inlineStr">
        <is>
          <t>KIMI-B2-NIT-DIGITOS</t>
        </is>
      </c>
      <c r="B152" s="12" t="inlineStr">
        <is>
          <t>FABS</t>
        </is>
      </c>
      <c r="D152" s="12" t="inlineStr">
        <is>
          <t>B-2 del gate Kimi 9.4 (nit, OPCIONAL): validar formato solo-digitos de los NITs al guardar la config (NIT_RODDOS/NIT_AUTECO). Sin riesgo de dinero (matching por igualdad exacta = sin falso positivo); un typo = deduccion perdida visible.</t>
        </is>
      </c>
      <c r="E152" s="12" t="inlineStr">
        <is>
          <t>Andres</t>
        </is>
      </c>
      <c r="F152" s="12" t="inlineStr">
        <is>
          <t>Hecha</t>
        </is>
      </c>
      <c r="G152" s="12" t="inlineStr">
        <is>
          <t>2026-08-17</t>
        </is>
      </c>
      <c r="H152" s="12" t="inlineStr">
        <is>
          <t>Validador en el Document Configuracion (unico camino de escritura: semilla/migraciones/scripts): claves NIT_* exigen strings de SOLO digitos (sin DV/puntos/espacios) — fail-loud al escribir. TDD (2 tests, 5 casos malformados parametrizados). Aprovechado el outage de GitHub del 17-ago (trabajo local).</t>
        </is>
      </c>
    </row>
    <row r="153">
      <c r="A153" s="12" t="inlineStr">
        <is>
          <t>KIMI-B1-GUARD-APACHE</t>
        </is>
      </c>
      <c r="B153" s="12" t="inlineStr">
        <is>
          <t>FABS</t>
        </is>
      </c>
      <c r="D153" s="12" t="inlineStr">
        <is>
          <t>B-1 del gate Kimi 9.4 (obligatoria): documentar el riesgo del indice 1 de apache_por_mes + guard fail-loud en _armar_parametros (override con datos + algun modelo con plan 2 -&gt; ProyeccionError explicito, jamas indexacion silenciosa errada).</t>
        </is>
      </c>
      <c r="E153" s="12" t="inlineStr">
        <is>
          <t>Andres</t>
        </is>
      </c>
      <c r="F153" s="12" t="inlineStr">
        <is>
          <t>Hecha</t>
        </is>
      </c>
      <c r="G153" s="12" t="inlineStr">
        <is>
          <t>2026-08-13</t>
        </is>
      </c>
      <c r="H153" s="12" t="inlineStr">
        <is>
          <t>TDD (2 tests: con plan2 falla nombrando culpables; casos seguros pasan). motor.py cero diffs. Golden + proyeccion + sensibilidad verdes + ruff.</t>
        </is>
      </c>
    </row>
    <row r="154">
      <c r="A154" s="12" t="inlineStr">
        <is>
          <t>KIMI-B2-NIT-DIGITOS</t>
        </is>
      </c>
      <c r="B154" s="12" t="inlineStr">
        <is>
          <t>FABS</t>
        </is>
      </c>
      <c r="D154" s="12" t="inlineStr">
        <is>
          <t>B-2 del gate Kimi 9.4 (nit, OPCIONAL): validar formato solo-digitos de los NITs al guardar la config (NIT_RODDOS/NIT_AUTECO). Sin riesgo de dinero (matching por igualdad exacta = sin falso positivo); un typo = deduccion perdida visible.</t>
        </is>
      </c>
      <c r="E154" s="12" t="inlineStr">
        <is>
          <t>Andres</t>
        </is>
      </c>
      <c r="F154" s="12" t="inlineStr">
        <is>
          <t>Pendiente</t>
        </is>
      </c>
      <c r="H154" s="12" t="inlineStr">
        <is>
          <t>Backlog declarado en el gate 9.4.</t>
        </is>
      </c>
    </row>
    <row r="155">
      <c r="A155" s="12" t="inlineStr">
        <is>
          <t>G1C-CI-VERDE</t>
        </is>
      </c>
      <c r="B155" s="12" t="inlineStr">
        <is>
          <t>G1</t>
        </is>
      </c>
      <c r="D155" s="12" t="inlineStr">
        <is>
          <t>G1c: restaurar el CI y decidir el required check de backend. El CI estuvo ciego del 12 al 17-ago (budget de Actions bloqueado por cargo bancario rechazado); al destrabarlo (CEO + banco) el primer run revelo deuda: ruff format x10 archivos, biome x5 (incl. noArrayIndexKey PanelDividir, fix real con key estable) y gitleaks x2 (canario sembrado a proposito el 20-jul, commit 6842af5b, claves EJEMPLO de AWS + falso positivo plan2_cuota_semanal -&gt; allowlist quirurgico).</t>
        </is>
      </c>
      <c r="E155" s="12" t="inlineStr">
        <is>
          <t>Andres</t>
        </is>
      </c>
      <c r="F155" s="12" t="inlineStr">
        <is>
          <t>Hecha</t>
        </is>
      </c>
      <c r="G155" s="12" t="inlineStr">
        <is>
          <t>2026-08-17</t>
        </is>
      </c>
      <c r="H155" s="12" t="inlineStr">
        <is>
          <t>CI 6/6 VERDE en main (94487d2) — primero desde el 12-ago. Required check BLOQUEADO por plan GitHub (403 'Upgrade' en branch protection Y rulesets: repo privado + org Free). DECISION CEO 2026-08-17: CI como SEMAFORO NO BLOQUEANTE (sin costo); control compensatorio = verificar el verde antes de cada merge. Alternativa documentada: GitHub Team US$4/mes habilita el check duro. Para el acta de G1 de Kimi.</t>
        </is>
      </c>
    </row>
    <row r="156">
      <c r="A156" s="12" t="inlineStr">
        <is>
          <t>SUP-1</t>
        </is>
      </c>
      <c r="B156" s="12" t="inlineStr">
        <is>
          <t>FABS</t>
        </is>
      </c>
      <c r="D156" s="12" t="inlineStr">
        <is>
          <t>Bug CEO 2026-08-17: 'la mora no impacta en ninguna via'. Causa raiz: el preset del escenario pisaba pct_mora/pct_recuperacion y 'base' esta en los presets -&gt; los supuestos del CEO se descartaban SIEMPRE (prod: 8%/65% configurado, motor usando 3%/40%). Regla nueva: supuestos = NIVEL, escenario = DESVIO (delta en puntos a los 3 escenarios, acotado 0..1). + CAPACIDAD crecimiento por TRAMOS (crec_pct_mensual_2 + crec_mes_corte, aditivos al motor) + filtro de tiempo de la grafica con granularidad corta 3/6/9/12/15 en Proyecciones e INICIO.</t>
        </is>
      </c>
      <c r="E156" s="12" t="inlineStr">
        <is>
          <t>Andres</t>
        </is>
      </c>
      <c r="F156" s="12" t="inlineStr">
        <is>
          <t>Hecha</t>
        </is>
      </c>
      <c r="G156" s="12" t="inlineStr">
        <is>
          <t>2026-08-17</t>
        </is>
      </c>
      <c r="H156" s="12" t="inlineStr">
        <is>
          <t>TDD 13 backend + 6 frontend (rojo-&gt;verde). Backend 991 passed + ruff check/format; frontend 263 + build + biome; GOLDEN MASTER VERDE (motor aditivo con defaults None). Efecto en PROD verificado: piso 516.875.514 -&gt; 474.079.781, caja 36m -6.064.221.961; escenarios optimista 6,5% / base 8% / pesimista 11%; tramo 18-&gt;3% baja motos mes 36 de 10.054 a 1.384. Barrido de los 19 supuestos: provision/costo alistamiento/umbral NO son bugs (verificado). PR #96 (merge f5091ff, GATE-WAIVER GO CEO 2026-08-17).</t>
        </is>
      </c>
    </row>
    <row r="157">
      <c r="A157" s="12" t="inlineStr">
        <is>
          <t>SUP-2</t>
        </is>
      </c>
      <c r="B157" s="12" t="inlineStr">
        <is>
          <t>FABS</t>
        </is>
      </c>
      <c r="D157" s="12" t="inlineStr">
        <is>
          <t>Cuatro variables clavadas en el codigo ahora se editan: mora/recuperacion de los 3 escenarios (vivian en PRESETS_ESCENARIO), rezago de la recuperacion de mora (v9.1 recupera la del mes anterior), % de prefondeo del IVA y fondo AVAL propio (% del recaudo, egreso nuevo).</t>
        </is>
      </c>
      <c r="E157" s="12" t="inlineStr">
        <is>
          <t>Andres</t>
        </is>
      </c>
      <c r="F157" s="12" t="inlineStr">
        <is>
          <t>Hecha</t>
        </is>
      </c>
      <c r="G157" s="12" t="inlineStr">
        <is>
          <t>2026-08-22</t>
        </is>
      </c>
      <c r="H157" s="12" t="inlineStr">
        <is>
          <t>TDD 15 tests (rojo-&gt;verde). Aditivo: cada default reproduce la proyeccion anterior; rango [0,1] fail-closed en dominio Y router. Backend 1072 + frontend 263 + golden master. PR #97 (merge 0f391e8). SEMBRADO en prod: pesimista 14%/50%, optimista 4%/90% (v9.1); base 5%/65% del CEO intacto. Efecto: piso pesimista 406,7M -&gt; 213,98M.</t>
        </is>
      </c>
    </row>
    <row r="158">
      <c r="A158" s="12" t="inlineStr">
        <is>
          <t>SUP-3</t>
        </is>
      </c>
      <c r="B158" s="12" t="inlineStr">
        <is>
          <t>FABS</t>
        </is>
      </c>
      <c r="D158" s="12" t="inlineStr">
        <is>
          <t>El IVA de las ventas FUTURAS entra a la proyeccion (modelo v9.1 de Fabian): modulo puro app/iva/proyectado.py que convierte la colocacion en FacturaIva sinteticas para el liquidador EXISTENTE. Tarifa por dato (TARIFA_IVA, 19% default). Candado: un mes con dato real no se proyecta.</t>
        </is>
      </c>
      <c r="E158" s="12" t="inlineStr">
        <is>
          <t>Andres</t>
        </is>
      </c>
      <c r="F158" s="12" t="inlineStr">
        <is>
          <t>Hecha</t>
        </is>
      </c>
      <c r="G158" s="12" t="inlineStr">
        <is>
          <t>2026-08-22</t>
        </is>
      </c>
      <c r="H158" s="12" t="inlineStr">
        <is>
          <t>TDD 9 tests (rojo-&gt;verde). Backend 1119 + golden master + ruff. PR #98 (merge 08d6979). Efecto medido en prod: la liquidacion pasa de 2 periodos (ambos $0) a 11 con IVA a pagar (2027-C1 71,9M ... 2029-C2 768,8M). Con el CALENDARIO_DIAN extendido a 2027-2030 (sembrado, fechas estimadas may/sep/ene) son 8 egresos que ya golpean la caja.</t>
        </is>
      </c>
    </row>
    <row r="159">
      <c r="A159" s="12" t="inlineStr">
        <is>
          <t>SUP-4</t>
        </is>
      </c>
      <c r="B159" s="12" t="inlineStr">
        <is>
          <t>FABS</t>
        </is>
      </c>
      <c r="D159" s="12" t="inlineStr">
        <is>
          <t>Carga semanal del cronograma: POST /cartera-previa/cargar-cronograma agrega la cartera ya originada a la serie semanal del motor (NO guarda las ~9.900 cuotas: ~82 semanas) y deja la rampa del MES EN CURSO en el remanente hacia la meta. Tarjeta (10) en Supuestos.</t>
        </is>
      </c>
      <c r="E159" s="12" t="inlineStr">
        <is>
          <t>Andres</t>
        </is>
      </c>
      <c r="F159" s="12" t="inlineStr">
        <is>
          <t>Hecha</t>
        </is>
      </c>
      <c r="G159" s="12" t="inlineStr">
        <is>
          <t>2026-08-22</t>
        </is>
      </c>
      <c r="H159" s="12" t="inlineStr">
        <is>
          <t>TDD 21 tests (14 parser + 7 endpoint). Fail-closed: archivo vacio NO pisa la cartera; idempotente (reemplaza la foto). Verificado contra el cronograma REAL (9.879 cuotas): 196 creditos, 82 semanas, 1.758.647.416 por cobrar, 44.413.948 vencidos en 141 creditos, 0 errores, rampa {2026-08: 35} = identico al calculo manual. Backend 1142 + frontend 263. PR #99 (merge 30235bc).</t>
        </is>
      </c>
    </row>
    <row r="160">
      <c r="A160" s="12" t="inlineStr">
        <is>
          <t>SUP-5</t>
        </is>
      </c>
      <c r="B160" s="12" t="inlineStr">
        <is>
          <t>FABS</t>
        </is>
      </c>
      <c r="D160" s="12" t="inlineStr">
        <is>
          <t>La grafica se explica a si misma (CEO 2026-08-23): la proyeccion exponia el RESULTADO pero esconde el POR QUE. Ahora (a) cada mes trae mora/recuperacion/default por separado (el motor ya los calculaba, viajaban sumados dentro de neto), (b) la respuesta trae los SUPUESTOS EFECTIVOS del escenario en pantalla (con SUP-2 cada escenario tiene su propia mora), (c) tarjeta "Que compone este resultado" en Proyecciones + motos/creditos activos bajo cada mes de la tabla + desglose de cartera en la fila expandible. Honestidad: un mes ANCLADO a la ejecucion real no muestra mora paramétrica (su ingreso sale del libro).</t>
        </is>
      </c>
      <c r="E160" s="12" t="inlineStr">
        <is>
          <t>Andres</t>
        </is>
      </c>
      <c r="F160" s="12" t="inlineStr">
        <is>
          <t>Hecha</t>
        </is>
      </c>
      <c r="G160" s="12" t="inlineStr">
        <is>
          <t>2026-08-23</t>
        </is>
      </c>
      <c r="H160" s="12" t="inlineStr">
        <is>
          <t>MERGEADO en PR #100 junto al ciclo mensual. TDD 13 backend + 8 frontend; motor aditivo (3 campos con default 0.00) y golden master verde.</t>
        </is>
      </c>
    </row>
    <row r="161">
      <c r="A161" s="12" t="inlineStr">
        <is>
          <t>CICLO-MENSUAL</t>
        </is>
      </c>
      <c r="B161" s="12" t="inlineStr">
        <is>
          <t>FABS</t>
        </is>
      </c>
      <c r="D161" s="12" t="inlineStr">
        <is>
          <t>Ciclo mensual (8 piezas) — cerrar el tejido entre la caja real, el objetivo del mes y el recalculo de la proyeccion. Contrato aprobado por el CEO ANTES de construir (docs/COMPAS_Ciclo_Mensual.md) + roadmap vivo (docs/COMPAS_CICLO_ROADMAP.md). P1 candado aritmetico (4 formulas en TODOS los meses) · P2 el arranque se hereda del efectivo real del cierre · P3 el primer mes acumula su flujo (quita la excepcion del artefacto) · P4 el mes en curso es el OBJETIVO (supersede D-08/Regla A y la automatizacion de la rampa de SUP-4, que le pisaba la meta al CEO) · P5 el cronograma del mes completo + regla de no-solape · P6 termometro de desviacion (colocaciones/ingreso/gasto reales al lado, sin tocar la curva) · P7 el gasto real de los 3 meses cerrados SUGIERE el supuesto. Ademas P0: la mora solo sobre cuotas semanales.</t>
        </is>
      </c>
      <c r="E161" s="12" t="inlineStr">
        <is>
          <t>Andres</t>
        </is>
      </c>
      <c r="F161" s="12" t="inlineStr">
        <is>
          <t>Hecha</t>
        </is>
      </c>
      <c r="G161" s="12" t="inlineStr">
        <is>
          <t>2026-08-23</t>
        </is>
      </c>
      <c r="H161" s="12" t="inlineStr">
        <is>
          <t>PR #100. Backend 1220 passed / 0 failed; frontend 286 + build; golden master verde. El candado cazo 2 defectos reales: el fondo de aval que desaparecia al anclar un mes (546.241,68 en agosto de PROD) y la automatizacion de SUP-4 que pisaba la meta del CEO. Verificado al peso contra PROD: arranque 704.722.003 -&gt; 665.715.578 (cierre real de julio), egresos -240.209.500 -&gt; -240.755.741,68, neto 105.324.084,52 -&gt; 112.333.009,52; con la serie del mes completo y meta 60, agosto = 252.783.377,70 de ingreso neto y el candado cierra: 665.715.578 + 10.960.918,40 = 676.676.496,40.</t>
        </is>
      </c>
    </row>
    <row r="162">
      <c r="A162" s="12" t="inlineStr">
        <is>
          <t>KIMI-E75-0-4</t>
        </is>
      </c>
      <c r="B162" s="12" t="inlineStr">
        <is>
          <t>FABS</t>
        </is>
      </c>
      <c r="D162" s="12" t="inlineStr">
        <is>
          <t>Items 0 y 4 de la cola Kimi etapa75 (GO CEO 2026-08-24). Item 0: la costura del aval, lado frontend — egreso.ts no conocia `aval` (nacio en SUP-2, posterior al mapeo de buckets aprobado 2026-07-27): tabla y grafico omitian ese egreso y no reconciliaban con el flujo por exactamente el aval (546.241,68 en agosto de PROD). Gasto = fijos+gps+int_deuda+iva+AVAL, con candado de reconciliacion. Item 4: la convencion de la columna Caja, declarada — «Caja al cerrar» + desglose Inicia/Flujo/Cierra por mes + tarjeta del mes en curso con «arranca con X (efectivo real del cierre anterior) y cerraria en Y» (si el arranque es semilla, lo dice). Resuelve la ambiguedad inicio/fin que el CEO detecto en la pantalla.</t>
        </is>
      </c>
      <c r="E162" s="12" t="inlineStr">
        <is>
          <t>Andres</t>
        </is>
      </c>
      <c r="F162" s="12" t="inlineStr">
        <is>
          <t>Hecha</t>
        </is>
      </c>
      <c r="G162" s="12" t="inlineStr">
        <is>
          <t>2026-08-24</t>
        </is>
      </c>
      <c r="H162" s="12" t="inlineStr">
        <is>
          <t>MERGEADO en PR #102 (408639a9), CI 8/8 verde. Frontend 293 passed + build + biome. Solo frontend (el payload ya traia arranque y aval). Quedan de la cola e75: 1/3 (esperan etapa73), 5 (contador), 6 (LoanTape CEO), 7 (RETRO SUP-2..SUP-6 — sin evoluciones del motor hasta ese gate).</t>
        </is>
      </c>
    </row>
    <row r="163">
      <c r="A163" s="12" t="inlineStr">
        <is>
          <t>KIMI-E75-7-RETRO</t>
        </is>
      </c>
      <c r="B163" s="12" t="inlineStr">
        <is>
          <t>FABS</t>
        </is>
      </c>
      <c r="D163" s="12" t="inlineStr">
        <is>
          <t>Item 7 de la cola Kimi etapa75: paquete del RETRO-GATE SUP-2 -&gt; ciclo mensual (commits 0f391e8..d604556, PRs #97-#100 #102). Diff completo del motor y sus capas (1.571 lineas), salidas de tests frescas (118 del alcance + 1220 suite + 293 front), los 2 defectos que cazo el candado, foto read-only de PROD con el candado al peso (665.715.578 - 70.532.363,52 = 595.183.214,48), tabla de flags default-artefacto vs producto, y 6 puntos a auditar con lupa. Incluye solicitud a Kimi de re-enunciar los items 1 y 3 (el CEO no tiene el archivo etapa73). REGLA vigente hasta el gate: ninguna evolucion mas del motor.</t>
        </is>
      </c>
      <c r="E163" s="12" t="inlineStr">
        <is>
          <t>Andres</t>
        </is>
      </c>
      <c r="F163" s="12" t="inlineStr">
        <is>
          <t>En curso</t>
        </is>
      </c>
      <c r="H163" s="12" t="inlineStr">
        <is>
          <t>PAQUETE.pdf listo en planning/phases/ciclo-mensual/auditorias/RETRO-I/. Falta: el CEO lo sube a Kimi y pega la respuesta en RESPUESTA.md de la misma carpeta.</t>
        </is>
      </c>
    </row>
    <row r="164">
      <c r="A164" s="18" t="inlineStr">
        <is>
          <t>F0-1</t>
        </is>
      </c>
      <c r="B164" s="18" t="inlineStr">
        <is>
          <t>2.0 · Fase 0</t>
        </is>
      </c>
      <c r="C164" s="18" t="n"/>
      <c r="D164" s="22" t="inlineStr">
        <is>
          <t>spec-miner: registro de capacidades C1–C11 (docs/CAPACIDADES.md) con evidencia real (módulo, tests, ruta de front, carpeta de gate)</t>
        </is>
      </c>
      <c r="E164" s="18" t="inlineStr">
        <is>
          <t>Andrés</t>
        </is>
      </c>
      <c r="F164" s="18" t="inlineStr">
        <is>
          <t>Hecha</t>
        </is>
      </c>
      <c r="G164" s="18" t="inlineStr">
        <is>
          <t>2026-08-27</t>
        </is>
      </c>
      <c r="H164" s="22" t="inlineStr">
        <is>
          <t>docs/CAPACIDADES.md — registro C1–C11 spec-minado (4 agentes Explore). Hallazgo: C7/C8/C10/C11 estaban ✅ en código pese a figurar ❌ en PROJECT.md; C9 parcial (sin pantalla)</t>
        </is>
      </c>
      <c r="I164" s="18" t="n"/>
    </row>
    <row r="165">
      <c r="A165" s="18" t="inlineStr">
        <is>
          <t>F0-2</t>
        </is>
      </c>
      <c r="B165" s="18" t="inlineStr">
        <is>
          <t>2.0 · Fase 0</t>
        </is>
      </c>
      <c r="C165" s="18" t="n"/>
      <c r="D165" s="22" t="inlineStr">
        <is>
          <t>Candado del motor: golden-master de proyectar() OBLIGATORIO en CI para todo PR que toque backend/app/proyeccion/</t>
        </is>
      </c>
      <c r="E165" s="18" t="inlineStr">
        <is>
          <t>Andrés</t>
        </is>
      </c>
      <c r="F165" s="18" t="inlineStr">
        <is>
          <t>Hecha</t>
        </is>
      </c>
      <c r="G165" s="18" t="inlineStr">
        <is>
          <t>2026-08-27</t>
        </is>
      </c>
      <c r="H165" s="22" t="inlineStr">
        <is>
          <t>docs/CANDADO_MOTOR.md + jobs golden-master y motor-parity-guard en .github/workflows/ci.yml. Falta marcar required en branch protection (paso CEO)</t>
        </is>
      </c>
      <c r="I165" s="18" t="n"/>
    </row>
    <row r="166">
      <c r="A166" s="18" t="inlineStr">
        <is>
          <t>F0-3</t>
        </is>
      </c>
      <c r="B166" s="18" t="inlineStr">
        <is>
          <t>2.0 · Fase 0</t>
        </is>
      </c>
      <c r="C166" s="18" t="n"/>
      <c r="D166" s="22" t="inlineStr">
        <is>
          <t>DESIGN.md (RV-V1): 8 reglas de gráficos + paleta de marca como tokens, derivada de src/index.css</t>
        </is>
      </c>
      <c r="E166" s="18" t="inlineStr">
        <is>
          <t>Andrés</t>
        </is>
      </c>
      <c r="F166" s="18" t="inlineStr">
        <is>
          <t>Hecha</t>
        </is>
      </c>
      <c r="G166" s="18" t="inlineStr">
        <is>
          <t>2026-08-27</t>
        </is>
      </c>
      <c r="H166" s="22" t="inlineStr">
        <is>
          <t>docs/DESIGN.md — 8 reglas de gramática + paleta como tokens derivada de src/index.css + tokens de rol para RV-V2</t>
        </is>
      </c>
      <c r="I166" s="18" t="n"/>
    </row>
    <row r="167">
      <c r="A167" s="18" t="inlineStr">
        <is>
          <t>AND-1</t>
        </is>
      </c>
      <c r="B167" s="18" t="inlineStr">
        <is>
          <t>2.0 · Fase 0</t>
        </is>
      </c>
      <c r="C167" s="18" t="n"/>
      <c r="D167" s="22" t="inlineStr">
        <is>
          <t>Andamio: SkillSpector/AgentShield — escanear toda skill/herramienta antes de instalar</t>
        </is>
      </c>
      <c r="E167" s="18" t="inlineStr">
        <is>
          <t>Andrés</t>
        </is>
      </c>
      <c r="F167" s="18" t="inlineStr">
        <is>
          <t>Pendiente</t>
        </is>
      </c>
      <c r="G167" s="18" t="n"/>
      <c r="H167" s="22" t="inlineStr">
        <is>
          <t>Fundacional §6.1 (nada se instala sin escanear)</t>
        </is>
      </c>
      <c r="I167" s="18" t="n"/>
    </row>
    <row r="168">
      <c r="A168" s="18" t="inlineStr">
        <is>
          <t>AND-2</t>
        </is>
      </c>
      <c r="B168" s="18" t="inlineStr">
        <is>
          <t>2.0 · Fase 0</t>
        </is>
      </c>
      <c r="C168" s="18" t="n"/>
      <c r="D168" s="22" t="inlineStr">
        <is>
          <t>Andamio: ECC por proyecto (perfil core, hooks apagados, solo reglas de Python, tag fijado)</t>
        </is>
      </c>
      <c r="E168" s="18" t="inlineStr">
        <is>
          <t>Andrés</t>
        </is>
      </c>
      <c r="F168" s="18" t="inlineStr">
        <is>
          <t>Pendiente</t>
        </is>
      </c>
      <c r="G168" s="18" t="n"/>
      <c r="H168" s="22" t="inlineStr">
        <is>
          <t>Fundacional §6.2</t>
        </is>
      </c>
      <c r="I168" s="18" t="n"/>
    </row>
    <row r="169">
      <c r="A169" s="18" t="inlineStr">
        <is>
          <t>AND-3</t>
        </is>
      </c>
      <c r="B169" s="18" t="inlineStr">
        <is>
          <t>2.0 · Fase 0</t>
        </is>
      </c>
      <c r="C169" s="18" t="n"/>
      <c r="D169" s="22" t="inlineStr">
        <is>
          <t>Andamio: skills spec-miner + tdd-guide instaladas (mapa código→capacidades; protege el golden-master)</t>
        </is>
      </c>
      <c r="E169" s="18" t="inlineStr">
        <is>
          <t>Andrés</t>
        </is>
      </c>
      <c r="F169" s="18" t="inlineStr">
        <is>
          <t>Pendiente</t>
        </is>
      </c>
      <c r="G169" s="18" t="n"/>
      <c r="H169" s="22" t="inlineStr">
        <is>
          <t>Fundacional §6.3</t>
        </is>
      </c>
      <c r="I169" s="18" t="n"/>
    </row>
    <row r="170">
      <c r="A170" s="18" t="inlineStr">
        <is>
          <t>AND-4</t>
        </is>
      </c>
      <c r="B170" s="18" t="inlineStr">
        <is>
          <t>2.0 · Fase 0</t>
        </is>
      </c>
      <c r="C170" s="18" t="n"/>
      <c r="D170" s="22" t="inlineStr">
        <is>
          <t>Andamio: chrome-devtools-mcp (ojos) + tweakcn (tokens de marca)</t>
        </is>
      </c>
      <c r="E170" s="18" t="inlineStr">
        <is>
          <t>Andrés</t>
        </is>
      </c>
      <c r="F170" s="18" t="inlineStr">
        <is>
          <t>Pendiente</t>
        </is>
      </c>
      <c r="G170" s="18" t="n"/>
      <c r="H170" s="22" t="inlineStr">
        <is>
          <t>Fundacional §6.4</t>
        </is>
      </c>
      <c r="I170" s="18" t="n"/>
    </row>
    <row r="171">
      <c r="A171" s="18" t="inlineStr">
        <is>
          <t>AND-5</t>
        </is>
      </c>
      <c r="B171" s="18" t="inlineStr">
        <is>
          <t>2.0 · Fase 0</t>
        </is>
      </c>
      <c r="C171" s="18" t="n"/>
      <c r="D171" s="22" t="inlineStr">
        <is>
          <t>Andamio: Semgrep + Trivy + lost-pixel/axe integrados al CI (se activan como gates)</t>
        </is>
      </c>
      <c r="E171" s="18" t="inlineStr">
        <is>
          <t>Andrés</t>
        </is>
      </c>
      <c r="F171" s="18" t="inlineStr">
        <is>
          <t>Pendiente</t>
        </is>
      </c>
      <c r="G171" s="18" t="n"/>
      <c r="H171" s="22" t="inlineStr">
        <is>
          <t>Fundacional §6.3/§6.4; enforcement en 2.0 · Gates</t>
        </is>
      </c>
      <c r="I171" s="18" t="n"/>
    </row>
    <row r="172">
      <c r="A172" s="18" t="inlineStr">
        <is>
          <t>RF-F1</t>
        </is>
      </c>
      <c r="B172" s="18" t="inlineStr">
        <is>
          <t>2.0 · Funcional</t>
        </is>
      </c>
      <c r="C172" s="18" t="n"/>
      <c r="D172" s="22" t="inlineStr">
        <is>
          <t>Reglas sembradas con patrones reales: semilla desde Base real egresos; «Por clasificar» deja de ser el mayor rubro; ≥90% clasificados; sello clasificada_por/at + regla_id</t>
        </is>
      </c>
      <c r="E172" s="18" t="inlineStr">
        <is>
          <t>Andrés</t>
        </is>
      </c>
      <c r="F172" s="18" t="inlineStr">
        <is>
          <t>Hecha</t>
        </is>
      </c>
      <c r="G172" s="18" t="inlineStr">
        <is>
          <t>2026-08-27</t>
        </is>
      </c>
      <c r="H172" s="22" t="inlineStr">
        <is>
          <t>129 reglas aprendidas de la curaduría (1684 movs), sembradas+activadas en PROD (migraciones 20260827); endpoints GET/POST semilla + pantalla /reglas/semilla; AC medida 98,5%→99,2%. PR #115. TDD</t>
        </is>
      </c>
      <c r="I172" s="18" t="n"/>
    </row>
    <row r="173">
      <c r="A173" s="18" t="inlineStr">
        <is>
          <t>RF-F2</t>
        </is>
      </c>
      <c r="B173" s="18" t="inlineStr">
        <is>
          <t>2.0 · Funcional</t>
        </is>
      </c>
      <c r="C173" s="18" t="n"/>
      <c r="D173" s="22" t="inlineStr">
        <is>
          <t>Costura presupuesto→proyección: Ajuste.rubro_id entra al cálculo; aprobar el mes genera ajustes (D-2) y serie versionada; golden-master intacto</t>
        </is>
      </c>
      <c r="E173" s="18" t="inlineStr">
        <is>
          <t>Andrés</t>
        </is>
      </c>
      <c r="F173" s="18" t="inlineStr">
        <is>
          <t>Hecha</t>
        </is>
      </c>
      <c r="G173" s="18" t="inlineStr">
        <is>
          <t>2026-08-28</t>
        </is>
      </c>
      <c r="H173" s="22" t="inlineStr">
        <is>
          <t>Hallazgo: la costura ya existía (capa E1). RF-F2 = solo la serie versionada: ProyeccionVersion inmutable + snapshot post-commit al aprobar (best-effort) + endpoints /version y /version/diff + callout en /proyeccion. Motor intacto (golden verde). TDD 8 backend + 2 frontend; sanity 67/67 backend, 297/297 frontend. PR #115</t>
        </is>
      </c>
      <c r="I173" s="18" t="n"/>
    </row>
    <row r="174">
      <c r="A174" s="18" t="inlineStr">
        <is>
          <t>RF-F3</t>
        </is>
      </c>
      <c r="B174" s="18" t="inlineStr">
        <is>
          <t>2.0 · Funcional</t>
        </is>
      </c>
      <c r="C174" s="18" t="n"/>
      <c r="D174" s="22" t="inlineStr">
        <is>
          <t>Objetivo como regla de valles: umbral de atención administrable (D-1); valle como entidad (entrada/fondo/salida/profundidad/duración); 2 clases de alerta; reusa valles.py</t>
        </is>
      </c>
      <c r="E174" s="18" t="inlineStr">
        <is>
          <t>Andrés</t>
        </is>
      </c>
      <c r="F174" s="18" t="inlineStr">
        <is>
          <t>Hecha</t>
        </is>
      </c>
      <c r="G174" s="18" t="inlineStr">
        <is>
          <t>2026-08-28</t>
        </is>
      </c>
      <c r="H174" s="22" t="inlineStr">
        <is>
          <t>P1+P2+P3a+P3b — umbral atención admin. + valle entrada/salida/duración + estado ámbar + chips nuevo/más profundo vs. última aprobación. Motor con etiqueta motor-parity-reviewed; golden-master verde. PR #115.</t>
        </is>
      </c>
      <c r="I174" s="18" t="n"/>
    </row>
    <row r="175">
      <c r="A175" s="18" t="inlineStr">
        <is>
          <t>RF-F4</t>
        </is>
      </c>
      <c r="B175" s="18" t="inlineStr">
        <is>
          <t>2.0 · Funcional</t>
        </is>
      </c>
      <c r="C175" s="18" t="n"/>
      <c r="D175" s="22" t="inlineStr">
        <is>
          <t>Techo de gasto en ventana: techo_gasto_ventana(mes_inicio, ventana=9, referencia) — bandera roja si el valle dentro de la ventana perfora la atención</t>
        </is>
      </c>
      <c r="E175" s="18" t="inlineStr">
        <is>
          <t>Andrés</t>
        </is>
      </c>
      <c r="F175" s="18" t="inlineStr">
        <is>
          <t>Hecha</t>
        </is>
      </c>
      <c r="G175" s="18" t="inlineStr">
        <is>
          <t>2026-08-29</t>
        </is>
      </c>
      <c r="H175" s="22" t="inlineStr">
        <is>
          <t>techo_gasto_ventana(ventana=9, referencia=atención) — mide contra el umbral D-1 en solo los primeros N meses; levanta bandera roja cuando el valle CERCANO perfora la atención aunque el horizonte cierre bien. Endpoint /proyeccion/resolver acepta objetivo=techo_gasto_ventana + ventana_meses. UI: TechoVentanaCard al lado del techo clásico. Motor intocado; golden-master verde. 8 tests backend + 4 frontend.</t>
        </is>
      </c>
      <c r="I175" s="18" t="n"/>
    </row>
    <row r="176">
      <c r="A176" s="18" t="inlineStr">
        <is>
          <t>RF-F5</t>
        </is>
      </c>
      <c r="B176" s="18" t="inlineStr">
        <is>
          <t>2.0 · Funcional</t>
        </is>
      </c>
      <c r="C176" s="18" t="n"/>
      <c r="D176" s="22" t="inlineStr">
        <is>
          <t>Solvers dentro de la app: techo, objetivo de venta (goal_seek) y unidades (solver_unidades) en la cabina y en proyección; cada alerta de valle con sus 3 palancas</t>
        </is>
      </c>
      <c r="E176" s="18" t="inlineStr">
        <is>
          <t>Andrés</t>
        </is>
      </c>
      <c r="F176" s="18" t="inlineStr">
        <is>
          <t>Hecha</t>
        </is>
      </c>
      <c r="G176" s="18" t="inlineStr">
        <is>
          <t>2026-08-30</t>
        </is>
      </c>
      <c r="H176" s="22" t="inlineStr">
        <is>
          <t>PR mergeado en main (6288c00). Cada valle llega con sus 3 palancas: recorte_gasto (goal_seek gasto_absoluto), ingreso_extra (goal_seek ingreso_absoluto), unidades_extra (stub honesto disponible=False, cálculo en FABS). _palancas_por_valle en proyeccion/service.py. Fundacional §2 must #5.</t>
        </is>
      </c>
      <c r="I176" s="18" t="n"/>
    </row>
    <row r="177">
      <c r="A177" s="18" t="inlineStr">
        <is>
          <t>RF-F6</t>
        </is>
      </c>
      <c r="B177" s="18" t="inlineStr">
        <is>
          <t>2.0 · Funcional</t>
        </is>
      </c>
      <c r="C177" s="18" t="n"/>
      <c r="D177" s="22" t="inlineStr">
        <is>
          <t>Cargas idempotentes por huella — antes de que entre Bancolombia en septiembre</t>
        </is>
      </c>
      <c r="E177" s="18" t="inlineStr">
        <is>
          <t>Andrés</t>
        </is>
      </c>
      <c r="F177" s="18" t="inlineStr">
        <is>
          <t>Hecha</t>
        </is>
      </c>
      <c r="G177" s="18" t="inlineStr">
        <is>
          <t>2026-08-30</t>
        </is>
      </c>
      <c r="H177" s="22" t="inlineStr">
        <is>
          <t>Índice único parcial (banco, archivo_hash) WHERE estado=completada endurece la idempotencia por huella (SHA-256, ya existía) contra RACES concurrentes. Antes: dedup solo por consulta con read_concern=majority. Ahora: candado de BD adicional; DuplicateKeyError y RevisionIdWasChanged (Beanie envuelve) se traducen a CargaDuplicadaError (mismo 409 idempotente). Test @requires_real_mongo verifica la carrera con asyncio.gather. Listo para Bancolombia septiembre.</t>
        </is>
      </c>
      <c r="I177" s="18" t="n"/>
    </row>
    <row r="178">
      <c r="A178" s="18" t="inlineStr">
        <is>
          <t>RF-F7</t>
        </is>
      </c>
      <c r="B178" s="18" t="inlineStr">
        <is>
          <t>2.0 · Funcional</t>
        </is>
      </c>
      <c r="C178" s="18" t="n"/>
      <c r="D178" s="22" t="inlineStr">
        <is>
          <t>Recomendaciones por impacto: reparto del recorte por rubro (motor corrido al revés)</t>
        </is>
      </c>
      <c r="E178" s="18" t="inlineStr">
        <is>
          <t>Andrés</t>
        </is>
      </c>
      <c r="F178" s="18" t="inlineStr">
        <is>
          <t>Hecha</t>
        </is>
      </c>
      <c r="G178" s="18" t="inlineStr">
        <is>
          <t>2026-08-30</t>
        </is>
      </c>
      <c r="H178" s="22" t="inlineStr">
        <is>
          <t>PR #119 mergeado (main 62d24d5). reparto_por_rubro (funcion pura) + servicio + endpoint valles adjunta recomendaciones_por_rubro; frontend VallesCard con "ver reparto". Motor cero diffs, golden-master 176 meses intacto. 24/24 unit + broad regresion + npm run build limpio.</t>
        </is>
      </c>
      <c r="I178" s="18" t="n"/>
    </row>
    <row r="179">
      <c r="A179" s="18" t="inlineStr">
        <is>
          <t>RF-F8</t>
        </is>
      </c>
      <c r="B179" s="18" t="inlineStr">
        <is>
          <t>2.0 · Funcional</t>
        </is>
      </c>
      <c r="C179" s="18" t="n"/>
      <c r="D179" s="22" t="inlineStr">
        <is>
          <t>Obligaciones factura a factura: generaliza Auteco; habilita fecha exacta de pago y «negocia esta deuda»</t>
        </is>
      </c>
      <c r="E179" s="18" t="inlineStr">
        <is>
          <t>Andrés</t>
        </is>
      </c>
      <c r="F179" s="18" t="inlineStr">
        <is>
          <t>Hecha</t>
        </is>
      </c>
      <c r="G179" s="18" t="inlineStr">
        <is>
          <t>2026-08-30</t>
        </is>
      </c>
      <c r="H179" s="22" t="inlineStr">
        <is>
          <t>PR #120 mergeado (main a24466b). Rebanada A: simulacion compute-only "negocia esta deuda" (persistida difierida a CR-RF-F8-B). simular_negociacion_factura reusa _resultado_con(facturas_override=). Endpoint POST /obligaciones/{id}/facturas/{fid}/simular. Frontend: boton "Simular negociacion" en ObligacionesPage. Motor cero diffs.</t>
        </is>
      </c>
      <c r="I179" s="18" t="n"/>
    </row>
    <row r="180">
      <c r="A180" s="18" t="inlineStr">
        <is>
          <t>RF-F9</t>
        </is>
      </c>
      <c r="B180" s="18" t="inlineStr">
        <is>
          <t>2.0 · Funcional</t>
        </is>
      </c>
      <c r="C180" s="18" t="n"/>
      <c r="D180" s="22" t="inlineStr">
        <is>
          <t>Plan de cuentas completo: código contable y clase obligatorios al crear categoría</t>
        </is>
      </c>
      <c r="E180" s="18" t="inlineStr">
        <is>
          <t>Andrés</t>
        </is>
      </c>
      <c r="F180" s="18" t="inlineStr">
        <is>
          <t>Hecha</t>
        </is>
      </c>
      <c r="G180" s="18" t="inlineStr">
        <is>
          <t>2026-08-30</t>
        </is>
      </c>
      <c r="H180" s="22" t="inlineStr">
        <is>
          <t>PR #121 mergeado (main 7aebfba). Plan de cuentas completo: codigo + tipo (Fijo/Variable) OBLIGATORIOS al CREAR rubro. Editar/reactivar sin cambios. Semilla intacta (Ajuste de conciliacion es_sistema). RubroCrearBody sin |None + validacion en crear_rubro. Frontend CategoriasPage con campos required. Motor cero diffs.</t>
        </is>
      </c>
      <c r="I180" s="18" t="n"/>
    </row>
    <row r="181">
      <c r="A181" s="18" t="inlineStr">
        <is>
          <t>RF-F10</t>
        </is>
      </c>
      <c r="B181" s="18" t="inlineStr">
        <is>
          <t>2.0 · Funcional</t>
        </is>
      </c>
      <c r="C181" s="18" t="n"/>
      <c r="D181" s="22" t="inlineStr">
        <is>
          <t>Horizonte a 240 meses con agregación por año/trimestre</t>
        </is>
      </c>
      <c r="E181" s="18" t="inlineStr">
        <is>
          <t>Andrés</t>
        </is>
      </c>
      <c r="F181" s="18" t="inlineStr">
        <is>
          <t>Hecha</t>
        </is>
      </c>
      <c r="G181" s="18" t="inlineStr">
        <is>
          <t>2026-08-30</t>
        </is>
      </c>
      <c r="H181" s="22" t="inlineStr">
        <is>
          <t>PR #122 mergeado (main ab05af7). HORIZONTE_MAX 180-&gt;240 (20 anos) + agregacion por trimestre/ano. proyeccion/agregacion.py con semantica STOCK vs FLUJO (caja_final=stock ultimo mes, piso=min, flujo/ingreso/egresos/motos=suma). Endpoint GET /proyeccion/agregada. Frontend HorizonteLargoCard visible con horizonte&gt;=60. CIERRA funcional 10/10.</t>
        </is>
      </c>
      <c r="I181" s="18" t="n"/>
    </row>
    <row r="182">
      <c r="A182" s="18" t="inlineStr">
        <is>
          <t>RV-V2</t>
        </is>
      </c>
      <c r="B182" s="18" t="inlineStr">
        <is>
          <t>2.0 · Visual</t>
        </is>
      </c>
      <c r="C182" s="18" t="n"/>
      <c r="D182" s="22" t="inlineStr">
        <is>
          <t>Rehacer las 2 gráficas principales contra el mockup (proyeccion-mockup.html): real sólido/proyectado punteado con ancla, valle sombreado, 2 umbrales, tooltips, escenario superpuesto, selector 3–60, composición en gráfica propia, color=solo estado, enlazado a los 23 campos reales de /api/v1/proyeccion</t>
        </is>
      </c>
      <c r="E182" s="18" t="inlineStr">
        <is>
          <t>Andrés</t>
        </is>
      </c>
      <c r="F182" s="18" t="inlineStr">
        <is>
          <t>Hecha</t>
        </is>
      </c>
      <c r="G182" s="18" t="inlineStr">
        <is>
          <t>2026-08-30</t>
        </is>
      </c>
      <c r="H182" s="22" t="inlineStr">
        <is>
          <t>3 rebanadas mergeadas cierran 10/10 AC contra el mockup. r1 curva de caja (PR #124, 031b1ad, AC #1/2/3/4/6/9/10). r2 composicion del flujo en grafica propia (PR #131, 2e39c04, AC #8). r3 escenario superpuesto + motos editable + vender de mas (PR #133, c510158, AC #5+7). Motor 0 diffs, golden-master intacto. 350/350 suite frontend, ruff limpio, npm run build limpio.</t>
        </is>
      </c>
      <c r="I182" s="18" t="n"/>
    </row>
    <row r="183">
      <c r="A183" s="18" t="inlineStr">
        <is>
          <t>RV-V3-5-10</t>
        </is>
      </c>
      <c r="B183" s="18" t="inlineStr">
        <is>
          <t>2.0 · Visual</t>
        </is>
      </c>
      <c r="C183" s="18" t="n"/>
      <c r="D183" s="22" t="inlineStr">
        <is>
          <t>Tokens de marca (tweakcn), escenarios superpuestos, sparklines y acabados (encabezado de tabla fijo, cinco estados)</t>
        </is>
      </c>
      <c r="E183" s="18" t="inlineStr">
        <is>
          <t>Andrés</t>
        </is>
      </c>
      <c r="F183" s="18" t="inlineStr">
        <is>
          <t>Pendiente</t>
        </is>
      </c>
      <c r="G183" s="18" t="n"/>
      <c r="H183" s="22" t="inlineStr">
        <is>
          <t>SHOULD · §3 RV-V3/V4/V5/V10</t>
        </is>
      </c>
      <c r="I183" s="18" t="n"/>
    </row>
    <row r="184">
      <c r="A184" s="18" t="inlineStr">
        <is>
          <t>RV-V6-7</t>
        </is>
      </c>
      <c r="B184" s="18" t="inlineStr">
        <is>
          <t>2.0 · Visual</t>
        </is>
      </c>
      <c r="C184" s="18" t="n"/>
      <c r="D184" s="22" t="inlineStr">
        <is>
          <t>Fase B del navegador con contadores de estado: 18→11 entradas, el mes como objeto con pestañas; plano reconciliado con las 12 rutas reales</t>
        </is>
      </c>
      <c r="E184" s="18" t="inlineStr">
        <is>
          <t>Andrés</t>
        </is>
      </c>
      <c r="F184" s="18" t="inlineStr">
        <is>
          <t>Pendiente</t>
        </is>
      </c>
      <c r="G184" s="18" t="n"/>
      <c r="H184" s="22" t="inlineStr">
        <is>
          <t>SHOULD · §3 RV-V6/V7</t>
        </is>
      </c>
      <c r="I184" s="18" t="n"/>
    </row>
    <row r="185">
      <c r="A185" s="18" t="inlineStr">
        <is>
          <t>RV-V8-9</t>
        </is>
      </c>
      <c r="B185" s="18" t="inlineStr">
        <is>
          <t>2.0 · Visual</t>
        </is>
      </c>
      <c r="C185" s="18" t="n"/>
      <c r="D185" s="22" t="inlineStr">
        <is>
          <t>Confianza del dato en la franja + bandeja «Por clasificar» con crear-regla</t>
        </is>
      </c>
      <c r="E185" s="18" t="inlineStr">
        <is>
          <t>Andrés</t>
        </is>
      </c>
      <c r="F185" s="18" t="inlineStr">
        <is>
          <t>Pendiente</t>
        </is>
      </c>
      <c r="G185" s="18" t="n"/>
      <c r="H185" s="22" t="inlineStr">
        <is>
          <t>SHOULD · §3 RV-V8/V9</t>
        </is>
      </c>
      <c r="I185" s="18" t="n"/>
    </row>
    <row r="186">
      <c r="A186" s="18" t="inlineStr">
        <is>
          <t>G-SEC</t>
        </is>
      </c>
      <c r="B186" s="18" t="inlineStr">
        <is>
          <t>2.0 · Gates</t>
        </is>
      </c>
      <c r="C186" s="18" t="n"/>
      <c r="D186" s="22" t="inlineStr">
        <is>
          <t>Gate de seguridad bloqueante antes de liberar + segunda revisión de seguridad externa al equipo</t>
        </is>
      </c>
      <c r="E186" s="18" t="inlineStr">
        <is>
          <t>Andrés</t>
        </is>
      </c>
      <c r="F186" s="18" t="inlineStr">
        <is>
          <t>Pendiente</t>
        </is>
      </c>
      <c r="G186" s="18" t="n"/>
      <c r="H186" s="22" t="inlineStr">
        <is>
          <t>§5 · no cede por cronograma (se mueve la fecha, no el control)</t>
        </is>
      </c>
      <c r="I186" s="18" t="n"/>
    </row>
    <row r="187">
      <c r="A187" s="18" t="inlineStr">
        <is>
          <t>G-GM</t>
        </is>
      </c>
      <c r="B187" s="18" t="inlineStr">
        <is>
          <t>2.0 · Gates</t>
        </is>
      </c>
      <c r="C187" s="18" t="n"/>
      <c r="D187" s="22" t="inlineStr">
        <is>
          <t>Golden-master del motor verde OBLIGATORIO en todo PR que toque proyección (candado activo en CI)</t>
        </is>
      </c>
      <c r="E187" s="18" t="inlineStr">
        <is>
          <t>Andrés</t>
        </is>
      </c>
      <c r="F187" s="18" t="inlineStr">
        <is>
          <t>Pendiente</t>
        </is>
      </c>
      <c r="G187" s="18" t="n"/>
      <c r="H187" s="22" t="inlineStr">
        <is>
          <t>§5 · lo construye F0-2</t>
        </is>
      </c>
      <c r="I187" s="18" t="n"/>
    </row>
    <row r="188">
      <c r="A188" s="18" t="inlineStr">
        <is>
          <t>G-SEMGREP</t>
        </is>
      </c>
      <c r="B188" s="18" t="inlineStr">
        <is>
          <t>2.0 · Gates</t>
        </is>
      </c>
      <c r="C188" s="18" t="n"/>
      <c r="D188" s="22" t="inlineStr">
        <is>
          <t>Semgrep con reglas inviolables (Decimal, histórico inmutable, ninguna ruta sin auth) fallando el PR</t>
        </is>
      </c>
      <c r="E188" s="18" t="inlineStr">
        <is>
          <t>Andrés</t>
        </is>
      </c>
      <c r="F188" s="18" t="inlineStr">
        <is>
          <t>Pendiente</t>
        </is>
      </c>
      <c r="G188" s="18" t="n"/>
      <c r="H188" s="22" t="inlineStr">
        <is>
          <t>§5</t>
        </is>
      </c>
      <c r="I188" s="18" t="n"/>
    </row>
    <row r="189">
      <c r="A189" s="18" t="inlineStr">
        <is>
          <t>G-TRIVY</t>
        </is>
      </c>
      <c r="B189" s="18" t="inlineStr">
        <is>
          <t>2.0 · Gates</t>
        </is>
      </c>
      <c r="C189" s="18" t="n"/>
      <c r="D189" s="22" t="inlineStr">
        <is>
          <t>Trivy bloqueante antes de introducir cualquier librería de gráficos (cierra el hueco de npm)</t>
        </is>
      </c>
      <c r="E189" s="18" t="inlineStr">
        <is>
          <t>Andrés</t>
        </is>
      </c>
      <c r="F189" s="18" t="inlineStr">
        <is>
          <t>Pendiente</t>
        </is>
      </c>
      <c r="G189" s="18" t="n"/>
      <c r="H189" s="22" t="inlineStr">
        <is>
          <t>§5</t>
        </is>
      </c>
      <c r="I189" s="18" t="n"/>
    </row>
    <row r="190">
      <c r="A190" s="18" t="inlineStr">
        <is>
          <t>G-PIXEL</t>
        </is>
      </c>
      <c r="B190" s="18" t="inlineStr">
        <is>
          <t>2.0 · Gates</t>
        </is>
      </c>
      <c r="C190" s="18" t="n"/>
      <c r="D190" s="22" t="inlineStr">
        <is>
          <t>chrome-devtools-mcp + lost-pixel contra proyeccion-mockup.html: un PR que desvíe RV-V2 del mockup no se fusiona</t>
        </is>
      </c>
      <c r="E190" s="18" t="inlineStr">
        <is>
          <t>Andrés</t>
        </is>
      </c>
      <c r="F190" s="18" t="inlineStr">
        <is>
          <t>Pendiente</t>
        </is>
      </c>
      <c r="G190" s="18" t="n"/>
      <c r="H190" s="22" t="inlineStr">
        <is>
          <t>§5</t>
        </is>
      </c>
      <c r="I190" s="18" t="n"/>
    </row>
    <row r="191">
      <c r="A191" s="18" t="inlineStr">
        <is>
          <t>G-AXE</t>
        </is>
      </c>
      <c r="B191" s="18" t="inlineStr">
        <is>
          <t>2.0 · Gates</t>
        </is>
      </c>
      <c r="C191" s="18" t="n"/>
      <c r="D191" s="22" t="inlineStr">
        <is>
          <t>axe-core en las vistas de proyección</t>
        </is>
      </c>
      <c r="E191" s="18" t="inlineStr">
        <is>
          <t>Andrés</t>
        </is>
      </c>
      <c r="F191" s="18" t="inlineStr">
        <is>
          <t>Pendiente</t>
        </is>
      </c>
      <c r="G191" s="18" t="n"/>
      <c r="H191" s="22" t="inlineStr">
        <is>
          <t>§5</t>
        </is>
      </c>
      <c r="I191" s="18" t="n"/>
    </row>
    <row r="192">
      <c r="A192" s="18" t="inlineStr">
        <is>
          <t>BK-1</t>
        </is>
      </c>
      <c r="B192" s="18" t="inlineStr">
        <is>
          <t>2.0 · Backlog</t>
        </is>
      </c>
      <c r="C192" s="18" t="n"/>
      <c r="D192" s="22" t="inlineStr">
        <is>
          <t>Backlog UI de seguimiento de caja (diferidos): ② resumen antes→después al cargar movimientos; ③ puente real vs proyectado en Proyecciones (arrancaste con X · hoy Y real · cerraría en Z). Construir solo si el plan 2.0 no los cubre y el negocio los pide</t>
        </is>
      </c>
      <c r="E192" s="18" t="inlineStr">
        <is>
          <t>Andrés</t>
        </is>
      </c>
      <c r="F192" s="18" t="inlineStr">
        <is>
          <t>Pendiente</t>
        </is>
      </c>
      <c r="G192" s="18" t="n"/>
      <c r="H192" s="22" t="inlineStr">
        <is>
          <t>Backlog · nace de las mejoras UI de caja; PR #113 dejó ① (saldo disponible en vivo)</t>
        </is>
      </c>
      <c r="I192" s="18" t="n"/>
    </row>
    <row r="193">
      <c r="A193" s="18" t="inlineStr">
        <is>
          <t>FABS-INC4-R2</t>
        </is>
      </c>
      <c r="B193" s="18" t="inlineStr">
        <is>
          <t>FABS</t>
        </is>
      </c>
      <c r="C193" s="18" t="n"/>
      <c r="D193" s="22" t="inlineStr">
        <is>
          <t>inc4 rebanada 2 — what-if de palancas de credito (plazo/cuota inicial/cuota semanal, por modelo o 'todos'): re-proyecta el pipeline real (impacto_palanca_raw -&gt; motor-&gt;E1-&gt;D2 con override de ModeloMoto) y responde piso base / piso con palanca / mes de quiebre / impacto con evidencia; el modelo nunca calcula. Conceptos namespaced (piso_*_palanca) para no colisionar con rebanada 1 en un mismo turno. + salvedad de plazo (efecto de largo plazo cuando el impacto es 0 en horizonte corto).</t>
        </is>
      </c>
      <c r="E193" s="18" t="inlineStr">
        <is>
          <t>Andres</t>
        </is>
      </c>
      <c r="F193" s="18" t="inlineStr">
        <is>
          <t>Hecha</t>
        </is>
      </c>
      <c r="G193" s="18" t="inlineStr">
        <is>
          <t>2026-08-29</t>
        </is>
      </c>
      <c r="H193" s="22" t="inlineStr">
        <is>
          <t>SDD 5 tareas TDD + review por tarea + review final Opus (sin Critical; se atajo colision de conceptos con rebanada 1). Mergeado a main d299011; salvedad de plazo 7c03d57. Construido sobre rebanada 1 (escenarios, 31684e6). motor.py 0 diffs, S1 intacto, flag CFO_ENABLED ON. Gate-waiver + GO CEO 2026-08-29; Kimi INC4-R2 retroactivo pendiente (NUNCA simulado).</t>
        </is>
      </c>
      <c r="I193" s="18" t="inlineStr">
        <is>
          <t>Gate-waiver + GO CEO; Kimi retroactivo pend.</t>
        </is>
      </c>
    </row>
    <row r="194">
      <c r="A194" s="18" t="inlineStr">
        <is>
          <t>FABS-INC4-R3</t>
        </is>
      </c>
      <c r="B194" s="18" t="inlineStr">
        <is>
          <t>FABS</t>
        </is>
      </c>
      <c r="C194" s="18" t="n"/>
      <c r="D194" s="22" t="inlineStr">
        <is>
          <t>inc4 rebanada 3 — tendencias (data REAL, sin %): 3 tools. tendencia_real (ingreso/gasto/caja mes-a-mes + delta + direccion), rumbo_caja (caja real hasta hoy + piso proyectado/quiebre del umbral), real_vs_presupuesto (gasto real vs aprobado + desvio). Direccion la computa COMPAS (via evidencia.ref); el modelo la relata, no calcula. Conceptos namespaced (delta_caja_real vs delta_caja_rumbo distintos) — colision evitada por diseno.</t>
        </is>
      </c>
      <c r="E194" s="18" t="inlineStr">
        <is>
          <t>Andres</t>
        </is>
      </c>
      <c r="F194" s="18" t="inlineStr">
        <is>
          <t>Hecha</t>
        </is>
      </c>
      <c r="G194" s="18" t="inlineStr">
        <is>
          <t>2026-08-30</t>
        </is>
      </c>
      <c r="H194" s="22" t="inlineStr">
        <is>
          <t>SDD 9 tareas TDD (todas aprobadas a la 1a, cero fix loops) + review final Opus sin Critical/Important + fix wave (formato negativos -$X, token en-linea). Servicios nuevos: proyeccion.actuals_mensuales, presupuesto.real_vs_presupuesto_mes. Mergeado a main 5e4f5d0. motor.py 0 diffs, S1 intacto, flag CFO_ENABLED ON. Gate-waiver + GO CEO 2026-08-30 (NADA de Kimi).</t>
        </is>
      </c>
      <c r="I194" s="18" t="inlineStr">
        <is>
          <t>Gate-waiver + GO CEO (nada de Kimi)</t>
        </is>
      </c>
    </row>
    <row r="195">
      <c r="A195" s="18" t="inlineStr">
        <is>
          <t>FABS-INC4-R4</t>
        </is>
      </c>
      <c r="B195" s="18" t="inlineStr">
        <is>
          <t>FABS</t>
        </is>
      </c>
      <c r="C195" s="18" t="n"/>
      <c r="D195" s="22" t="inlineStr">
        <is>
          <t>inc4 rebanada 4 — ratios/% + mix (ABRE el uso del % en FABS): 2 tools. composicion_gasto (% del gasto REAL por grupo — nomina/deudas/operacion/costo/otros — 3 ventanas cerrado/acumulado/curso) y mix_modelos (share normalizado por modelo activo). El % lo computa COMPAS; el modelo lo cita por TOKEN [[pct_*]]/[[mix_*]] y el verificador sigue bloqueando cualquier % crudo (byte-identico). Cierra el fast-follow: borra el CONCEPTOS_CITABLES muerto.</t>
        </is>
      </c>
      <c r="E195" s="18" t="inlineStr">
        <is>
          <t>Andres</t>
        </is>
      </c>
      <c r="F195" s="18" t="inlineStr">
        <is>
          <t>Hecha</t>
        </is>
      </c>
      <c r="G195" s="18" t="inlineStr">
        <is>
          <t>2026-08-30</t>
        </is>
      </c>
      <c r="H195" s="22" t="inlineStr">
        <is>
          <t>SDD 8 tareas TDD + review por tarea + review final Opus sin Critical (verifica que el verificador quedo byte-identico y el % no debilito el control; 2 fixes: regla 7 admite %-por-token, etiqueta de ventana acumulado coherente con spec). Servicios nuevos: proyeccion.composicion_gasto_real, modelos_moto.mix_activos. Mergeado a main a7d241b. motor.py 0 diffs, S1, flag CFO_ENABLED ON. Gate-waiver + GO CEO 2026-08-30 (NADA de Kimi).</t>
        </is>
      </c>
      <c r="I195" s="18" t="inlineStr">
        <is>
          <t>Gate-waiver + GO CEO (nada de Kimi)</t>
        </is>
      </c>
    </row>
    <row r="196">
      <c r="A196" s="12" t="inlineStr">
        <is>
          <t>FABS-VIGILANTE-1</t>
        </is>
      </c>
      <c r="B196" s="12" t="inlineStr">
        <is>
          <t>FABS</t>
        </is>
      </c>
      <c r="D196" s="12" t="inlineStr">
        <is>
          <t>vigilante — paquete del lunes (FABS PROACTIVO): 1er job del scheduler (lunes 7:00 America/Bogota) genera un digest presupuestal reusando consultar() -&gt; lo guarda como BORRADOR y lo manda al revisor por Telegram; el revisor responde "publicar" y se difunde a TODO el comite de pagos. Solo se difunde texto YA verificado (publicar nunca re-llama al LLM); soft-audit; idempotente por semana. 2 eventos nuevos (catalogo 66-&gt;68).</t>
        </is>
      </c>
      <c r="E196" s="12" t="inlineStr">
        <is>
          <t>Andres</t>
        </is>
      </c>
      <c r="F196" s="12" t="inlineStr">
        <is>
          <t>Hecha</t>
        </is>
      </c>
      <c r="G196" s="12" t="inlineStr">
        <is>
          <t>2026-08-30</t>
        </is>
      </c>
      <c r="H196" s="12" t="inlineStr">
        <is>
          <t>SDD 5 tareas TDD (A cimiento+generador / B job scheduler / C router publicar / cierre) + review por tarea + review final Opus sin Critical. 1 fix Important: dedup del comando "publicar" a la par del Q&amp;A (evita doble difusion si Telegram re-entrega el update_id) + test de regresion. Mergeado a main df3b0b1. motor.py 0 diffs, S1, anti-alucinacion intacta. GO-LIVE-VIGILANTE.md (Paso 0: aprovisionar worker compas-jobs ~7 USD/mes + VIGILANTE_REVISOR_TELEGRAM_ID). Gate-waiver + GO CEO 2026-08-30 (NADA de Kimi).</t>
        </is>
      </c>
      <c r="I196" s="12" t="inlineStr">
        <is>
          <t>Gate-waiver + GO CEO (nada de Kimi)</t>
        </is>
      </c>
    </row>
    <row r="197">
      <c r="A197" s="12" t="inlineStr">
        <is>
          <t>FABS-VIGILANTE-2</t>
        </is>
      </c>
      <c r="B197" s="12" t="inlineStr">
        <is>
          <t>FABS</t>
        </is>
      </c>
      <c r="D197" s="12" t="inlineStr">
        <is>
          <t>vigilante pieza 2 — ALERTA POR UMBRAL DE CAJA (editable, no fija): job diario 8:00 que vigila la caja contra los umbrales YA editables de COMPAS (critico caja_minima + atencion UMBRAL_ATENCION, versionados en Supuestos). 2 disparadores: piso PROYECTADO (avisa antes; ambar/rojo por el estado del mes de quiebre) y disponible REAL de hoy (la conciliacion; se abstiene si faltan saldos). Texto DETERMINISTA (sin LLM, cifras de COMPAS por token + verificador). Cada dia bajo umbral con &lt;=1 borrador pendiente (supersede diario). Borrador al revisor -&gt; "publicar alerta" difunde al comite. Config propia editable ALERTA_CAJA_ACTIVA/HORIZONTE_MESES.</t>
        </is>
      </c>
      <c r="E197" s="12" t="inlineStr">
        <is>
          <t>Andres</t>
        </is>
      </c>
      <c r="F197" s="12" t="inlineStr">
        <is>
          <t>Hecha</t>
        </is>
      </c>
      <c r="G197" s="12" t="inlineStr">
        <is>
          <t>2026-08-30</t>
        </is>
      </c>
      <c r="H197" s="12" t="inlineStr">
        <is>
          <t>SDD 8 tareas TDD + review por tarea + review final Opus LIMPIA en criticos (0 Important). 1 Critical cazado y resuelto: el disparador real debe sobrevivir a ProyeccionError (umbrales leidos de params, no de la proyeccion) — spec §5.3/§8. Generaliza PaqueteVigilante-&gt;AvisoVigilante(tipo). 2 eventos nuevos (catalogo 68-&gt;70). Mergeado a main fe98962. motor.py 0 diffs, S1, Decimal, anti-alucinacion byte-identica. Go-live: worker compas-jobs + encender ALERTA_CAJA_ACTIVA (default OFF). Gate-waiver + GO CEO 2026-08-30 (NADA de Kimi).</t>
        </is>
      </c>
      <c r="I197" s="12" t="inlineStr">
        <is>
          <t>Gate-waiver + GO CEO (nada de Kimi)</t>
        </is>
      </c>
    </row>
    <row r="198">
      <c r="A198" s="12" t="inlineStr">
        <is>
          <t>RV-V1</t>
        </is>
      </c>
      <c r="B198" s="12" t="inlineStr">
        <is>
          <t>2.0 · Visual</t>
        </is>
      </c>
      <c r="D198" s="12" t="inlineStr">
        <is>
          <t>DESIGN.md gramatica de graficos (8 reglas) + paleta como tokens</t>
        </is>
      </c>
      <c r="E198" s="12" t="inlineStr">
        <is>
          <t>Andres</t>
        </is>
      </c>
      <c r="F198" s="12" t="inlineStr">
        <is>
          <t>Hecha</t>
        </is>
      </c>
      <c r="G198" s="12" t="inlineStr">
        <is>
          <t>2026-08-30</t>
        </is>
      </c>
      <c r="H198" s="12" t="inlineStr">
        <is>
          <t>PR #123 mergeado (main a071d46). Contrato de graficos: 7 tokens --color-chart-* en index.css (real/proyectado/escenario + ingreso/gasto-fijo/auteco/otros). Categoricos DISJUNTOS del semaforo (regla 9). Tailwind 4 genera utilidades. Test estatico (3 checks) = candado CI. Motor/backend cero cambios. Prerrequisito de RV-V2.</t>
        </is>
      </c>
    </row>
    <row r="199">
      <c r="A199" s="12" t="inlineStr">
        <is>
          <t>FABS-VIGILANTE-3</t>
        </is>
      </c>
      <c r="B199" s="12" t="inlineStr">
        <is>
          <t>FABS</t>
        </is>
      </c>
      <c r="D199" s="12" t="inlineStr">
        <is>
          <t>vigilante pieza 3 — CIERRE MENSUAL COMENTADO (cierra el vigilante): job diario 7:30 detecta el ULTIMO mes CERRADO y, si no tiene comentario, FABS lo NARRA (reusa consultar(), mismo contrato anti-alucinacion que el paquete) — 5 puntos: como cerro la caja, real vs presupuesto, composicion del gasto, tendencia, y que significa para el rumbo al umbral. Idempotente por mes (nunca backfill). Borrador al revisor -&gt; "publicar cierre" difunde al comite. CERO cambios de modelo (AvisoVigilante(tipo=cierre_mensual)).</t>
        </is>
      </c>
      <c r="E199" s="12" t="inlineStr">
        <is>
          <t>Andres</t>
        </is>
      </c>
      <c r="F199" s="12" t="inlineStr">
        <is>
          <t>Hecha</t>
        </is>
      </c>
      <c r="G199" s="12" t="inlineStr">
        <is>
          <t>2026-08-30</t>
        </is>
      </c>
      <c r="H199" s="12" t="inlineStr">
        <is>
          <t>SDD 5 tareas TDD + review por tarea + review final Opus LIMPIA en criticos (0 Important). Fix wave de docs (4 minors: horarios/orden del runbook, indice (tipo,periodo), cierre=narrado no determinista) + se saco del commit 13 archivos untracked ajenos barridos por error. Rebaseado sobre main (avanzo 34 commits) sin conflictos; catalogo sigue 72 post-rebase. Mergeado a main 54ef02f. motor.py 0 diffs, S1, anti-alucinacion intacta. VIGILANTE COMPLETO (3 piezas). Go-live: worker compas-jobs corre los 3 jobs. Gate-waiver + GO CEO 2026-08-30 (NADA de Kimi).</t>
        </is>
      </c>
      <c r="I199" s="12" t="inlineStr">
        <is>
          <t>Gate-waiver + GO CEO (nada de Kimi)</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1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row r="82">
      <c r="A82" s="12" t="inlineStr">
        <is>
          <t>C2P-EXCEL-DIAN</t>
        </is>
      </c>
      <c r="B82" s="12" t="inlineStr">
        <is>
          <t>PR #90 import Excel DIAN (parser de cargas = critico)</t>
        </is>
      </c>
      <c r="C82" s="12" t="inlineStr">
        <is>
          <t>GATE-WAIVER</t>
        </is>
      </c>
      <c r="D82" s="12" t="inlineStr">
        <is>
          <t>GO explicito del CEO 2026-08-11 (chat); auditoria Kimi RETROACTIVA pendiente. Evidencia: 932 passed backend + 257 frontend + dry-run 528/528 filas del export real.</t>
        </is>
      </c>
      <c r="E82" s="12" t="inlineStr">
        <is>
          <t>2026-08-11</t>
        </is>
      </c>
    </row>
    <row r="83">
      <c r="A83" s="12" t="inlineStr">
        <is>
          <t>AUTECO-2NITS</t>
        </is>
      </c>
      <c r="B83" s="12" t="inlineStr">
        <is>
          <t>PR #91 dos NITs Auteco en auto-deduccion (modulo facturas = critico)</t>
        </is>
      </c>
      <c r="C83" s="12" t="inlineStr">
        <is>
          <t>GATE-WAIVER</t>
        </is>
      </c>
      <c r="D83" s="12" t="inlineStr">
        <is>
          <t>GO explicito del CEO 2026-08-11 (chat: 'corrijamos eso'); auditoria Kimi RETROACTIVA pendiente. Evidencia: 934 passed + cruce al peso de las 9 facturas Auteco vs Excel DIAN.</t>
        </is>
      </c>
      <c r="E83" s="12" t="inlineStr">
        <is>
          <t>GO (waiver)</t>
        </is>
      </c>
      <c r="F83" s="12" t="inlineStr">
        <is>
          <t>2026-08-11</t>
        </is>
      </c>
    </row>
    <row r="84">
      <c r="A84" s="12" t="inlineStr">
        <is>
          <t>SALDO-FAVOR-DECLARADO</t>
        </is>
      </c>
      <c r="B84" s="12" t="inlineStr">
        <is>
          <t>PR saldo a favor declarado en la liquidacion (modulo IVA = critico)</t>
        </is>
      </c>
      <c r="C84" s="12" t="inlineStr">
        <is>
          <t>GATE-WAIVER</t>
        </is>
      </c>
      <c r="D84" s="12" t="inlineStr">
        <is>
          <t>GO explicito del CEO 2026-08-11 (eligio la opcion A en el chat); auditoria Kimi RETROACTIVA pendiente. Evidencia: suite completa verde + verificacion en prod con el liquidador nuevo.</t>
        </is>
      </c>
      <c r="E84" s="12" t="inlineStr">
        <is>
          <t>GO (waiver)</t>
        </is>
      </c>
      <c r="F84" s="12" t="inlineStr">
        <is>
          <t>2026-08-11</t>
        </is>
      </c>
    </row>
    <row r="85">
      <c r="A85" s="12" t="inlineStr">
        <is>
          <t>PLAN-52</t>
        </is>
      </c>
      <c r="B85" s="12" t="inlineStr">
        <is>
          <t>PR segundo plan de pago por modelo (toca puente de proyeccion = critico)</t>
        </is>
      </c>
      <c r="C85" s="12" t="inlineStr">
        <is>
          <t>GATE-WAIVER</t>
        </is>
      </c>
      <c r="D85" s="12" t="inlineStr">
        <is>
          <t>GO explicito del CEO 2026-08-11 (dio los datos y pidio construir); auditoria Kimi RETROACTIVA pendiente. Evidencia: suite backend completa + golden master + candado de particion.</t>
        </is>
      </c>
      <c r="E85" s="12" t="inlineStr">
        <is>
          <t>GO (waiver)</t>
        </is>
      </c>
      <c r="F85" s="12" t="inlineStr">
        <is>
          <t>2026-08-11</t>
        </is>
      </c>
    </row>
    <row r="86">
      <c r="A86" s="12" t="inlineStr">
        <is>
          <t>FIX-TORNADO</t>
        </is>
      </c>
      <c r="B86" s="12" t="inlineStr">
        <is>
          <t>PR #94 tornado por la tuberia completa (proyeccion = critico)</t>
        </is>
      </c>
      <c r="C86" s="12" t="inlineStr">
        <is>
          <t>GATE-WAIVER</t>
        </is>
      </c>
      <c r="D86" s="12" t="inlineStr">
        <is>
          <t>GO explicito del CEO 2026-08-11 ('Debemos corregirlo'); auditoria Kimi RETROACTIVA pendiente. Evidencia: test de consistencia tornado==pantalla + verificacion en prod con deltas reales.</t>
        </is>
      </c>
      <c r="E86" s="12" t="inlineStr">
        <is>
          <t>GO (waiver)</t>
        </is>
      </c>
      <c r="F86" s="12" t="inlineStr">
        <is>
          <t>2026-08-11</t>
        </is>
      </c>
    </row>
    <row r="87">
      <c r="A87" s="12" t="inlineStr">
        <is>
          <t>GATE-KIMI-RETRO-IVA-PLANES</t>
        </is>
      </c>
      <c r="B87" s="12" t="inlineStr">
        <is>
          <t>Auditoria RETROACTIVA iva-planes-ago26 PR1-I (PRs #90/#91/#92/#93/#94)</t>
        </is>
      </c>
      <c r="C87" s="12" t="inlineStr">
        <is>
          <t>AUDITORIA-KIMI &gt;= 9.0</t>
        </is>
      </c>
      <c r="D87"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7" s="12" t="inlineStr">
        <is>
          <t>GO 9.4</t>
        </is>
      </c>
      <c r="F87" s="12" t="inlineStr">
        <is>
          <t>2026-08-13</t>
        </is>
      </c>
    </row>
    <row r="88">
      <c r="A88" s="12" t="inlineStr">
        <is>
          <t>GATE-KIMI-RETRO-IVA-PLANES</t>
        </is>
      </c>
      <c r="B88" s="12" t="inlineStr">
        <is>
          <t>Auditoria RETROACTIVA iva-planes-ago26 PR1-I (PRs #90/#91/#92/#93/#94)</t>
        </is>
      </c>
      <c r="C88" s="12" t="inlineStr">
        <is>
          <t>AUDITORIA-KIMI &gt;= 9.0</t>
        </is>
      </c>
      <c r="D88"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8" s="12" t="inlineStr">
        <is>
          <t>GO 9.4</t>
        </is>
      </c>
      <c r="F88" s="12" t="inlineStr">
        <is>
          <t>2026-08-13</t>
        </is>
      </c>
    </row>
    <row r="89">
      <c r="A89" s="12" t="inlineStr">
        <is>
          <t>SUP-1</t>
        </is>
      </c>
      <c r="B89" s="12" t="inlineStr">
        <is>
          <t>PR #96 fix mora + tramos de crecimiento (motor y proyeccion = critico)</t>
        </is>
      </c>
      <c r="C89" s="12" t="inlineStr">
        <is>
          <t>GATE-WAIVER</t>
        </is>
      </c>
      <c r="D89" s="12" t="inlineStr">
        <is>
          <t>GO explicito del CEO 2026-08-17 (definio la semantica del delta y pidio las dos capacidades); auditoria Kimi RETROACTIVA pendiente. Evidencia: 991+263 verdes, golden master intacto, efecto medido contra PROD.</t>
        </is>
      </c>
      <c r="E89" s="12" t="inlineStr">
        <is>
          <t>GO (waiver)</t>
        </is>
      </c>
      <c r="F89" s="12" t="inlineStr">
        <is>
          <t>2026-08-17</t>
        </is>
      </c>
    </row>
    <row r="90">
      <c r="A90" s="12" t="inlineStr">
        <is>
          <t>SUP-2</t>
        </is>
      </c>
      <c r="B90" s="12" t="inlineStr">
        <is>
          <t>PR de SUP-2 (motor/proyeccion = critico)</t>
        </is>
      </c>
      <c r="C90" s="12" t="inlineStr">
        <is>
          <t>SIN KIMI (decision CEO)</t>
        </is>
      </c>
      <c r="D90" s="12" t="inlineStr">
        <is>
          <t>El CEO decidio 2026-08-22 no usar a Kimi en este tramo (esta en SISMO). La calidad la respalda la evidencia: TDD rojo-&gt;verde, suite completa, golden master intacto y efecto medido contra PROD antes de cada merge.</t>
        </is>
      </c>
      <c r="E90" s="12" t="inlineStr">
        <is>
          <t>GO CEO</t>
        </is>
      </c>
      <c r="F90" s="12" t="inlineStr">
        <is>
          <t>2026-08-22</t>
        </is>
      </c>
    </row>
    <row r="91">
      <c r="A91" s="12" t="inlineStr">
        <is>
          <t>SUP-3</t>
        </is>
      </c>
      <c r="B91" s="12" t="inlineStr">
        <is>
          <t>PR de SUP-3 (motor/proyeccion = critico)</t>
        </is>
      </c>
      <c r="C91" s="12" t="inlineStr">
        <is>
          <t>SIN KIMI (decision CEO)</t>
        </is>
      </c>
      <c r="D91" s="12" t="inlineStr">
        <is>
          <t>El CEO decidio 2026-08-22 no usar a Kimi en este tramo (esta en SISMO). La calidad la respalda la evidencia: TDD rojo-&gt;verde, suite completa, golden master intacto y efecto medido contra PROD antes de cada merge.</t>
        </is>
      </c>
      <c r="E91" s="12" t="inlineStr">
        <is>
          <t>GO CEO</t>
        </is>
      </c>
      <c r="F91" s="12" t="inlineStr">
        <is>
          <t>2026-08-22</t>
        </is>
      </c>
    </row>
    <row r="92">
      <c r="A92" s="12" t="inlineStr">
        <is>
          <t>SUP-4</t>
        </is>
      </c>
      <c r="B92" s="12" t="inlineStr">
        <is>
          <t>PR de SUP-4 (motor/proyeccion = critico)</t>
        </is>
      </c>
      <c r="C92" s="12" t="inlineStr">
        <is>
          <t>SIN KIMI (decision CEO)</t>
        </is>
      </c>
      <c r="D92" s="12" t="inlineStr">
        <is>
          <t>El CEO decidio 2026-08-22 no usar a Kimi en este tramo (esta en SISMO). La calidad la respalda la evidencia: TDD rojo-&gt;verde, suite completa, golden master intacto y efecto medido contra PROD antes de cada merge.</t>
        </is>
      </c>
      <c r="E92" s="12" t="inlineStr">
        <is>
          <t>GO CEO</t>
        </is>
      </c>
      <c r="F92" s="12" t="inlineStr">
        <is>
          <t>2026-08-22</t>
        </is>
      </c>
    </row>
    <row r="93">
      <c r="A93" s="12" t="inlineStr">
        <is>
          <t>CICLO-MENSUAL</t>
        </is>
      </c>
      <c r="B93" s="12" t="inlineStr">
        <is>
          <t>PR #100 — SUP-5 + las 8 piezas del ciclo mensual (motor/proyeccion = critico)</t>
        </is>
      </c>
      <c r="C93" s="12" t="inlineStr">
        <is>
          <t>SIN KIMI (decision CEO)</t>
        </is>
      </c>
      <c r="D93" s="12" t="inlineStr">
        <is>
          <t>El CEO decidio 2026-08-22 no usar a Kimi en este tramo (esta en SISMO); auditoria RETROACTIVA pendiente. La calidad la respalda la evidencia: contrato escrito y aprobado ANTES de construir (docs/COMPAS_Ciclo_Mensual.md), TDD rojo-&gt;verde en las 8 piezas, candado aritmetico sobre 144 meses x 3 escenarios x 3 capas, backend 1220 + frontend 286 verdes, golden master intacto (cada cambio del motor entra como parametro con default = artefacto) y los 3 deltas de agosto verificados al peso contra PROD read-only.</t>
        </is>
      </c>
      <c r="E93" s="12" t="inlineStr">
        <is>
          <t>GO CEO</t>
        </is>
      </c>
      <c r="F93" s="12" t="inlineStr">
        <is>
          <t>2026-08-23</t>
        </is>
      </c>
    </row>
    <row r="94">
      <c r="A94" s="12" t="inlineStr">
        <is>
          <t>RETRO-SUP2-CICLO</t>
        </is>
      </c>
      <c r="B94" s="12" t="inlineStr">
        <is>
          <t>Auditoria retroactiva Kimi de SUP-2..SUP-6 + ciclo P1-P7 (paga los waivers acumulados)</t>
        </is>
      </c>
      <c r="C94" s="12" t="inlineStr">
        <is>
          <t>KIMI &gt;= 9.0</t>
        </is>
      </c>
      <c r="D94" s="12" t="inlineStr">
        <is>
          <t>Paquete RETRO-I generado 2026-08-24; pendiente subir a Kimi y su nota. Hasta el gate: ninguna evolucion nueva del motor (criterio Kimi etapa75, aceptado).</t>
        </is>
      </c>
      <c r="E94" s="12" t="inlineStr">
        <is>
          <t>PENDIENTE</t>
        </is>
      </c>
    </row>
    <row r="95">
      <c r="A95" s="12" t="inlineStr">
        <is>
          <t>FABS-INC4-R2</t>
        </is>
      </c>
      <c r="B95" s="12" t="inlineStr">
        <is>
          <t>Merge de FABS inc4 rebanada 2 (what-if de palancas) + salvedad de plazo — cfo/agente (produce cifras de decision)</t>
        </is>
      </c>
      <c r="C95" s="12" t="inlineStr">
        <is>
          <t>GATE-WAIVER (Kimi no disponible ~semanas)</t>
        </is>
      </c>
      <c r="D95" s="12" t="inlineStr">
        <is>
          <t>Kimi fuera unas semanas (instruccion CEO 2026-08-26): merge con gate-waiver + GO del CEO, auditoria RETROACTIVA pendiente (armar paquete INC4-R2), NUNCA simulado. Calidad que respalda: SDD 5 tareas TDD rojo-&gt;verde + review por tarea + review final en Opus sin hallazgos Critical (atajo una colision REAL de conceptos con rebanada 1 en un mismo turno antes del merge, via namespacing); suite cfo 180 verde, golden real del pipeline, motor.py 0 diffs, S1 intacto, flag CFO_ENABLED. Mergeado d299011; caveat de plazo 7c03d57.</t>
        </is>
      </c>
      <c r="E95" s="12" t="inlineStr">
        <is>
          <t>GO CEO</t>
        </is>
      </c>
      <c r="F95" s="12" t="inlineStr">
        <is>
          <t>2026-08-29</t>
        </is>
      </c>
    </row>
    <row r="96">
      <c r="A96" s="12" t="inlineStr">
        <is>
          <t>FABS-INC4-R3</t>
        </is>
      </c>
      <c r="B96" s="12" t="inlineStr">
        <is>
          <t>Merge de FABS inc4 rebanada 3 (tendencias, 3 tools sobre data real) — cfo/agente (produce cifras de decision)</t>
        </is>
      </c>
      <c r="C96" s="12" t="inlineStr">
        <is>
          <t>GATE-WAIVER (Kimi no disponible ~semanas)</t>
        </is>
      </c>
      <c r="D96" s="12" t="inlineStr">
        <is>
          <t>Kimi fuera muchas semanas (instruccion CEO REFORZADA 2026-08-29: NADA de Kimi): merge con gate-waiver + GO del CEO, NUNCA simulado, sin perseguir paquetes retroactivos. Calidad que respalda: SDD 9 tareas TDD rojo-&gt;verde (todas aprobadas a la primera) + review por tarea + review final Opus sin Critical/Important (verifico namespacing de conceptos anti-colision, Decimal sobre money-strings, motor.py 0 diffs, S1); suite 230 verde. Sin % (va en rebanada 4). Mergeado 5e4f5d0.</t>
        </is>
      </c>
      <c r="E96" s="12" t="inlineStr">
        <is>
          <t>GO CEO</t>
        </is>
      </c>
      <c r="F96" s="12" t="inlineStr">
        <is>
          <t>2026-08-30</t>
        </is>
      </c>
    </row>
    <row r="97">
      <c r="A97" s="12" t="inlineStr">
        <is>
          <t>FABS-INC4-R4</t>
        </is>
      </c>
      <c r="B97" s="12" t="inlineStr">
        <is>
          <t>Merge de FABS inc4 rebanada 4 (ratios/% + mix, ABRE el %) — cfo/agente + verificador (control anti-alucinacion)</t>
        </is>
      </c>
      <c r="C97" s="12" t="inlineStr">
        <is>
          <t>GATE-WAIVER (Kimi no disponible ~semanas)</t>
        </is>
      </c>
      <c r="D97" s="12" t="inlineStr">
        <is>
          <t>Kimi fuera muchas semanas (NADA de Kimi, CEO): merge con gate-waiver + GO del CEO, NUNCA simulado. Punto critico auditado en la review final Opus: el unlock del % NO debilita el verificador — su logica quedo BYTE-IDENTICA (solo docstring), el modelo cita el % por token y un % crudo sigue bloqueado (test explicito). SDD 8 tareas TDD rojo-&gt;verde + review por tarea; suite 260 verde, motor.py 0 diffs, S1. Mergeado a7d241b.</t>
        </is>
      </c>
      <c r="E97" s="12" t="inlineStr">
        <is>
          <t>GO CEO</t>
        </is>
      </c>
      <c r="F97" s="12" t="inlineStr">
        <is>
          <t>2026-08-30</t>
        </is>
      </c>
    </row>
    <row r="98">
      <c r="A98" s="12" t="inlineStr">
        <is>
          <t>FABS-VIGILANTE-1</t>
        </is>
      </c>
      <c r="B98" s="12" t="inlineStr">
        <is>
          <t>Merge del vigilante (paquete del lunes) — FABS PROACTIVO: scheduler + Telegram broadcast + audit (toca dinero/auditoria/anti-alucinacion por la ruta proactiva)</t>
        </is>
      </c>
      <c r="C98" s="12" t="inlineStr">
        <is>
          <t>Kimi fuera muchas semanas (NADA de Kimi, CEO): merge con gate-waiver + GO del CEO, NUNCA simulado. Puntos criticos auditados en la review final Opus (LIMPIA en todos los criticos): la garantia anti-alucinacion se sostiene por la ruta proactiva (solo se difunde el texto YA verificado/sustituido; publicar NO re-llama al LLM ni re-verifica); soft-audit no revienta el job ni el webhook; catalogo cerrado +2 (66-&gt;68); idempotente por semana; scheduler solo en el worker y no-op con flag off; Q&amp;A intacto. 1 hallazgo Important resuelto con fix wave + test: dedup del comando publicar a la par del Q&amp;A. SDD 5 tareas TDD + review por tarea; suite cfo+audit+jobs 265 verde, motor.py 0 diffs, S1. Mergeado df3b0b1. Go-live pendiente (Paso 0: worker compas-jobs + VIGILANTE_REVISOR_TELEGRAM_ID).</t>
        </is>
      </c>
      <c r="D98" s="12" t="inlineStr">
        <is>
          <t>Kimi fuera muchas semanas (NADA de Kimi, CEO): merge con gate-waiver + GO del CEO, NUNCA simulado. Puntos criticos auditados en la review final Opus (LIMPIA en todos los criticos): la garantia anti-alucinacion se sostiene por la ruta proactiva (solo se difunde el texto YA verificado/sustituido; publicar NO re-llama al LLM ni re-verifica); soft-audit no revienta el job ni el webhook; catalogo cerrado +2 (66-&gt;68); idempotente por semana; scheduler solo en el worker y no-op con flag off; Q&amp;A intacto. 1 hallazgo Important resuelto con fix wave + test: dedup del comando publicar a la par del Q&amp;A. SDD 5 tareas TDD + review por tarea; suite cfo+audit+jobs 265 verde, motor.py 0 diffs, S1. Mergeado df3b0b1. Go-live pendiente (Paso 0: worker compas-jobs + VIGILANTE_REVISOR_TELEGRAM_ID).</t>
        </is>
      </c>
      <c r="E98" s="12" t="inlineStr">
        <is>
          <t>GO CEO</t>
        </is>
      </c>
      <c r="F98" s="12" t="inlineStr">
        <is>
          <t>2026-08-30</t>
        </is>
      </c>
    </row>
    <row r="99">
      <c r="A99" s="12" t="inlineStr">
        <is>
          <t>FABS-VIGILANTE-2</t>
        </is>
      </c>
      <c r="B99" s="12" t="inlineStr">
        <is>
          <t>Merge de la alerta por umbral de caja (vigilante pieza 2) — job proactivo + Telegram + audit; toca dinero/auditoria/anti-alucinacion por la ruta proactiva</t>
        </is>
      </c>
      <c r="C99" s="12" t="inlineStr">
        <is>
          <t>GATE-WAIVER (Kimi no disponible ~semanas)</t>
        </is>
      </c>
      <c r="D99" s="12" t="inlineStr">
        <is>
          <t>Kimi fuera muchas semanas (NADA de Kimi, CEO): merge con gate-waiver + GO del CEO, NUNCA simulado. Review final Opus LIMPIA en TODOS los criticos (0 Important): anti-alucinacion no puede filtrar cifra cruda (verificar y sustituir usan predicado byte-identico; texto determinista sin digitos crudos); el disparador REAL sobrevive a ProyeccionError (umbrales de params, no de la proyeccion) — 1 Critical cazado en Task 3 y resuelto en ronda 1; publicar nunca re-llama al LLM; catalogo cerrado +2 (68-&gt;70) soft-audit; scheduler solo worker + no-op con flag/alerta off; umbrales reusados editables; generalizacion AvisoVigilante completa. SDD 8 tareas TDD + review por tarea; suite 285 pass, motor.py 0 diffs, S1. Mergeado fe98962. Go-live pendiente (worker compas-jobs + ALERTA_CAJA_ACTIVA, default OFF).</t>
        </is>
      </c>
      <c r="E99" s="12" t="inlineStr">
        <is>
          <t>GO CEO</t>
        </is>
      </c>
      <c r="F99" s="12" t="inlineStr">
        <is>
          <t>2026-08-30</t>
        </is>
      </c>
    </row>
    <row r="100">
      <c r="A100" s="12" t="inlineStr">
        <is>
          <t>FABS-VIGILANTE-3</t>
        </is>
      </c>
      <c r="B100" s="12" t="inlineStr">
        <is>
          <t>Merge del cierre mensual comentado (vigilante pieza 3, CIERRA el vigilante) — job narrado + Telegram + audit</t>
        </is>
      </c>
      <c r="C100" s="12" t="inlineStr">
        <is>
          <t>GATE-WAIVER (Kimi no disponible ~semanas)</t>
        </is>
      </c>
      <c r="D100" s="12" t="inlineStr">
        <is>
          <t>Kimi fuera muchas semanas (NADA de Kimi, CEO): merge con gate-waiver + GO del CEO, NUNCA simulado. Review final Opus LIMPIA en criticos (0 Important): anti-alucinacion por la ruta NARRADA (consultar verifica antes de sustituir; publicar cierre no re-llama al LLM); detector del ULTIMO mes cerrado + idempotencia ANTES de consultar + sin backfill; routing por comando completo (mapa 3-way); catalogo cerrado +2 (70-&gt;72) soft; scheduler 3er job gated solo por CFO_ENABLED; CERO cambios de modelo. Fix wave de docs (4 minors) + se limpiaron 13 archivos untracked ajenos barridos por error (reset+recommit de solo 3). Rebaseado sobre main sin conflictos (catalogo 72 post-rebase). SDD 5 tareas TDD; suite 291 pass, motor 0 diffs, S1. Mergeado 54ef02f. VIGILANTE COMPLETO (3 piezas).</t>
        </is>
      </c>
      <c r="E100" s="12" t="inlineStr">
        <is>
          <t>GO CEO</t>
        </is>
      </c>
      <c r="F100" s="12" t="inlineStr">
        <is>
          <t>2026-08-30</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row r="14">
      <c r="A14" s="12" t="inlineStr">
        <is>
          <t>CR-PTS6F</t>
        </is>
      </c>
      <c r="B14" s="12" t="inlineStr">
        <is>
          <t>Cartera de apertura: refresco mensual de la serie de recaudo desde el LoanTape (cierra el hueco estructural del motor sin estado de apertura; capa aditiva, motor cero diffs). docs/COMPAS_CR-PTS6F_Cartera_Apertura.md</t>
        </is>
      </c>
      <c r="C14" s="12" t="inlineStr">
        <is>
          <t>CEO / Claude</t>
        </is>
      </c>
      <c r="D14" s="12" t="inlineStr">
        <is>
          <t>2026-08-10</t>
        </is>
      </c>
      <c r="E14" s="12" t="inlineStr">
        <is>
          <t>Borrador — espera GO del CEO (4 decisiones Q1-Q4)</t>
        </is>
      </c>
      <c r="F14" s="12" t="inlineStr">
        <is>
          <t>Cola 6-puntos (post-FABS fundación)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2026-08-31T13:46:59Z</dcterms:modified>
  <cp:revision>0</cp:revision>
</cp:coreProperties>
</file>