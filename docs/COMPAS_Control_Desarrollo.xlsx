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calcMode="auto" fullCalcOnLoad="1" refMode="A1" iterate="0" iterateCount="100" iterateDelta="0.0001" calcOnSave="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5"/>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4" ht="15" customHeight="1" s="13">
      <c r="A4" s="16" t="inlineStr">
        <is>
          <t>Avance por sprint (se actualiza solo al cambiar Estado en la hoja Tareas)</t>
        </is>
      </c>
    </row>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18" t="inlineStr">
        <is>
          <t>2.0 · Fase 0</t>
        </is>
      </c>
      <c r="B20" s="18">
        <f>COUNTIF(Tareas!B:B,A20)</f>
        <v/>
      </c>
      <c r="C20" s="18">
        <f>COUNTIFS(Tareas!B:B,A20,Tareas!F:F,"Hecha")+COUNTIFS(Tareas!B:B,A20,Tareas!F:F,"Verificada")</f>
        <v/>
      </c>
      <c r="D20" s="19">
        <f>IF(B20=0,0,C20/B20)</f>
        <v/>
      </c>
    </row>
    <row r="21">
      <c r="A21" s="18" t="inlineStr">
        <is>
          <t>2.0 · Funcional</t>
        </is>
      </c>
      <c r="B21" s="18">
        <f>COUNTIF(Tareas!B:B,A21)</f>
        <v/>
      </c>
      <c r="C21" s="18">
        <f>COUNTIFS(Tareas!B:B,A21,Tareas!F:F,"Hecha")+COUNTIFS(Tareas!B:B,A21,Tareas!F:F,"Verificada")</f>
        <v/>
      </c>
      <c r="D21" s="19">
        <f>IF(B21=0,0,C21/B21)</f>
        <v/>
      </c>
    </row>
    <row r="22">
      <c r="A22" s="18" t="inlineStr">
        <is>
          <t>2.0 · Visual</t>
        </is>
      </c>
      <c r="B22" s="18">
        <f>COUNTIF(Tareas!B:B,A22)</f>
        <v/>
      </c>
      <c r="C22" s="18">
        <f>COUNTIFS(Tareas!B:B,A22,Tareas!F:F,"Hecha")+COUNTIFS(Tareas!B:B,A22,Tareas!F:F,"Verificada")</f>
        <v/>
      </c>
      <c r="D22" s="19">
        <f>IF(B22=0,0,C22/B22)</f>
        <v/>
      </c>
    </row>
    <row r="23">
      <c r="A23" s="18" t="inlineStr">
        <is>
          <t>2.0 · Gates</t>
        </is>
      </c>
      <c r="B23" s="18">
        <f>COUNTIF(Tareas!B:B,A23)</f>
        <v/>
      </c>
      <c r="C23" s="18">
        <f>COUNTIFS(Tareas!B:B,A23,Tareas!F:F,"Hecha")+COUNTIFS(Tareas!B:B,A23,Tareas!F:F,"Verificada")</f>
        <v/>
      </c>
      <c r="D23" s="19">
        <f>IF(B23=0,0,C23/B23)</f>
        <v/>
      </c>
    </row>
    <row r="24">
      <c r="A24" s="18" t="inlineStr">
        <is>
          <t>2.0 · Backlog</t>
        </is>
      </c>
      <c r="B24" s="18">
        <f>COUNTIF(Tareas!B:B,A24)</f>
        <v/>
      </c>
      <c r="C24" s="18">
        <f>COUNTIFS(Tareas!B:B,A24,Tareas!F:F,"Hecha")+COUNTIFS(Tareas!B:B,A24,Tareas!F:F,"Verificada")</f>
        <v/>
      </c>
      <c r="D24" s="19">
        <f>IF(B24=0,0,C24/B24)</f>
        <v/>
      </c>
    </row>
    <row r="25">
      <c r="A25" s="18" t="inlineStr">
        <is>
          <t>TOTAL</t>
        </is>
      </c>
      <c r="B25" s="18">
        <f>SUM(B7:B24)</f>
        <v/>
      </c>
      <c r="C25" s="18">
        <f>SUM(C7:C24)</f>
        <v/>
      </c>
      <c r="D25" s="19">
        <f>IF(B25=0,0,C25/B25)</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Hecha</t>
        </is>
      </c>
      <c r="G13" s="18" t="inlineStr">
        <is>
          <t>2026-07-26</t>
        </is>
      </c>
      <c r="H13" s="22" t="inlineStr">
        <is>
          <t>Parsers validados contra archivos REALES: Global66 (2039 movs, 0 errores), Bancolombia CUADRA AL PESO vs saldos del extracto (dif 0.00), BBVA 0 errores. Layouts congelados. Decision CEO 2026-07-26: mar-jul solo Global66 tuvo movimiento (Ban/BBVA en 0) -&gt; se trabaja solo Global66 por ahora. .gitignore blinda extractos reales.</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Hecha</t>
        </is>
      </c>
      <c r="G16" s="18" t="inlineStr">
        <is>
          <t>2026-07-26</t>
        </is>
      </c>
      <c r="H16" s="22" t="inlineStr">
        <is>
          <t>Carga curada mar-jul desde Excel CEO Flujo de pagos deudas (Base real egresos/ingresos, clasificacion a mano alineada al Plan de Cuentas). 1270 movs: 193 ing 1.430M + 1077 egr 725M, neto +704.7M, 0 errores. La carga cruda Global66 + auto-clasif se revirtio. Commit 821026e.</t>
        </is>
      </c>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Hecha</t>
        </is>
      </c>
      <c r="G18" s="18" t="inlineStr">
        <is>
          <t>2026-07-26</t>
        </is>
      </c>
      <c r="H18" s="22" t="inlineStr">
        <is>
          <t>GATE G2 cuadrado con Global66 (unico banco con movimiento mar-jul, decision CEO): parser 0 errores + dedup por ID nativo+ordinal (idempotente, 0 duplicados en recarga) + mini-migracion cuadrada al peso. Gate-waiver CEO en hoja Gates. Ban/BBVA se validaran cuando tengan movimiento.</t>
        </is>
      </c>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 | Re-skin Fase B-1 al hero del Blueprint (curva cian + umbral rojo + KpiTile + tabla), merge main f9307fa; Vitest 33/33.</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Hecha</t>
        </is>
      </c>
      <c r="G65" s="12" t="inlineStr">
        <is>
          <t>2026-07-24</t>
        </is>
      </c>
      <c r="H65" s="12" t="inlineStr">
        <is>
          <t>Fase B-4. Merge a main ebb46c5. ScenariosPage: 3 escenarios (pesimista/base/optimista) superpuestos (ScenariosChart, escala compartida; base cyan/optimista green/pesimista amber; umbral rojo) + tarjetas comparativas (caja final, piso, meses bajo minimo, capital). useQueries; consume /proyeccion por escenario. Vitest 45/45, build+biome verdes. Sin gate (UI). GO del CEO.</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Hecha</t>
        </is>
      </c>
      <c r="G66" s="12" t="inlineStr">
        <is>
          <t>2026-07-24</t>
        </is>
      </c>
      <c r="H66" s="12" t="inlineStr">
        <is>
          <t>Fase B-2. Merge a main f66424d. InicioPage: KPIs del motor (piso/meses bajo minimo/capital/runway) + AlertBanner de perforacion + trayectoria (CashCurve compartido) + enlace a Proyecciones. Consume /proyeccion base; sin backend nuevo. Vitest 38/38, build+biome verdes. Sin gate (UI). GO del CEO.</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Hecha</t>
        </is>
      </c>
      <c r="G67" s="12" t="inlineStr">
        <is>
          <t>2026-07-24</t>
        </is>
      </c>
      <c r="H67" s="12" t="inlineStr">
        <is>
          <t>Fase B-3. Merge a main 9801fec. DatosPage: form de supuestos del motor (PUT /parametros-proyeccion) + catalogo de modelos (alta/desactivar/reactivar sobre /modelos-moto) + enlaces a capturas existentes. Montos string (regla 1); gated por proyeccion:gestionar; al guardar invalida la proyeccion. PENDIENTE: edicion in-situ de un modelo existente. Vitest 41/41, build+biome verdes. Sin gate (UI). GO del CEO.</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Hecha</t>
        </is>
      </c>
      <c r="G68" s="12" t="inlineStr">
        <is>
          <t>2026-07-24</t>
        </is>
      </c>
      <c r="H68" s="12" t="inlineStr">
        <is>
          <t>First-pass en main 41bde32: DashboardsPage con las series que el motor C7 ya proyecta (cobranza, cuotas iniciales, ingreso bruto, cartera activa) + barras de cobranza mensual. Vite | 355dbed: mora por tramo desde LoanTape SISMO-V3. COCK-07 completo.</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Hecha</t>
        </is>
      </c>
      <c r="G69" s="12" t="inlineStr">
        <is>
          <t>2026-07-24</t>
        </is>
      </c>
      <c r="H69" s="12" t="inlineStr">
        <is>
          <t>Merge a main 6491131. ReportesPage: resumen ejecutivo del escenario base (aviso perforacion + KPIs) + trayectoria (CashCurve) + tabla comparativa de los 3 escenarios; export a PDF por window.print con @media print (oculta sidebar/.no-print). Reusa el motor C7; sin backend nuevo. Vitest 47/47, build+biome verdes. Sin gate (UI). GO del CEO.</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Hecha</t>
        </is>
      </c>
      <c r="G70" s="12" t="inlineStr">
        <is>
          <t>2026-07-25</t>
        </is>
      </c>
      <c r="H70" s="12" t="inlineStr">
        <is>
          <t>main c6149c5: NÚCLEO HECHO - actuals (caja real de libro por mes) vs proyección + rolling forecast (re-ancla caja_inicial al último mes cerrado/con movimientos, configurable). Endpoint /proyeccion/comparar + sección 'Realidad vs proyección' en Inicio. Backend 74 + frontend 53 vitest/build/biome verdes. CONEXIÓN ALEGRA DESCARTADA por CEO 2026-07-26 (no se necesita); actuals vienen de las cargas bancarias. COMPLETO. Gate Kimi retroactivo.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row r="74">
      <c r="A74" s="12" t="inlineStr">
        <is>
          <t>COCK-10</t>
        </is>
      </c>
      <c r="B74" s="12" t="inlineStr">
        <is>
          <t>Cockpit</t>
        </is>
      </c>
      <c r="C74" s="12" t="inlineStr">
        <is>
          <t>Fase 1</t>
        </is>
      </c>
      <c r="D74" s="12" t="inlineStr">
        <is>
          <t>Cockpit UX Fase A: sistema de diseno (tokens RODDOS + fuentes Montserrat/Raleway @fontsource, sin CDN) + app shell (sidebar fijo, arbol 8 vistas capability-gated) + componentes base (Button/Card/KpiTile/AlertBanner/ScenarioChip/PageHeader) + placeholder EnConstruccion</t>
        </is>
      </c>
      <c r="E74" s="12" t="inlineStr">
        <is>
          <t>Claude Code</t>
        </is>
      </c>
      <c r="F74" s="12" t="inlineStr">
        <is>
          <t>Hecha</t>
        </is>
      </c>
      <c r="G74" s="12" t="inlineStr">
        <is>
          <t>2026-07-24</t>
        </is>
      </c>
      <c r="H74" s="12" t="inlineStr">
        <is>
          <t>Merge a main a7b2101 (PR #35). Convierte la hoja en blanco en el cockpit del Blueprint (fondo blanco + acentos RODDOS). TDD 15 tests; Vitest 33/33, npm run build + biome verdes. Sin gate (UI no critica). GO del CEO.</t>
        </is>
      </c>
      <c r="I74" s="12" t="inlineStr">
        <is>
          <t>sin gate</t>
        </is>
      </c>
    </row>
    <row r="75">
      <c r="A75" s="12" t="inlineStr">
        <is>
          <t>IVA-01</t>
        </is>
      </c>
      <c r="B75" s="12" t="inlineStr">
        <is>
          <t>Cockpit</t>
        </is>
      </c>
      <c r="C75" s="12" t="inlineStr">
        <is>
          <t>Fase final</t>
        </is>
      </c>
      <c r="D75" s="12" t="inlineStr">
        <is>
          <t>C11 Motor de liquidacion de IVA cuatrimestral: entidad Factura (compra/venta, tercero+NIT, base, tarifa, IVA, fecha-&gt;cuatrimestre) + generado-descontable con arrastre de saldo a favor, en Decimal (solo backend).</t>
        </is>
      </c>
      <c r="E75" s="12" t="inlineStr">
        <is>
          <t>Claude Code</t>
        </is>
      </c>
      <c r="F75" s="12" t="inlineStr">
        <is>
          <t>Hecha</t>
        </is>
      </c>
      <c r="G75" s="12" t="inlineStr">
        <is>
          <t>2026-07-25</t>
        </is>
      </c>
      <c r="H75" s="12" t="inlineStr">
        <is>
          <t>main c162b85; Factura+CRUD+endpoint /facturas, evento factura.anulada (45-&gt;46), iva:gestionar. 7+5 tests (TDD). GO CEO, gate-waiver.</t>
        </is>
      </c>
      <c r="I75" s="12" t="inlineStr">
        <is>
          <t>Gate Kimi (IVA/calculo)</t>
        </is>
      </c>
    </row>
    <row r="76">
      <c r="A76" s="12" t="inlineStr">
        <is>
          <t>IVA-02</t>
        </is>
      </c>
      <c r="B76" s="12" t="inlineStr">
        <is>
          <t>Cockpit</t>
        </is>
      </c>
      <c r="C76" s="12" t="inlineStr">
        <is>
          <t>Fase final</t>
        </is>
      </c>
      <c r="D76" s="12" t="inlineStr">
        <is>
          <t>Enchufar el IVA neto como egreso en la proyeccion de caja en la fecha DIAN real (CALENDARIO_DIAN, digito 2). CORRIGE omision verificada: el motor C7 hoy NO resta IVA -&gt; caja proyectada sobreestimada.</t>
        </is>
      </c>
      <c r="E76" s="12" t="inlineStr">
        <is>
          <t>Claude Code</t>
        </is>
      </c>
      <c r="F76" s="12" t="inlineStr">
        <is>
          <t>Hecha</t>
        </is>
      </c>
      <c r="G76" s="12" t="inlineStr">
        <is>
          <t>2026-07-25</t>
        </is>
      </c>
      <c r="H76" s="12" t="inlineStr">
        <is>
          <t>main c162b85; motor iva_egreso_por_mes + puente programar_egresos_iva (fecha DIAN real), paridad golden-master intacta. Test caja baja en mes DIAN.</t>
        </is>
      </c>
      <c r="I76" s="12" t="inlineStr">
        <is>
          <t>Gate Kimi (IVA/calculo)</t>
        </is>
      </c>
    </row>
    <row r="77">
      <c r="A77" s="12" t="inlineStr">
        <is>
          <t>IVA-03</t>
        </is>
      </c>
      <c r="B77" s="12" t="inlineStr">
        <is>
          <t>Cockpit</t>
        </is>
      </c>
      <c r="C77" s="12" t="inlineStr">
        <is>
          <t>Fase final</t>
        </is>
      </c>
      <c r="D77" s="12" t="inlineStr">
        <is>
          <t>Descontable de OTRAS compras deducibles (no solo Auteco) para no sobreestimar el IVA a pagar.</t>
        </is>
      </c>
      <c r="E77" s="12" t="inlineStr">
        <is>
          <t>Claude Code</t>
        </is>
      </c>
      <c r="F77" s="12" t="inlineStr">
        <is>
          <t>Hecha</t>
        </is>
      </c>
      <c r="G77" s="12" t="inlineStr">
        <is>
          <t>2026-07-25</t>
        </is>
      </c>
      <c r="H77" s="12" t="inlineStr">
        <is>
          <t>main c162b85; descontable cuenta TODAS las compras deducibles (Auteco + otras), no solo Auteco. Cubierto en liquidar().</t>
        </is>
      </c>
      <c r="I77" s="12" t="inlineStr">
        <is>
          <t>Gate Kimi (IVA/calculo)</t>
        </is>
      </c>
    </row>
    <row r="78">
      <c r="A78" s="12" t="inlineStr">
        <is>
          <t>IVA-04</t>
        </is>
      </c>
      <c r="B78" s="12" t="inlineStr">
        <is>
          <t>Cockpit</t>
        </is>
      </c>
      <c r="C78" s="12" t="inlineStr">
        <is>
          <t>Fase final</t>
        </is>
      </c>
      <c r="D78" s="12" t="inlineStr">
        <is>
          <t>Fondo de provision de IVA (reserva mensual % del neto) como capacidad de tesoreria; aporte del artifact v6.</t>
        </is>
      </c>
      <c r="E78" s="12" t="inlineStr">
        <is>
          <t>Claude Code</t>
        </is>
      </c>
      <c r="F78" s="12" t="inlineStr">
        <is>
          <t>Hecha</t>
        </is>
      </c>
      <c r="G78" s="12" t="inlineStr">
        <is>
          <t>2026-07-25</t>
        </is>
      </c>
      <c r="H78" s="12" t="inlineStr">
        <is>
          <t>main 32b1c1b; plan_fondo_provision (neto/meses-del-periodo, lleno en fecha DIAN) + serie fondo_provision en la proyeccion. 13 tests.</t>
        </is>
      </c>
      <c r="I78" s="12" t="inlineStr">
        <is>
          <t>Gate Kimi (calculo/caja)</t>
        </is>
      </c>
    </row>
    <row r="79">
      <c r="A79" s="12" t="inlineStr">
        <is>
          <t>IVA-05</t>
        </is>
      </c>
      <c r="B79" s="12" t="inlineStr">
        <is>
          <t>Cockpit</t>
        </is>
      </c>
      <c r="C79" s="12" t="inlineStr">
        <is>
          <t>Fase final</t>
        </is>
      </c>
      <c r="D79" s="12" t="inlineStr">
        <is>
          <t>Generado sobre TODAS las ventas gravadas (repuestos/accesorios/servicio) si RODDOS las factura + simulador cuanto-pago-si-vendo-N-motos integrado en Escenarios.</t>
        </is>
      </c>
      <c r="E79" s="12" t="inlineStr">
        <is>
          <t>Claude Code</t>
        </is>
      </c>
      <c r="F79" s="12" t="inlineStr">
        <is>
          <t>Pendiente</t>
        </is>
      </c>
      <c r="H79" s="12" t="inlineStr">
        <is>
          <t>AL FINAL. AUDITORIA-IVA P1-5/6.</t>
        </is>
      </c>
      <c r="I79" s="12" t="inlineStr">
        <is>
          <t>Gate Kimi (calculo)</t>
        </is>
      </c>
    </row>
    <row r="80">
      <c r="A80" s="12" t="inlineStr">
        <is>
          <t>IVA-06</t>
        </is>
      </c>
      <c r="B80" s="12" t="inlineStr">
        <is>
          <t>Cockpit</t>
        </is>
      </c>
      <c r="C80" s="12" t="inlineStr">
        <is>
          <t>Fase final</t>
        </is>
      </c>
      <c r="D80" s="12" t="inlineStr">
        <is>
          <t>Vista IVA del cockpit (curva neto/pago DIAN/fondo de provision, proximo pago) + export Excel + consulta fecha-&gt;cuatrimestre. Reemplaza el placeholder /iva.</t>
        </is>
      </c>
      <c r="E80" s="12" t="inlineStr">
        <is>
          <t>Claude Code</t>
        </is>
      </c>
      <c r="F80" s="12" t="inlineStr">
        <is>
          <t>Hecha</t>
        </is>
      </c>
      <c r="G80" s="12" t="inlineStr">
        <is>
          <t>2026-07-25</t>
        </is>
      </c>
      <c r="H80" s="12" t="inlineStr">
        <is>
          <t>main b2acc74; vista /iva (IvaPage) reemplaza placeholder: KPIs proximo pago DIAN/saldo a favor, tabla liquidacion por periodo, fondo. build+vitest(51)+biome verdes.</t>
        </is>
      </c>
      <c r="I80" s="12" t="inlineStr">
        <is>
          <t>sin gate (UI)</t>
        </is>
      </c>
    </row>
    <row r="81">
      <c r="A81" s="12" t="inlineStr">
        <is>
          <t>DASH-01</t>
        </is>
      </c>
      <c r="B81" s="12" t="inlineStr">
        <is>
          <t>Cockpit</t>
        </is>
      </c>
      <c r="C81" s="12" t="inlineStr">
        <is>
          <t>Fase final</t>
        </is>
      </c>
      <c r="D81" s="12" t="inlineStr">
        <is>
          <t>Motor de agregacion operativa: cartera por AÑADA (cohorte), mora por TRAMO (aging) y colocacion mensual expuesta desde el motor. Completa COCK-07.</t>
        </is>
      </c>
      <c r="E81" s="12" t="inlineStr">
        <is>
          <t>Claude Code</t>
        </is>
      </c>
      <c r="F81" s="12" t="inlineStr">
        <is>
          <t>Hecha</t>
        </is>
      </c>
      <c r="G81" s="12" t="inlineStr">
        <is>
          <t>2026-07-26</t>
        </is>
      </c>
      <c r="H81" s="12" t="inlineStr">
        <is>
          <t>main 355dbed: cartera por añada + colocación + MORA POR TRAMO (aging) completas. El aging sale del LoanTape REAL de SISMO-V3 (contrato + carga CSV/Excel + entidad LoanTapeCredito + derivación aging_por_tramo + vista Dashboards); NO roll-rates inventados. Backend 34 + frontend 53 verdes.</t>
        </is>
      </c>
      <c r="I81" s="12" t="inlineStr">
        <is>
          <t>Gate Kimi (calculo)</t>
        </is>
      </c>
    </row>
    <row r="82">
      <c r="A82" s="12" t="inlineStr">
        <is>
          <t>COCK-11</t>
        </is>
      </c>
      <c r="B82" s="12" t="inlineStr">
        <is>
          <t>Cockpit</t>
        </is>
      </c>
      <c r="C82" s="12" t="inlineStr">
        <is>
          <t>Fase 1</t>
        </is>
      </c>
      <c r="D82" s="12" t="inlineStr">
        <is>
          <t>Re-skin de vistas existentes al Blueprint: Presupuesto (ControlPage) + herramientas de captura (Caja, Cargas, Categorias, Reglas, Meses). Coherencia visual total del cockpit: ninguna pantalla queda en el estilo viejo.</t>
        </is>
      </c>
      <c r="E82" s="12" t="inlineStr">
        <is>
          <t>Claude Code</t>
        </is>
      </c>
      <c r="F82" s="12" t="inlineStr">
        <is>
          <t>Hecha</t>
        </is>
      </c>
      <c r="G82" s="12" t="inlineStr">
        <is>
          <t>2026-07-24</t>
        </is>
      </c>
      <c r="H82" s="12" t="inlineStr">
        <is>
          <t>Presupuesto main 704607e; herramientas main 2f55aa6 (4 por agentes en paralelo + Reglas a mano por caida transitoria de API del agente). Sin cambios de logica ni contrato; textos/roles y tests preservados. Suite 45/45, npm run build + biome verdes. Sin gate (UI). GO del CEO.</t>
        </is>
      </c>
      <c r="I82" s="12" t="inlineStr">
        <is>
          <t>sin gate</t>
        </is>
      </c>
    </row>
    <row r="83">
      <c r="A83" s="12" t="inlineStr">
        <is>
          <t>FID-01</t>
        </is>
      </c>
      <c r="B83" s="12" t="inlineStr">
        <is>
          <t>Cockpit</t>
        </is>
      </c>
      <c r="C83" s="12" t="inlineStr">
        <is>
          <t>Fase 1</t>
        </is>
      </c>
      <c r="D83" s="12" t="inlineStr">
        <is>
          <t>Motor C7 suma recaudo/activos de la cartera previa (PR-1 Fidelidad)</t>
        </is>
      </c>
      <c r="E83" s="12" t="inlineStr">
        <is>
          <t>Claude Code</t>
        </is>
      </c>
      <c r="F83" s="12" t="inlineStr">
        <is>
          <t>Hecha</t>
        </is>
      </c>
      <c r="G83" s="12" t="inlineStr">
        <is>
          <t>2026-07-25</t>
        </is>
      </c>
      <c r="H83" s="12" t="inlineStr">
        <is>
          <t>main 9a133c0; motor 22 tests (TDD)</t>
        </is>
      </c>
      <c r="I83" s="12" t="inlineStr">
        <is>
          <t>Gate Kimi pendiente (GO CEO)</t>
        </is>
      </c>
    </row>
    <row r="84">
      <c r="A84" s="12" t="inlineStr">
        <is>
          <t>FID-02</t>
        </is>
      </c>
      <c r="B84" s="12" t="inlineStr">
        <is>
          <t>Cockpit</t>
        </is>
      </c>
      <c r="C84" s="12" t="inlineStr">
        <is>
          <t>Fase 1</t>
        </is>
      </c>
      <c r="D84" s="12" t="inlineStr">
        <is>
          <t>CarteraPreviaRecaudo + servicio + seed idempotente 97 semanas ($1.095.640.900) + evento cartera_previa.cargada</t>
        </is>
      </c>
      <c r="E84" s="12" t="inlineStr">
        <is>
          <t>Claude Code</t>
        </is>
      </c>
      <c r="F84" s="12" t="inlineStr">
        <is>
          <t>Hecha</t>
        </is>
      </c>
      <c r="G84" s="12" t="inlineStr">
        <is>
          <t>2026-07-25</t>
        </is>
      </c>
      <c r="H84" s="12" t="inlineStr">
        <is>
          <t>main 9a133c0; cartera_previa 5 tests</t>
        </is>
      </c>
      <c r="I84" s="12" t="inlineStr">
        <is>
          <t>Gate Kimi pendiente (GO CEO)</t>
        </is>
      </c>
    </row>
    <row r="85">
      <c r="A85" s="12" t="inlineStr">
        <is>
          <t>FID-03</t>
        </is>
      </c>
      <c r="B85" s="12" t="inlineStr">
        <is>
          <t>Cockpit</t>
        </is>
      </c>
      <c r="C85" s="12" t="inlineStr">
        <is>
          <t>Fase 1</t>
        </is>
      </c>
      <c r="D85" s="12" t="inlineStr">
        <is>
          <t>Golden-master del motor: paridad con simular() del artefacto (176 meses, dif max 0.042 COP). Cierra tarea paridad #21</t>
        </is>
      </c>
      <c r="E85" s="12" t="inlineStr">
        <is>
          <t>Claude Code</t>
        </is>
      </c>
      <c r="F85" s="12" t="inlineStr">
        <is>
          <t>Hecha</t>
        </is>
      </c>
      <c r="G85" s="12" t="inlineStr">
        <is>
          <t>2026-07-25</t>
        </is>
      </c>
      <c r="H85" s="12" t="inlineStr">
        <is>
          <t>main d9cfb69; test_golden_master 2 tests + motor 31</t>
        </is>
      </c>
      <c r="I85" s="12" t="inlineStr">
        <is>
          <t>Gate Kimi pendiente (GO CEO)</t>
        </is>
      </c>
    </row>
    <row r="86">
      <c r="A86" s="12" t="inlineStr">
        <is>
          <t>IVA-07</t>
        </is>
      </c>
      <c r="B86" s="12" t="inlineStr">
        <is>
          <t>Cockpit</t>
        </is>
      </c>
      <c r="C86" s="12" t="inlineStr">
        <is>
          <t>Fase 1</t>
        </is>
      </c>
      <c r="D86" s="12" t="inlineStr">
        <is>
          <t>Periodo de IVA CONFIGURABLE (cuatrimestral/bimestral): clave PERIODICIDAD_IVA (default cuatrimestral), la DIAN puede pasar a RODDOS a bimestral por volumen (decision CEO 2026-07-25). Sin tocar codigo.</t>
        </is>
      </c>
      <c r="E86" s="12" t="inlineStr">
        <is>
          <t>Claude Code</t>
        </is>
      </c>
      <c r="F86" s="12" t="inlineStr">
        <is>
          <t>Hecha</t>
        </is>
      </c>
      <c r="G86" s="12" t="inlineStr">
        <is>
          <t>2026-07-25</t>
        </is>
      </c>
      <c r="H86" s="12" t="inlineStr">
        <is>
          <t>main c162b85; Periodicidad enum + periodo_de + clave_dian, liquidar/programar/plan_fondo parametrizados; obtener_periodicidad(); CLAUDE.md enmendado. Tests bimestral verdes.</t>
        </is>
      </c>
      <c r="I86" s="12" t="inlineStr">
        <is>
          <t>Sin gate adicional (parte del PR-2, GO CEO).</t>
        </is>
      </c>
    </row>
    <row r="87">
      <c r="A87" s="12" t="inlineStr">
        <is>
          <t>DASH-02</t>
        </is>
      </c>
      <c r="B87" s="12" t="inlineStr">
        <is>
          <t>Cockpit</t>
        </is>
      </c>
      <c r="C87" s="12" t="inlineStr">
        <is>
          <t>Fase final</t>
        </is>
      </c>
      <c r="D87" s="12" t="inlineStr">
        <is>
          <t>Proyección de recaudo CRÉDITO A CRÉDITO desde el cronograma restante del LoanTape de SISMO-V3 (reemplaza/afina la serie agregada de cartera previa en el motor). Upgrade de fidelidad del norte predictivo.</t>
        </is>
      </c>
      <c r="E87" s="12" t="inlineStr">
        <is>
          <t>Claude Code</t>
        </is>
      </c>
      <c r="F87" s="12" t="inlineStr">
        <is>
          <t>Pendiente</t>
        </is>
      </c>
      <c r="G87" s="12" t="n"/>
      <c r="H87" s="12" t="inlineStr">
        <is>
          <t>Después. Requiere el LoanTape con cronograma (ya en el contrato SISMO-V3). Gate Kimi (motor).</t>
        </is>
      </c>
      <c r="I87" s="12" t="inlineStr">
        <is>
          <t>Gate Kimi</t>
        </is>
      </c>
    </row>
    <row r="88">
      <c r="A88" s="12" t="inlineStr">
        <is>
          <t>C3-G66</t>
        </is>
      </c>
      <c r="B88" s="12" t="inlineStr">
        <is>
          <t>S2</t>
        </is>
      </c>
      <c r="C88" s="12" t="inlineStr"/>
      <c r="D88" s="12" t="inlineStr">
        <is>
          <t>Ampliar auto-clasificacion C3 con reglas de egreso de Global66 (comercios/conceptos genericos) + reclasificar carga inicial</t>
        </is>
      </c>
      <c r="E88" s="12" t="inlineStr">
        <is>
          <t>Andres</t>
        </is>
      </c>
      <c r="F88" s="12" t="inlineStr">
        <is>
          <t>Descartada</t>
        </is>
      </c>
      <c r="G88" s="12" t="inlineStr">
        <is>
          <t>2026-07-26</t>
        </is>
      </c>
      <c r="H88" s="12" t="inlineStr">
        <is>
          <t>REVERTIDA por CEO: no quería auto-clasificación adivinada. Se borró de prod (reglas+txs). Reemplazada por carga curada del Excel del CEO (ver CARGA-FLUJO). Reglas quedan dormidas en SEMILLA_REGLAS (no aplicadas). Reglas de egreso RETIRADAS tambien del codigo (SEMILLA_REGLAS vuelve a 2 de ingreso, commit 5eb4fb0).</t>
        </is>
      </c>
      <c r="I88" s="12" t="inlineStr"/>
    </row>
    <row r="89">
      <c r="A89" s="12" t="inlineStr">
        <is>
          <t>CARGA-FLUJO</t>
        </is>
      </c>
      <c r="B89" s="12" t="inlineStr">
        <is>
          <t>S2</t>
        </is>
      </c>
      <c r="C89" s="12" t="inlineStr"/>
      <c r="D89" s="12" t="inlineStr">
        <is>
          <t>Carga curada de movimientos mar-jul desde el Excel del CEO (clasificacion manual alineada a la arquitectura presupuestal / Plan de Cuentas), reemplaza carga cruda</t>
        </is>
      </c>
      <c r="E89" s="12" t="inlineStr">
        <is>
          <t>Andres</t>
        </is>
      </c>
      <c r="F89" s="12" t="inlineStr">
        <is>
          <t>Hecha</t>
        </is>
      </c>
      <c r="G89" s="12" t="inlineStr">
        <is>
          <t>2026-07-26</t>
        </is>
      </c>
      <c r="H89" s="12" t="inlineStr">
        <is>
          <t>32/32 categorias mapean al Plan de Cuentas. Grúas/Freelance=rubros propios Operacion; Arriendos=operacion; ingresos=Recaudo neto (desglose en SISMO). Dry-run 0 errores. Idempotente. 1270 movs en prod. Commit 821026e.</t>
        </is>
      </c>
      <c r="I89" s="12" t="inlineStr"/>
    </row>
    <row r="90">
      <c r="A90" s="12" t="inlineStr">
        <is>
          <t>APORTES-CAP</t>
        </is>
      </c>
      <c r="B90" s="12" t="inlineStr">
        <is>
          <t>S2</t>
        </is>
      </c>
      <c r="C90" s="12" t="inlineStr"/>
      <c r="D90" s="12" t="inlineStr">
        <is>
          <t>Separar aportes de capital de inversionistas del Recaudo operativo (rubro nuevo Aportes de capital)</t>
        </is>
      </c>
      <c r="E90" s="12" t="inlineStr">
        <is>
          <t>Andres</t>
        </is>
      </c>
      <c r="F90" s="12" t="inlineStr">
        <is>
          <t>Hecha</t>
        </is>
      </c>
      <c r="G90" s="12" t="inlineStr">
        <is>
          <t>2026-07-26</t>
        </is>
      </c>
      <c r="H90" s="12" t="inlineStr">
        <is>
          <t>CEO detecto distorsion: 1.040M de aportes de inversionistas estaban en Recaudo. Rubro Aportes de capital (ingreso no operativo, grupo otros). 8 movs reclasificados. Recaudo operativo real mar-jul = 390.1M (antes 1.430M). Caja sin cambios. Wava=operativo (se queda). Paula Naranjo = dentro de los 890M de Becerra (esposa, misma cuenta) - resuelto. Sin PII en repo (op de datos).</t>
        </is>
      </c>
      <c r="I90" s="12" t="inlineStr"/>
    </row>
    <row r="91">
      <c r="A91" s="12" t="inlineStr">
        <is>
          <t>ALINEA-PC</t>
        </is>
      </c>
      <c r="B91" s="12" t="inlineStr">
        <is>
          <t>S2</t>
        </is>
      </c>
      <c r="C91" s="12" t="inlineStr"/>
      <c r="D91" s="12" t="inlineStr">
        <is>
          <t>Alinear rubros de prod al Plan de Cuentas de la arquitectura (codigo 3 niveles + grupo + tipo)</t>
        </is>
      </c>
      <c r="E91" s="12" t="inlineStr">
        <is>
          <t>Andres</t>
        </is>
      </c>
      <c r="F91" s="12" t="inlineStr">
        <is>
          <t>Hecha</t>
        </is>
      </c>
      <c r="G91" s="12" t="inlineStr">
        <is>
          <t>2026-07-26</t>
        </is>
      </c>
      <c r="H91" s="12" t="inlineStr">
        <is>
          <t>37 rubros poblados con codigo/grupo/tipo desde el Plan de Cuentas. Recaudo otros-&gt;ingresos_operativos (0110); Dotacion empleados operacion-&gt;nomina; Gruas 2130 + Freelance 2140 (Operacion); Arriendos duplicado (otros, 0 txs) desactivado. No renombra (conserva nombres del flujo). Foto limpia: resultado operativo mar-jul = -335M (la operacion quema; +705M caja lo sostiene el capital). Commit 0502aff.</t>
        </is>
      </c>
      <c r="I91" s="12" t="inlineStr"/>
    </row>
    <row r="92">
      <c r="A92" s="12" t="inlineStr">
        <is>
          <t>CARGA-SEMANAL</t>
        </is>
      </c>
      <c r="B92" s="12" t="inlineStr">
        <is>
          <t>S2</t>
        </is>
      </c>
      <c r="C92" s="12" t="inlineStr"/>
      <c r="D92" s="12" t="inlineStr">
        <is>
          <t>Habilitar carga semanal idempotente desde el Excel curado + runbook + fix loader (2 rubros de ingreso)</t>
        </is>
      </c>
      <c r="E92" s="12" t="inlineStr">
        <is>
          <t>Andres</t>
        </is>
      </c>
      <c r="F92" s="12" t="inlineStr">
        <is>
          <t>Hecha</t>
        </is>
      </c>
      <c r="G92" s="12" t="inlineStr">
        <is>
          <t>2026-07-26</t>
        </is>
      </c>
      <c r="H92" s="12" t="inlineStr">
        <is>
          <t>Re-carga idempotente verificada (0 nuevas/1270 dup). Fix: abonos-&gt;Recaudo explicito (fallaba con Aportes de capital). docs/RUNBOOK-CARGA-SEMANAL.md. Caja mensual coherente (final 704.7M); ingresos separables por grupo (operativo 390M vs capital 1.040M). Fase 2=conexion SISMO. Commit 5eb4fb0.</t>
        </is>
      </c>
      <c r="I92" s="12" t="inlineStr"/>
    </row>
    <row r="93">
      <c r="A93" s="12" t="inlineStr">
        <is>
          <t>QA-AUDIT</t>
        </is>
      </c>
      <c r="B93" s="12" t="inlineStr">
        <is>
          <t>S2</t>
        </is>
      </c>
      <c r="C93" s="12" t="inlineStr"/>
      <c r="D93" s="12" t="inlineStr">
        <is>
          <t>Auditoria QA del cockpit desplegado (Claude Chrome) + prompt + carpeta capturas</t>
        </is>
      </c>
      <c r="E93" s="12" t="inlineStr">
        <is>
          <t>Andres</t>
        </is>
      </c>
      <c r="F93" s="12" t="inlineStr">
        <is>
          <t>Hecha</t>
        </is>
      </c>
      <c r="G93" s="12" t="inlineStr">
        <is>
          <t>2026-07-26</t>
        </is>
      </c>
      <c r="H93" s="12" t="inlineStr">
        <is>
          <t>Auditoria vista por vista. Hallazgo raiz: data SI cargada (1270 txs) pero motor sin configurar (parametros_proyeccion=0, modelos_moto=0) y meses en sugerido -&gt; vistas de proyeccion 409. /cargas vacio por diseno. 2 bugs UX reales. Prompt en docs/PROMPT-AUDITORIA-UI.md, capturas en revision-ui/.</t>
        </is>
      </c>
      <c r="I93" s="12" t="inlineStr"/>
    </row>
    <row r="94">
      <c r="A94" s="12" t="inlineStr">
        <is>
          <t>COCK-FLUJODIA</t>
        </is>
      </c>
      <c r="B94" s="12" t="inlineStr">
        <is>
          <t>S2</t>
        </is>
      </c>
      <c r="C94" s="12" t="inlineStr"/>
      <c r="D94" s="12" t="inlineStr">
        <is>
          <t>Vista Flujo de caja DIARIO (evolucion dia a dia, lee transacciones reales)</t>
        </is>
      </c>
      <c r="E94" s="12" t="inlineStr">
        <is>
          <t>Andres</t>
        </is>
      </c>
      <c r="F94" s="12" t="inlineStr">
        <is>
          <t>Hecha</t>
        </is>
      </c>
      <c r="G94" s="12" t="inlineStr">
        <is>
          <t>2026-07-26</t>
        </is>
      </c>
      <c r="H94" s="12" t="inlineStr">
        <is>
          <t>Backend app/caja/diaria.py (serie_diaria TDD 4 tests) + GET /caja/diaria + frontend FlujoDiarioPage (KPIs+tabla+barra evolucion)+nav. No depende del motor -&gt; muestra la data cargada ya. Commit 2281a3f.</t>
        </is>
      </c>
      <c r="I94" s="12" t="inlineStr"/>
    </row>
    <row r="95">
      <c r="A95" s="12" t="inlineStr">
        <is>
          <t>FIX-UX-01</t>
        </is>
      </c>
      <c r="B95" s="12" t="inlineStr">
        <is>
          <t>S2</t>
        </is>
      </c>
      <c r="C95" s="12" t="inlineStr"/>
      <c r="D95" s="12" t="inlineStr">
        <is>
          <t>Fix 2 bugs UX de la auditoria (Escenarios blanco sin mensaje; Inicio comparar atascado)</t>
        </is>
      </c>
      <c r="E95" s="12" t="inlineStr">
        <is>
          <t>Andres</t>
        </is>
      </c>
      <c r="F95" s="12" t="inlineStr">
        <is>
          <t>Hecha</t>
        </is>
      </c>
      <c r="G95" s="12" t="inlineStr">
        <is>
          <t>2026-07-26</t>
        </is>
      </c>
      <c r="H95" s="12" t="inlineStr">
        <is>
          <t>Escenarios: error si ALGUNA query falla (era every-&gt;blanco en estados mixtos). Inicio: rama isError en tarjeta comparar. Build+10 tests+biome verdes. Commit 2281a3f.</t>
        </is>
      </c>
      <c r="I95" s="12" t="inlineStr"/>
    </row>
    <row r="96">
      <c r="A96" s="12" t="inlineStr">
        <is>
          <t>GUIA-MOTOR</t>
        </is>
      </c>
      <c r="B96" s="12" t="inlineStr">
        <is>
          <t>S2</t>
        </is>
      </c>
      <c r="C96" s="12" t="inlineStr"/>
      <c r="D96" s="12" t="inlineStr">
        <is>
          <t>Guia PDF paso a paso para configurar/encender el motor de proyeccion</t>
        </is>
      </c>
      <c r="E96" s="12" t="inlineStr">
        <is>
          <t>Andres</t>
        </is>
      </c>
      <c r="F96" s="12" t="inlineStr">
        <is>
          <t>Hecha</t>
        </is>
      </c>
      <c r="G96" s="12" t="inlineStr">
        <is>
          <t>2026-07-26</t>
        </is>
      </c>
      <c r="H96" s="12" t="inlineStr">
        <is>
          <t>docs/GUIA-CONFIGURACION-MOTOR.md/.pdf: modelos de moto + parametros/supuestos (origen Excel arquitectura) + arranque ciclo presupuestal. Commit 6c88a3f.</t>
        </is>
      </c>
      <c r="I96" s="12" t="inlineStr"/>
    </row>
    <row r="97">
      <c r="A97" s="12" t="inlineStr">
        <is>
          <t>GASTOS-REC</t>
        </is>
      </c>
      <c r="B97" s="12" t="inlineStr">
        <is>
          <t>S2</t>
        </is>
      </c>
      <c r="D97" s="12" t="inlineStr">
        <is>
          <t>Modulo Gastos recurrentes: plantilla administrable de gastos fijos (cada uno apunta a un rubro; frecuencia-&gt;mensual; dia de pago; hasta; notas). Informativo, no toca el motor.</t>
        </is>
      </c>
      <c r="E97" s="12" t="inlineStr">
        <is>
          <t>Andres</t>
        </is>
      </c>
      <c r="F97" s="12" t="inlineStr">
        <is>
          <t>Hecha</t>
        </is>
      </c>
      <c r="G97" s="12" t="inlineStr">
        <is>
          <t>2026-07-26</t>
        </is>
      </c>
      <c r="H97" s="12" t="inlineStr">
        <is>
          <t>Backend app/gastos_recurrentes (domain+service+router) + frontend GastosRecurrentesPage+lib. TDD 17 tests backend + 3 frontend, ruff+build verdes. RBAC rubros:gestionar, montos string. Semilla 42 lineas reales: pendiente clasificacion CEO.</t>
        </is>
      </c>
    </row>
    <row r="98">
      <c r="A98" s="12" t="inlineStr">
        <is>
          <t>FIX-MOTO-EDIT</t>
        </is>
      </c>
      <c r="B98" s="12" t="inlineStr">
        <is>
          <t>S2</t>
        </is>
      </c>
      <c r="D98" s="12" t="inlineStr">
        <is>
          <t>Fix: los modelos de moto no se podian editar tras crearse (la UI de Datos no exponia editarModelo; backend si lo soportaba)</t>
        </is>
      </c>
      <c r="E98" s="12" t="inlineStr">
        <is>
          <t>Andres</t>
        </is>
      </c>
      <c r="F98" s="12" t="inlineStr">
        <is>
          <t>Hecha</t>
        </is>
      </c>
      <c r="G98" s="12" t="inlineStr">
        <is>
          <t>2026-07-26</t>
        </is>
      </c>
      <c r="H98" s="12" t="inlineStr">
        <is>
          <t>Boton Editar por modelo + dialogo con todos los valores editables. 2 tests de regresion (antes no habia boton). Principio CEO: nada rigido/hardcodeado.</t>
        </is>
      </c>
    </row>
    <row r="99">
      <c r="A99" s="12" t="inlineStr">
        <is>
          <t>NAV-ADMIN</t>
        </is>
      </c>
      <c r="B99" s="12" t="inlineStr">
        <is>
          <t>S2</t>
        </is>
      </c>
      <c r="D99" s="12" t="inlineStr">
        <is>
          <t>Navegacion: grupo Administracion en el sidebar (Gastos recurrentes, Movimientos bancarios, Caja, Meses, Categorias, Reglas) — antes solo alcanzables por URL/Datos</t>
        </is>
      </c>
      <c r="E99" s="12" t="inlineStr">
        <is>
          <t>Andres</t>
        </is>
      </c>
      <c r="F99" s="12" t="inlineStr">
        <is>
          <t>Hecha</t>
        </is>
      </c>
      <c r="G99" s="12" t="inlineStr">
        <is>
          <t>2026-07-26</t>
        </is>
      </c>
      <c r="H99" s="12" t="inlineStr">
        <is>
          <t>src/lib/navegacion.ts. Responde al reporte del CEO no veo modulo para cargar movimientos. Reorden fino queda para Claude Cowork.</t>
        </is>
      </c>
    </row>
    <row r="100">
      <c r="A100" s="12" t="inlineStr">
        <is>
          <t>RUBROS-PARCON</t>
        </is>
      </c>
      <c r="B100" s="12" t="inlineStr">
        <is>
          <t>S2</t>
        </is>
      </c>
      <c r="D100" s="12" t="inlineStr">
        <is>
          <t>Rubros faltantes creados en prod: Parafiscales (3080 Nomina) y Contingencia (2150 Operacion) — decision CEO para la plantilla de gastos</t>
        </is>
      </c>
      <c r="E100" s="12" t="inlineStr">
        <is>
          <t>Andres</t>
        </is>
      </c>
      <c r="F100" s="12" t="inlineStr">
        <is>
          <t>Hecha</t>
        </is>
      </c>
      <c r="G100" s="12" t="inlineStr">
        <is>
          <t>2026-07-26</t>
        </is>
      </c>
      <c r="H100" s="12" t="inlineStr">
        <is>
          <t>migrations/20260726_rubros_parafiscales_contingencia.py idempotente. Corrida en prod (verificado skip en 2a corrida).</t>
        </is>
      </c>
    </row>
    <row r="101">
      <c r="A101" s="12" t="inlineStr">
        <is>
          <t>C1-CICLO-UI</t>
        </is>
      </c>
      <c r="B101" s="12" t="inlineStr">
        <is>
          <t>S2</t>
        </is>
      </c>
      <c r="D101" s="12" t="inlineStr">
        <is>
          <t>Sprint C1 cerrar el ciclo: UI de presupuesto (generar sugerido -&gt; acotar -&gt; aprobar) en /meses/:mes/presupuesto + cableado de vacios (Control, Caja, Meses) + Ciclo mensual en el menu</t>
        </is>
      </c>
      <c r="E101" s="12" t="inlineStr">
        <is>
          <t>Andres</t>
        </is>
      </c>
      <c r="F101" s="12" t="inlineStr">
        <is>
          <t>Hecha</t>
        </is>
      </c>
      <c r="G101" s="12" t="inlineStr">
        <is>
          <t>2026-07-26</t>
        </is>
      </c>
      <c r="H101" s="12" t="inlineStr">
        <is>
          <t>Solo frontend (3 endpoints ya existian). PresupuestoMesPage: stepper del ciclo, crec_pct humano-&gt;fraccion string, tabla por grupo con componentes, acotado sin optimistic UI, totales decimal.js, aprobar con Idempotency-Key reusada por dialogo. 11 tests nuevos; lint+70 tests+build verdes. Commit c4ece36 (rama feat/c1-ciclo-presupuesto-ui).</t>
        </is>
      </c>
    </row>
    <row r="102">
      <c r="A102" s="12" t="inlineStr">
        <is>
          <t>C2-CABINA</t>
        </is>
      </c>
      <c r="B102" s="12" t="inlineStr">
        <is>
          <t>S2</t>
        </is>
      </c>
      <c r="D102" s="12" t="inlineStr">
        <is>
          <t>Sprint C2 Cabina del mes: barra de estado global (MesStatusBar), Cabina /mes (ciclo integrado: presupuesto+caja+desvios+cierre real de 2 pasos), control que prioriza por plata (QueExigeAtencion en Control y Cabina)</t>
        </is>
      </c>
      <c r="E102" s="12" t="inlineStr">
        <is>
          <t>Andres</t>
        </is>
      </c>
      <c r="F102" s="12" t="inlineStr">
        <is>
          <t>Hecha</t>
        </is>
      </c>
      <c r="G102" s="12" t="inlineStr">
        <is>
          <t>2026-07-26</t>
        </is>
      </c>
      <c r="H102" s="12" t="inlineStr">
        <is>
          <t>Solo frontend. Cierre con contrato real verificado (conciliacion compute-only + confirmar con Idempotency-Key). Extracciones sin copy-paste: CicloStepper, EstadoBadge, ReporteCajaCard. 17 tests nuevos, 87/87 verdes, lint+build ok. Commit c6c784d (rama feat/c2-cabina-mes).</t>
        </is>
      </c>
    </row>
    <row r="103">
      <c r="A103" s="12" t="inlineStr">
        <is>
          <t>F1-DISENO</t>
        </is>
      </c>
      <c r="B103" s="12" t="inlineStr">
        <is>
          <t>S2</t>
        </is>
      </c>
      <c r="D103" s="12" t="inlineStr">
        <is>
          <t>Sprint F1 sistema de diseno: tokens tipografia por rol + semanticos AA (positivo/atencion/critico) + formato es-CO compacto (formatCOPCompact/formatDelta) + 5 componentes (KpiTileV2, ChartCard, EstadoVacio, Cargando, ErrorEstado) + CashCurve anotada. PILOTO aplicado solo a /inicio</t>
        </is>
      </c>
      <c r="E103" s="12" t="inlineStr">
        <is>
          <t>Andres</t>
        </is>
      </c>
      <c r="F103" s="12" t="inlineStr">
        <is>
          <t>Hecha</t>
        </is>
      </c>
      <c r="G103" s="12" t="inlineStr">
        <is>
          <t>2026-07-27</t>
        </is>
      </c>
      <c r="H103" s="12" t="inlineStr">
        <is>
          <t>Prueba 10s del CEO OK; decisiones: 18m SI (con juicio a 60m), titular reconciliador, mil M. Horizonte 18m y mil M vs MM pendientes de confirmar. 20 tests nuevos, 107/107 verdes. Commit 43c77ee (rama feat/f1-sistema-diseno). MERGEADO: 49ab23a (PR #39).</t>
        </is>
      </c>
    </row>
    <row r="104">
      <c r="A104" s="12" t="inlineStr">
        <is>
          <t>C3-VARIABLES</t>
        </is>
      </c>
      <c r="B104" s="12" t="inlineStr">
        <is>
          <t>S2</t>
        </is>
      </c>
      <c r="D104" s="12" t="inlineStr">
        <is>
          <t>Sprint C3 variables con impacto: editor de supuestos con borrador + preview compute-only (POST /proyeccion/preview, paridad al peso), tornado de sensibilidad (GET /proyeccion/sensibilidad, 7 variables, &lt;0.5s), CR-002 costos de alistamiento por componente (migracion preserva total 692.005) + unidades humanas + validacion 3 niveles + nota al audit log</t>
        </is>
      </c>
      <c r="E104" s="12" t="inlineStr">
        <is>
          <t>Andres</t>
        </is>
      </c>
      <c r="F104" s="12" t="inlineStr">
        <is>
          <t>Hecha</t>
        </is>
      </c>
      <c r="G104" s="12" t="inlineStr">
        <is>
          <t>2026-07-27</t>
        </is>
      </c>
      <c r="H104" s="12" t="inlineStr">
        <is>
          <t>Backend: motor.py INTACTO, golden-master verde, 585+ tests. Frontend: 20 tests nuevos, 126/126. Rama feat/c3-variables-impacto (encadenada sobre F1 #39, pendiente de merge).  MERGEADO: c84a301 (PR #40) con fix QA cache sensibilidad (cf5618e). Migracion CR-002 corrida en prod (total 692.005 preservado; 2a corrida skip).</t>
        </is>
      </c>
    </row>
    <row r="105">
      <c r="A105" s="12" t="inlineStr">
        <is>
          <t>F11-PROPAGACION</t>
        </is>
      </c>
      <c r="B105" s="12" t="inlineStr">
        <is>
          <t>S2</t>
        </is>
      </c>
      <c r="D105" s="12" t="inlineStr">
        <is>
          <t>Sprint F1.1 propagacion del sistema de diseno pantalla por pantalla: barridos (muere KpiTile v1, tokens, guardian CI), Proyecciones/Escenarios/Dashboards/Control/Cabina/Reportes/IVA/Flujo diario al estandar F1, FiltroBarra formalizada, rendimiento medido con Profiler (2.6x)</t>
        </is>
      </c>
      <c r="E105" s="12" t="inlineStr">
        <is>
          <t>Andres</t>
        </is>
      </c>
      <c r="F105" s="12" t="inlineStr">
        <is>
          <t>Hecha</t>
        </is>
      </c>
      <c r="G105" s="12" t="inlineStr">
        <is>
          <t>2026-07-27</t>
        </is>
      </c>
      <c r="H105" s="12" t="inlineStr">
        <is>
          <t>9 commits (uno por pantalla, cada uno verde). Perf medido: 144.5ms-&gt;56.2ms (Profiler, fixture 180 meses). MERGEADO: 1ae570c (PR #41, GO CEO 2026-07-27). PENDIENTE para cerrar la tarea: prueba de 10 segundos en Proyecciones y Dashboards aplicada por alguien que NO sea Andres (regla 10.5 del doc). | Prueba 10s por un tercero (no Andres) en Proyecciones y Dashboards: PASO (2026-07-27) -&gt; F1.1 CERRADA. 2 nits QA visual pasan a la rama D1 (coma es-CO en conclusion Dashboards; multiplicador -&gt; "de X a Y en 24 meses").</t>
        </is>
      </c>
    </row>
    <row r="106">
      <c r="A106" s="12" t="inlineStr">
        <is>
          <t>D1-DECISIONES</t>
        </is>
      </c>
      <c r="B106" s="12" t="inlineStr">
        <is>
          <t>S3</t>
        </is>
      </c>
      <c r="D106" s="12" t="inlineStr">
        <is>
          <t>Sprint D1 decisiones sobre el motor: capa de impactos (proyeccion/impactos.py, post-proceso puro, motor intocable) con ajustes por rubro/naturaleza y vigencia; valles de caja con causas; endpoints impactos/valles + CRUD de escenarios nombrados auditado (simular nunca escribe); solvers por biseccion (techo de gasto, goal seek, punto de quiebre); pestana Decisiones en Presupuesto (generalizar PanelImpacto); tarjeta de techo; valles en Proyecciones</t>
        </is>
      </c>
      <c r="E106" s="12" t="inlineStr">
        <is>
          <t>Andres</t>
        </is>
      </c>
      <c r="F106" s="12" t="inlineStr">
        <is>
          <t>Hecha</t>
        </is>
      </c>
      <c r="G106" s="12" t="inlineStr">
        <is>
          <t>2026-07-27</t>
        </is>
      </c>
      <c r="H106" s="12" t="inlineStr">
        <is>
          <t>GO CEO 2026-07-27. Rama feat/d1-decisiones. Gate: motor.py cero diffs (verificable en PR) + golden-master verde por commit + TDD. Prueba de terminado: arriendos +3M desde sep-26 -&gt; curva+valle+delta -&gt; guardar escenario -&gt; goal seek de venta. Incluye 2 nits QA visual de F1.1. | PR #42 abierto (rama feat/d1-decisiones, 11 commits d791704..3708edb). motor.py CERO diffs en toda la rama; golden-master + suite verdes; frontend 143/143. Pendiente: prueba del CEO + merge (GO-waiver; Kimi retroactivo opcional). | MERGEADO 95acf9c (PR #42, GO CEO + QA Cowork). Fix pre-merge del rotulo del techo (sostenido). Backend 640 verdes, frontend 143, motor.py cero diffs, golden-master verde. Arrastre a D2/D1.1: cruce techo x gasto ejecutado (§4.7). Pendiente: pasada visual de Cowork en prod.</t>
        </is>
      </c>
    </row>
    <row r="107">
      <c r="A107" s="12" t="inlineStr">
        <is>
          <t>D2-OBLIGACIONES</t>
        </is>
      </c>
      <c r="B107" s="12" t="inlineStr">
        <is>
          <t>S3</t>
        </is>
      </c>
      <c r="D107" s="12" t="inlineStr">
        <is>
          <t>Sprint D2 obligaciones (BACKEND): Pieza 0 (techo x ejecutado), CR-D2 + entidades Obligacion/Factura/MetaIngreso + CRUD auditado, calculadora + candado de paridad con inventario_auteco_mensual, reconciliacion anti-doble-conteo (§4) + fix §0 coherencia concepto-a-concepto, simulador de plazos (§5), metas (§6), prueba de terminado E2E (§1). Frontend §7 en fila propia.</t>
        </is>
      </c>
      <c r="E107" s="12" t="inlineStr">
        <is>
          <t>Andres</t>
        </is>
      </c>
      <c r="F107" s="12" t="inlineStr">
        <is>
          <t>Hecha</t>
        </is>
      </c>
      <c r="G107" s="12" t="inlineStr">
        <is>
          <t>2026-07-28</t>
        </is>
      </c>
      <c r="H107" s="12" t="inlineStr">
        <is>
          <t>Mergeado a main: merge 23e3166 (PR #43). motor.py cero diffs; golden-master verde; candado de paridad al peso; §0 con TDD rojo-&gt;verde. Gate-waiver: CI Actions bloqueado por billing de la org (ajeno a D2); gates locales verdes (pytest 672, ruff check, gitleaks sin leaks, build, runtime import). GO CEO 'Mergea'. Kimi retroactivo pendiente.</t>
        </is>
      </c>
    </row>
    <row r="108">
      <c r="A108" s="12" t="inlineStr">
        <is>
          <t>D2-FRONTEND-§7</t>
        </is>
      </c>
      <c r="B108" s="12" t="inlineStr">
        <is>
          <t>S3</t>
        </is>
      </c>
      <c r="D108" s="12" t="inlineStr">
        <is>
          <t>Pagina Obligaciones (lista+detalle con calendario/facturas, proximos pagos, registro de factura con validacion e interes en vivo) + simulador UI 90/120/150 + bloque de metas de ingreso en Presupuesto + pagos de obligaciones en causas de valles.</t>
        </is>
      </c>
      <c r="E108" s="12" t="inlineStr">
        <is>
          <t>Andres</t>
        </is>
      </c>
      <c r="F108" s="12" t="inlineStr">
        <is>
          <t>Pendiente</t>
        </is>
      </c>
      <c r="H108" s="12" t="inlineStr">
        <is>
          <t>Backend §7 ya expone datos (obligaciones/facturas/metas/simular-plazo). Va despues de V1.</t>
        </is>
      </c>
    </row>
    <row r="109">
      <c r="A109" s="12" t="inlineStr">
        <is>
          <t>V1-VER-EGRESO</t>
        </is>
      </c>
      <c r="B109" s="12" t="inlineStr">
        <is>
          <t>S3</t>
        </is>
      </c>
      <c r="D109" s="12" t="inlineStr">
        <is>
          <t>Sprint V1 'Ver el egreso' (frontend): Proyecciones muestra ingreso/costo/gasto. lib/egreso (buckets + 2 candados: invariante ingreso-(costo+gasto)==flujo y anti-doble-conteo interes==|fondeo|), tabla con 3 totales + desglose + totales, grafico compuesto (barras + caja doble eje + hover Auteco real/proyectado + agregacion trimestral/anual), KPI Compromiso Auteco.</t>
        </is>
      </c>
      <c r="E109" s="12" t="inlineStr">
        <is>
          <t>Andres</t>
        </is>
      </c>
      <c r="F109" s="12" t="inlineStr">
        <is>
          <t>Hecha</t>
        </is>
      </c>
      <c r="G109" s="12" t="inlineStr">
        <is>
          <t>2026-07-28</t>
        </is>
      </c>
      <c r="H109" s="12" t="inlineStr">
        <is>
          <t>Mergeado a main: merge dd86979 (PR #45), GO CEO. Solo frontend, motor.py cero diffs. CI completo verde; Vercel produccion success. 176 tests frontend. QA aplicado: Decimal en agregacion (regla 1), candado en ruta agregada, Auteco 5a baldosa, origen registrado/proyeccion/parcial. Confirmacion visual autenticada pendiente del CEO.</t>
        </is>
      </c>
    </row>
    <row r="110">
      <c r="A110" s="12" t="inlineStr">
        <is>
          <t>E2-PR1</t>
        </is>
      </c>
      <c r="B110" s="12" t="inlineStr">
        <is>
          <t>E2</t>
        </is>
      </c>
      <c r="D110" s="12" t="inlineStr">
        <is>
          <t>E2 backend (captura de facturas DIAN + IVA): ingesta POST /facturas/cargar (parseo fuera del event loop, tope lote, dedup CUFE), precedencia iva_valor, total_bruto vs base_gravable, endurecer tarifa_iva, RBAC PII facturas:ver_detalle + enmascaramiento por tipo_contribuyente, A10 §6 exacto. motor.py cero diffs, compuerta apagada.</t>
        </is>
      </c>
      <c r="E110" s="12" t="inlineStr">
        <is>
          <t>Claude Code + Andrés</t>
        </is>
      </c>
      <c r="F110" s="12" t="inlineStr">
        <is>
          <t>Hecha</t>
        </is>
      </c>
      <c r="G110" s="12" t="inlineStr">
        <is>
          <t>2026-07-30</t>
        </is>
      </c>
      <c r="H110" s="12" t="inlineStr">
        <is>
          <t>PR #46 -&gt; main 7bc8316; A14 prod bit-a-bit idéntico (sha256 18fe9f13, commit 2f5e050); 728 tests, CVE pdfminer cerrado (pdfplumber 0.11.9); gate-waiver GO CEO, Kimi retroactivo pendiente.</t>
        </is>
      </c>
      <c r="I110" s="12" t="inlineStr">
        <is>
          <t>A1-A18 (A9/A15 -&gt; PR2 frontend)</t>
        </is>
      </c>
    </row>
    <row r="111">
      <c r="A111" s="12" t="inlineStr">
        <is>
          <t>E3-TECHO-IVA-AUTECO</t>
        </is>
      </c>
      <c r="B111" s="12" t="inlineStr">
        <is>
          <t>E3</t>
        </is>
      </c>
      <c r="D111" s="12" t="inlineStr">
        <is>
          <t>ENTREGA 3 (3 piezas visibles): (1) Techo de gasto en Proyecciones (tarjeta con cifra grande + frase, solver existente compute-only, honesto si no hay margen). (2) IVA generado mensual: crear_factura acepta iva_valor directo (D-13, base/tarifa opcionales) + POST /facturas/iva-generado (venta VENTAS-YYYY-MM a nombre de RODDOS, NIT de config, dedup NIT+numero) + accion en /iva. (3) Auteco auto-deducible en la ingesta (deducible+decidido=True por NIT de config). motor.py cero diffs, compuerta apagada (O-1).</t>
        </is>
      </c>
      <c r="E111" s="12" t="inlineStr">
        <is>
          <t>Claude Code + Andrés</t>
        </is>
      </c>
      <c r="F111" s="12" t="inlineStr">
        <is>
          <t>Hecha</t>
        </is>
      </c>
      <c r="G111" s="12" t="inlineStr">
        <is>
          <t>2026-07-31</t>
        </is>
      </c>
      <c r="H111" s="12" t="inlineStr">
        <is>
          <t>Mergeado a main: squash 8ec2217 (PR #51). Desplegado: bundle prod index-Cb_GQXvy.js con "Registrar IVA generado del mes"/"¿Cuánto puedo gastar al mes"; POST /facturas/iva-generado vivo (401 sin auth). motor.py cero diffs, compuerta apagada (O-1). 74 tests de facturas + 207 Vitest; ruff/biome/tsc-b limpios; CI todo verde. Gate-waiver GO CEO por fase (Kimi ausente), Kimi retroactivo pendiente.</t>
        </is>
      </c>
    </row>
    <row r="112">
      <c r="A112" s="12" t="inlineStr">
        <is>
          <t>FIX-A-NUCLEO-DINERO</t>
        </is>
      </c>
      <c r="B112" s="12" t="inlineStr">
        <is>
          <t>FIX</t>
        </is>
      </c>
      <c r="D112" s="12" t="inlineStr">
        <is>
          <t>PR-FIX-A nucleo del dinero (Plan Maestro Kimi, Fase 0): 6 hallazgos de dinero/atomicidad en un solo PR tematico. A-1 guard es_sistema deny-by-default; A-2 MANUAL fuera de conciliacion; A-3 rechazo de no-finitos; A-4 saga O1 + idempotencia convergente + marca huerfana; A-6 TOCTOU + updates posicionales atomicos (acotar/aprobar/reportar_saldos/apertura). Todo TDD rojo-&gt;verde, dos capas (mongomock + real-mongo CI).</t>
        </is>
      </c>
      <c r="E112" s="12" t="inlineStr">
        <is>
          <t>Claude Code + Andres</t>
        </is>
      </c>
      <c r="F112" s="12" t="inlineStr">
        <is>
          <t>Hecha</t>
        </is>
      </c>
      <c r="G112" s="12" t="inlineStr">
        <is>
          <t>2026-08-02</t>
        </is>
      </c>
      <c r="H112" s="12" t="inlineStr">
        <is>
          <t>Mergeado a main: squash 08f9732 (PR #53). Gate Kimi (arquitecto) 9.5/10 GO sobre el diff real via API (32 archivos, +1358/-145) + CI 7/7 (gitleaks, pip-audit, backend, backend-real-mongo con los candados de carrera en replica set real, runtime-imports, frontend, Vercel). Piezas: A-1 (P0-1) guard es_sistema; A-2 (P1-5) MANUAL fuera de conciliacion; A-3 (P1-8) no-finitos en money+14 parsers; A-4 (P1-7/9/10) saga O1 + id_banco determinista + marca huerfana; A-6 TOCTOU/posicional (re-read+abort 409 en acotar/aprobar, $push posicional del ajuste + compensacion $pull por at ms-alineado, no-retroceso+estado atomicos en reportar_saldos, dedup banco en apertura). TDD destapo un bug latente (get_motor_collection inexistente -&gt; get_pymongo_collection, 8cb4cec) antes de prod. motor.py cero diffs, golden sin regenerar, compuerta IVA apagada. Post-merge: solo deploy (no toca config ni datos).</t>
        </is>
      </c>
      <c r="I112" s="12" t="inlineStr">
        <is>
          <t>GATE-KIMI FIX-A</t>
        </is>
      </c>
    </row>
    <row r="113">
      <c r="A113" s="12" t="inlineStr">
        <is>
          <t>PR-S3-STORAGE</t>
        </is>
      </c>
      <c r="B113" s="12" t="inlineStr">
        <is>
          <t>FIX</t>
        </is>
      </c>
      <c r="D113" s="12" t="inlineStr">
        <is>
          <t>PR-S3 (reordenado #1 del roadmap v2): storage durable del original de cada carga bancaria en S3 (DISP-02/M-04). cargas/storage.py (boto3 perezoso + inyectable, subir_original-&gt;put_object-&gt;URI s3://); procesar_carga: S3 gana si s3_bucket, dir_originales solo dev, ninguno -&gt; M-04 (regla dura); subida DESPUES del dedup F-02 y ANTES de insertar (fail-closed, no re-sube). boto3==1.43.62.</t>
        </is>
      </c>
      <c r="E113" s="12" t="inlineStr">
        <is>
          <t>Claude Code + Andres</t>
        </is>
      </c>
      <c r="F113" s="12" t="inlineStr">
        <is>
          <t>Hecha</t>
        </is>
      </c>
      <c r="G113" s="12" t="inlineStr">
        <is>
          <t>2026-08-02</t>
        </is>
      </c>
      <c r="H113" s="12" t="inlineStr">
        <is>
          <t>Mergeado a main: squash 98c46a2 (PR #52). Gate Kimi 9.5/10 GO. CI 7/7 (incl. backend-real-mongo). REQUISITO OPERATIVO post-merge (bloquea la subida de julio): configurar en Render S3_BUCKET + AWS_* y el bucket con Object Lock COMPLIANCE + IAM minimo ANTES de subir por /cargas; sin S3_BUCKET la carga da M-04 por diseno. Tests unitarios locales + wiring real-mongo (CI).</t>
        </is>
      </c>
      <c r="I113" s="12" t="inlineStr">
        <is>
          <t>GATE-KIMI PR-S3</t>
        </is>
      </c>
    </row>
    <row r="114">
      <c r="A114" s="12" t="inlineStr">
        <is>
          <t>FIX-B</t>
        </is>
      </c>
      <c r="B114" s="12" t="inlineStr">
        <is>
          <t>FIX</t>
        </is>
      </c>
      <c r="D114" s="12" t="inlineStr">
        <is>
          <t>FIX-B (Item 1 cola agosto): clasificar julio para que muestre gasto real y recaudo limpio. Egresos: 24 reglas C3 (patron -Cat -&gt; rubro homonimo) + Venture 360 -&gt; Prestamos; crea Combustible motos (costo) y Comisiones externas (operacion), reactiva Planillas anteriores; techo residual 1M. Ingresos: 38 reversas/devoluciones/reembolsos -&gt; rubro nuevo Reversas y devoluciones (INGRESO, otros, administrable). CODIGO+TDD: ingreso_real excluye set unico RUBROS_NEUTROS_INGRESO_REAL (nace con Reversas; CR-WAVA lo extendera). motor.py cero diffs, catalogo eventos sin crecer.</t>
        </is>
      </c>
      <c r="E114" s="12" t="inlineStr">
        <is>
          <t>Claude Code + Andres</t>
        </is>
      </c>
      <c r="F114" s="12" t="inlineStr">
        <is>
          <t>Hecha</t>
        </is>
      </c>
      <c r="G114" s="12" t="inlineStr">
        <is>
          <t>2026-08-03</t>
        </is>
      </c>
      <c r="H114" s="12" t="inlineStr">
        <is>
          <t>Mergeado a main: squash 866b61f (PR #54). Gate Kimi (arquitecto) 9.5/10 GO sobre el diff real + numeros contra PROD. CI 7/7 verde (backend, backend-real-mongo, frontend, gitleaks, pip-audit, runtime-imports, Vercel). Aplicado a PROD (julio ABIERTO): egreso total julio 372.200.776,84 (clasif 371.912.776,84 + residual 288.000, 3 tx, &lt;1M); ingresos residual Por clasificar = 0; Reversas y devoluciones 43.410.148,73 (38 tx); ingreso_real(julio) 179.710.080,31 (sin los 43,4M). Tests test_ingreso_real_neutros (rojo-&gt;verde). Disclosure: rubro recaudo en PROD = Recaudo (no Recaudo de cartera del seed) -&gt; alias fallback; saneo en FIX-H.</t>
        </is>
      </c>
      <c r="I114" s="12" t="inlineStr">
        <is>
          <t>GATE-KIMI FIX-B</t>
        </is>
      </c>
    </row>
    <row r="115">
      <c r="A115" s="12" t="inlineStr">
        <is>
          <t>FIX-H</t>
        </is>
      </c>
      <c r="B115" s="12" t="inlineStr">
        <is>
          <t>FIX</t>
        </is>
      </c>
      <c r="D115" s="12" t="inlineStr">
        <is>
          <t>FIX-H (higiene, cola agosto): sanea divergencia semilla&lt;-&gt;PROD del rubro de recaudo. PROD tenia rubro sistema Recaudo (0110) pero whitelist del guard es_sistema + semilla + reglas C3 + tests usan Recaudo de cartera -&gt; es_rubro_clasificable=False -&gt; destino de recaudo BLOQUEADO para clasificar (y seed_reglas rompia en re-seed). Migracion idempotente DRY-RUN/URI env/foto/saga O1: rename Recaudo-&gt;Recaudo de cartera solo si no hay colision; rubro_id intacto (3 reglas por id intactas). Corrige comentario seed.py:114. motor.py cero diffs, catalogo sin crecer.</t>
        </is>
      </c>
      <c r="E115" s="12" t="inlineStr">
        <is>
          <t>Claude Code + Andres</t>
        </is>
      </c>
      <c r="F115" s="12" t="inlineStr">
        <is>
          <t>Hecha</t>
        </is>
      </c>
      <c r="G115" s="12" t="inlineStr">
        <is>
          <t>2026-08-03</t>
        </is>
      </c>
      <c r="H115" s="12" t="inlineStr">
        <is>
          <t>Mergeado a main: squash cf587ad (PR #55). Gate Kimi 9.5/10 GO al diff + GO CEO. Aplicado a PROD (visto CEO): clasificable=True, en whitelist=True, 3 reglas intactas, ingreso_real julio SIN cambio (179.710.080,31; recaudo NO es neutro). CI 7/7 verde (flake pre-existente de test_s3_dedup_no_re_sube re-corrido a success; ajeno al diff). Tests: domain_rubro, domain_persistence, transacciones_guard_sistema, ingreso_real_neutros (36 passed). ruff limpio.</t>
        </is>
      </c>
      <c r="I115" s="12" t="inlineStr">
        <is>
          <t>GATE-KIMI FIX-H</t>
        </is>
      </c>
    </row>
    <row r="116">
      <c r="A116" s="12" t="inlineStr">
        <is>
          <t>FIX-G1</t>
        </is>
      </c>
      <c r="B116" s="12" t="inlineStr">
        <is>
          <t>FIX</t>
        </is>
      </c>
      <c r="D116" s="12" t="inlineStr">
        <is>
          <t>FIX-G1 (cola agosto): re-acotacion del presupuesto en ejecucion. Con el presupuesto ya aprobado (mes en_ejecucion) el CEO corrige un monto_definido desde la pantalla; antes _ACOTABLE lo excluia (409). _ACOTABLE += EN_EJECUCION; en ejecucion comentario OBLIGATORIO (422 sin el), SIN transicion de estado; reusa A-6 (re-read 409, push posicional del ajuste, saga O1) + guarda TOCTOU extra; evento presupuesto.acotado existente; RBAC sin cambio. UI PresupuestoMesPage: edicion en ejecucion + comentario requerido, solo lectura solo cerrado/definido. motor.py cero diffs, catalogo sin crecer.</t>
        </is>
      </c>
      <c r="E116" s="12" t="inlineStr">
        <is>
          <t>Claude Code + Andres</t>
        </is>
      </c>
      <c r="F116" s="12" t="inlineStr">
        <is>
          <t>Hecha</t>
        </is>
      </c>
      <c r="G116" s="12" t="inlineStr">
        <is>
          <t>2026-08-03</t>
        </is>
      </c>
      <c r="H116" s="12" t="inlineStr">
        <is>
          <t>Mergeado a main: squash dbd42b9 (PR #56). Gate Kimi 9.5/10 GO al diff + GO CEO. CI 7/7 verde (backend-real-mongo corrio los tests EN_EJECUCION happy+concurrente). TDD rojo-&gt;verde: 422 mongomock (sin comentario / en blanco) local; happy EN_EJECUCION 200+ajuste+sin-transicion y dos re-acotaciones concurrentes sin perder ajustes en real-mongo (CI); 2 tests UI Vitest (edicion+aviso; Guardar sin comentario avisa sin llamar backend). npm run build (tsc -b)+biome verdes. Desbloquea editar agosto desde la pantalla.</t>
        </is>
      </c>
      <c r="I116" s="12" t="inlineStr">
        <is>
          <t>GATE-KIMI FIX-G1</t>
        </is>
      </c>
    </row>
    <row r="117">
      <c r="A117" s="12" t="inlineStr">
        <is>
          <t>FIX-I</t>
        </is>
      </c>
      <c r="B117" s="12" t="inlineStr">
        <is>
          <t>FIX</t>
        </is>
      </c>
      <c r="D117" s="12" t="inlineStr">
        <is>
          <t>FIX-I (higiene, flake de CI): test_s3_dedup_no_re_sube fallo 1 vez en CI (DID NOT RAISE CargaDuplicadaError) y paso en rerun sin cambios. Causa raiz: la carga previa persiste estado=COMPLETADA dentro de una transaccion (commit w:majority) pero el find_one de dedup F-02 de la carga siguiente leia con read concern local en sesion nueva -&gt; read-after-write causal gap del replica set -&gt; podia saltarse el dedup. Fix: la lectura F-02 usa ReadConcern(majority) (snapshot ya confirmado) -&gt; determinista en CI y prod. Solo la lectura; escritura/logica intactas.</t>
        </is>
      </c>
      <c r="E117" s="12" t="inlineStr">
        <is>
          <t>Claude Code + Andres</t>
        </is>
      </c>
      <c r="F117" s="12" t="inlineStr">
        <is>
          <t>Hecha</t>
        </is>
      </c>
      <c r="G117" s="12" t="inlineStr">
        <is>
          <t>2026-08-03</t>
        </is>
      </c>
      <c r="H117" s="12" t="inlineStr">
        <is>
          <t>Mergeado a main: squash ab4fd77 (PR #57). Gate Kimi 9.5/10 GO al diff + GO CEO. CI 7/7 verde (incl. backend-real-mongo que corre test_s3_dedup_no_re_sube contra replica set real). Ruff+import+storage units (3) verdes local; el flake no se reproduce local (sin replica set). motor.py cero diffs, sin cambios de esquema ni eventos.</t>
        </is>
      </c>
      <c r="I117" s="12" t="inlineStr">
        <is>
          <t>GATE-KIMI FIX-I</t>
        </is>
      </c>
    </row>
    <row r="118">
      <c r="A118" s="12" t="inlineStr">
        <is>
          <t>CR-WAVA</t>
        </is>
      </c>
      <c r="B118" s="12" t="inlineStr">
        <is>
          <t>FIX</t>
        </is>
      </c>
      <c r="D118" s="12" t="inlineStr">
        <is>
          <t>CR-WAVA (Item cola agosto): dinero en transito (Wava) en el cierre y la apertura de mes. I-PLAN etapa53, secciones 1-9, un solo PR. §1 MesControl.transito_wava (strict+forbid, no-op de datos); §2 ingreso_real excluye Transito Wava + Ajuste de conciliacion por rubro_id (mismo set FIX-B); §3 body {transito_wava} al request_hash canonico + persistencia _cerrar + metadata mes.cerrado + saga O1 (cierre y reapertura-&gt;0, candado F841); §4 cierre/transito.py heredado/remanente (roll-forward+clamp)/aviso en GET /meses y /control; §6 migracion 20260803_wava_transito.py (DRY-RUN, siembra rubro Transito Wava mes anterior); §7 CerrarDialog input+3 lineas, MesesPage, ControlPage; §9 NOTA julio enmendada. §5/§8.8 regla C3 automatica OMITIDA (falta patron Wava del CEO -&gt; clasificacion manual en agosto, base de CR-WAVA-2). motor.py cero diffs, catalogo eventos sin crecer.</t>
        </is>
      </c>
      <c r="E118" s="12" t="inlineStr">
        <is>
          <t>Claude Code + Andres</t>
        </is>
      </c>
      <c r="F118" s="12" t="inlineStr">
        <is>
          <t>Hecha</t>
        </is>
      </c>
      <c r="G118" s="12" t="inlineStr">
        <is>
          <t>2026-08-03</t>
        </is>
      </c>
      <c r="H118" s="12" t="inlineStr">
        <is>
          <t>Mergeado a main: squash 4bf099a (PR #58). Gate Kimi (arquitecto) 9.6/10 GO sobre el diff real, seccion por seccion contra el I-PLAN. CI 7/7 verde (backend 11m38s, backend-real-mongo 1m58s con 7 tests real-mongo, frontend, gitleaks, pip-audit, runtime-imports, Vercel). Tests: unit local (dominio, exclusion, remanente parcial/sobre/roll-forward/clamp, aviso) + 7 real-mongo (trampa banco↑/remanente↓/total igual, hash 422/replay canonico, O1 cierre y reapertura, cierre completo, heredado 0 inocuo) + 9 vitest + build. Debug CI: 1 fallo inicial (KeyError caja_disponible_total) por test leyendo control con jul SUGERIDO (409) -&gt; fix del test (producto correcto). Pendiente operacion: migracion PROD (DRY-RUN-&gt;visto-&gt;APPLY) + cierre julio transito_wava=37.280.415 (agosto Bancos 665.715.578 + Transito 37.280.415 + Total 702.995.993).</t>
        </is>
      </c>
      <c r="I118" s="12" t="inlineStr">
        <is>
          <t>GATE-KIMI CR-WAVA</t>
        </is>
      </c>
    </row>
    <row r="119">
      <c r="A119" s="12" t="inlineStr">
        <is>
          <t>CR-WAVA-2</t>
        </is>
      </c>
      <c r="B119" s="12" t="inlineStr">
        <is>
          <t>FIX</t>
        </is>
      </c>
      <c r="D119" s="12" t="inlineStr">
        <is>
          <t>CR-WAVA-2 (Item cola agosto): hook estado-dependiente de clasificacion de depositos Wava. Cierra la regla C3 automatica que CR-WAVA dejo omitida (§5/§8.8) por falta del patron real; el CEO entrego PATRONES_TRANSITO=(recibido de wava,). transito.py: es_transito_wava (reusa normalizar_texto) + AsignadorTransito (cache + descuento en batch: dentro de un archivo == cargas secuenciales, nunca sobre-asigna mas que lo declarado). Hook en cargas/service.py y en reglas/aplicar_pendientes ANTES de elegir_regla: INGRESO + patron + transito_remanente(mes)&gt;0 -&gt; rubro Transito Wava mes anterior (sello de sistema, regla_id=None, excluido de ingreso_real); fail-safe si el rubro no existe. Bump cryptography 48.0.1-&gt;50.0.0 (CVE-2026-69247/48/49, advisory externo, fold aprobado). motor.py cero diffs, catalogo eventos sin crecer.</t>
        </is>
      </c>
      <c r="E119" s="12" t="inlineStr">
        <is>
          <t>Claude Code + Andres</t>
        </is>
      </c>
      <c r="F119" s="12" t="inlineStr">
        <is>
          <t>Hecha</t>
        </is>
      </c>
      <c r="G119" s="12" t="inlineStr">
        <is>
          <t>2026-08-04</t>
        </is>
      </c>
      <c r="H119" s="12" t="inlineStr">
        <is>
          <t>Mergeado a main: squash 6071873 (PR #59). Gate Kimi (arquitecto) 9.5/10 GO sobre el diff real + GO CEO. CI 7/7 verde (backend 10m42s, backend-real-mongo 1m51s con 6 tests del hook, frontend, gitleaks, pip-audit 23s, runtime-imports, Vercel). Tests: 15 unit (mongomock: matcher + AsignadorTransito con descuento en batch) + 6 real-mongo (carga con/sin remanente, sin declaracion, no-Wava coexiste, batch 3o cae a recaudo, aplicar_pendientes reclasifica). Desbloquea la clasificacion automatica de settlements Wava en agosto (rubro sembrado por migracion 20260803_wava_transito.py). Bump cryptography 50.0.0 limpio (No known vulnerabilities). Spec: docs/superpowers/specs/2026-08-03-cr-wava-2-hook-clasificacion-wava-design.md.</t>
        </is>
      </c>
      <c r="I119" s="12" t="inlineStr">
        <is>
          <t>GATE-KIMI CR-WAVA-2</t>
        </is>
      </c>
    </row>
    <row r="120">
      <c r="A120" s="12" t="inlineStr">
        <is>
          <t>FIX-J</t>
        </is>
      </c>
      <c r="B120" s="12" t="inlineStr">
        <is>
          <t>FIX</t>
        </is>
      </c>
      <c r="D120" s="12" t="inlineStr">
        <is>
          <t>FIX-J: guarda de orden de cierre + selector de mes objetivo. Hueco destapado al cerrar julio (julio Y agosto ambos en_ejecucion en PROD): el flujo no dejaba elegir el objetivo ni frenaba cerrar un mes con su predecesor abierto (quedaria irrecuperable). Backend (aditiva, matematica certificada intacta): en confirmar_cierre, ANTES de la transaccion, predecesor inmediato EN_EJECUCION -&gt; 409 cierra los meses en orden; borradores (sugerido/propuesto/definido) NO bloquean; reusa _mes_anterior. Frontend TarjetaCierre: selector de mes objetivo sobre los en_ejecucion (default el mas antiguo); todo opera sobre el objetivo (conciliacion, dialogo, confirmar, precondicion del siguiente); predecesor en_ejecucion -&gt; nota cierra primero {pred} en vez del boton (doble capa con el 409); titulo Cerrar mes YYYY-MM; helpers mesAnterior + mesesEnEjecucion. motor.py cero diffs, catalogo eventos sin crecer, LIFO/conciliacion/CR-WAVA intactos.</t>
        </is>
      </c>
      <c r="E120" s="12" t="inlineStr">
        <is>
          <t>Claude Code + Andres</t>
        </is>
      </c>
      <c r="F120" s="12" t="inlineStr">
        <is>
          <t>Hecha</t>
        </is>
      </c>
      <c r="G120" s="12" t="inlineStr">
        <is>
          <t>2026-08-04</t>
        </is>
      </c>
      <c r="H120" s="12" t="inlineStr">
        <is>
          <t>Mergeado a main: squash d68245b (PR #60). Gate Kimi (arquitecto) 9.5/10 GO al diff + GO CEO. CI 7/7 verde (backend 10m45s, backend-real-mongo 1m54s con caso b real, frontend/vitest 12/12, gitleaks, pip-audit, runtime-imports, Vercel). Tests: (a) 409 orden mongomock, (b) predecesor sugerido cierra real-mongo (caso PROD), (c) regresion intacta + 5 vitest (selector/default/habilitado/nota/objetivo). Local: 61 regresion backend + build tsc -b + ruff/biome. Desbloquea el cierre de julio en orden.</t>
        </is>
      </c>
      <c r="I120" s="12" t="inlineStr">
        <is>
          <t>GATE-KIMI FIX-J</t>
        </is>
      </c>
    </row>
    <row r="121">
      <c r="A121" s="12" t="inlineStr">
        <is>
          <t>CIERRE-JULIO-2026</t>
        </is>
      </c>
      <c r="B121" s="12" t="inlineStr">
        <is>
          <t>FIX</t>
        </is>
      </c>
      <c r="D121" s="12" t="inlineStr">
        <is>
          <t>Cierre de julio 2026 (operacion CEO en la app, con CR-WAVA + CR-WAVA-2 + FIX-J en produccion).</t>
        </is>
      </c>
      <c r="E121" s="12" t="inlineStr">
        <is>
          <t>Andres (CEO)</t>
        </is>
      </c>
      <c r="F121" s="12" t="inlineStr">
        <is>
          <t>Hecha</t>
        </is>
      </c>
      <c r="G121" s="12" t="inlineStr">
        <is>
          <t>2026-08-04</t>
        </is>
      </c>
      <c r="H121" s="12" t="inlineStr">
        <is>
          <t>Cerrado con ajuste $13,13 (diferencia -13.13, egreso 1-ago) y transito_wava=0 por decision del CEO (03-ago): los $37.280.415 de Wava entran como recaudo de agosto cuando aterricen (el hook CR-WAVA-2 es inocuo con remanente=0 -&gt; van a Recaudo de cartera). Sin reapertura, sin accion adicional. Verificado read-only en PROD (cerrado_at 2026-08-04 15:50:42Z): julio estado=cerrado, R_julio=665.715.578; agosto en_ejecucion (unico), saldo_inicial=665.715.578, heredado=0; evento mes.cerrado con metadata (diferencia -13.13, transito_wava 0.00).</t>
        </is>
      </c>
      <c r="I121" s="12" t="inlineStr">
        <is>
          <t>DoD cierre</t>
        </is>
      </c>
    </row>
    <row r="122">
      <c r="A122" s="12" t="inlineStr">
        <is>
          <t>UI-METAS-INGRESO</t>
        </is>
      </c>
      <c r="B122" s="12" t="inlineStr">
        <is>
          <t>FIX</t>
        </is>
      </c>
      <c r="D122" s="12" t="inlineStr">
        <is>
          <t>UI Metas de ingreso: pagina Metas bajo Planeacion y control (ruta /metas + item sidebar). Frontend sobre el backend existente (GET/POST/PATCH/DELETE /metas-ingreso, sin tocarlo). Bloque mes en curso (meta/real/%/barra, estado honesto sin meta, &gt;100 resaltado); acumulado del anio (tabla por mes + fila de totales via decimal.js-light); CRUD gated por proyeccion:gestionar con validacion de monto/mes antes de llamar; invalidacion react-query. Montos string. Informativa: motor.py cero diffs.</t>
        </is>
      </c>
      <c r="E122" s="12" t="inlineStr">
        <is>
          <t>Claude Code + Andres</t>
        </is>
      </c>
      <c r="F122" s="12" t="inlineStr">
        <is>
          <t>Hecha</t>
        </is>
      </c>
      <c r="G122" s="12" t="inlineStr">
        <is>
          <t>2026-08-04</t>
        </is>
      </c>
      <c r="H122" s="12" t="inlineStr">
        <is>
          <t>Mergeado a main: squash 9ecc86a (PR #61). Gate Kimi 9.5/10 GO al diff + GO CEO. CI 7/7 verde (frontend, backend 816, backend-real-mongo, gitleaks, pip-audit, runtime-imports, Vercel; el unico rojo inicial fue el flake conocido test_s3_dedup_no_re_sube -&gt; paso en rerun, PR frontend-only). Vitest 6 nuevos + suite 219/219; build tsc -b + biome limpios. Nota: FIX-I no elimino del todo ese flake -&gt; registrado FIX-I-2.</t>
        </is>
      </c>
      <c r="I122" s="12" t="inlineStr">
        <is>
          <t>GATE-KIMI UI-METAS</t>
        </is>
      </c>
    </row>
    <row r="123">
      <c r="A123" s="12" t="inlineStr">
        <is>
          <t>FIX-F</t>
        </is>
      </c>
      <c r="B123" s="12" t="inlineStr">
        <is>
          <t>FIX</t>
        </is>
      </c>
      <c r="D123" s="12" t="inlineStr">
        <is>
          <t>FIX-F: editar el saldo inicial de caja desde la app. PATCH /meses/{mes}/saldo-inicial (ciclo:config + require_step_up MFA + verify_origin). Override del saldo de apertura de un mes en ejecucion con motivo. Guardas: mes 404, solo en_ejecucion (409 histórico inmutable regla 4), valor finito 422, motivo obligatorio 422. Emite saldo_inicial.editado (anterior-&gt;nuevo+motivo) + saga O1 (revierte si el emit falla). UI /caja: card + boton solo con ciclo:config (regla 9), dialogo valida antes de llamar. motor.py cero diffs, catalogo sin crecer.</t>
        </is>
      </c>
      <c r="E123" s="12" t="inlineStr">
        <is>
          <t>Claude Code + Andres</t>
        </is>
      </c>
      <c r="F123" s="12" t="inlineStr">
        <is>
          <t>Hecha</t>
        </is>
      </c>
      <c r="G123" s="12" t="inlineStr">
        <is>
          <t>2026-08-04</t>
        </is>
      </c>
      <c r="H123" s="12" t="inlineStr">
        <is>
          <t>Mergeado a main: squash 9f69a7b (PR #62). Gate Kimi 9.5/10 GO al diff + GO CEO. CI 7/7 verde (backend 11m53s, backend-real-mongo 2m23s sin flake, frontend, gitleaks, pip-audit, runtime-imports, Vercel). Tests: 9 backend (service 404/409/200+evento+metadata/O1 + endpoint 403 no-admin/403 sin step-up/422x2/200 con step-up MFA real) + 3 vitest.</t>
        </is>
      </c>
      <c r="I123" s="12" t="inlineStr">
        <is>
          <t>GATE-KIMI FIX-F</t>
        </is>
      </c>
    </row>
    <row r="124">
      <c r="A124" s="12" t="inlineStr">
        <is>
          <t>FIX-L</t>
        </is>
      </c>
      <c r="B124" s="12" t="inlineStr">
        <is>
          <t>FIX</t>
        </is>
      </c>
      <c r="D124" s="12" t="inlineStr">
        <is>
          <t>FIX-L: rampa de unidades por mes editable en Supuestos. Campo rampa_unidades (dict YYYY-MM-&gt;int) en parametros_proyeccion; validador (_MES, &gt;=0). _rampa_a_lista mapea a prefijo contiguo desde mes_inicio; el motor lo consume nativo via colocacion_mensual(motos_base,crec,horizonte,rampa) (override de primeros meses, post-rampa vuelve a motos_base encadenado). Router body/serializer + 422. Frontend RampaCard en Supuestos (canonicalizar/aCampos/diff, key-order al final). Tests endpoint round-trip + 422. motor.py cero diffs efectivos, golden intacto.</t>
        </is>
      </c>
      <c r="E124" s="12" t="inlineStr">
        <is>
          <t>Claude Code + Andres</t>
        </is>
      </c>
      <c r="F124" s="12" t="inlineStr">
        <is>
          <t>Hecha</t>
        </is>
      </c>
      <c r="G124" s="12" t="inlineStr">
        <is>
          <t>2026-08-04</t>
        </is>
      </c>
      <c r="H124" s="12" t="inlineStr">
        <is>
          <t>PR #63 squash 8a8470b — Gate Kimi 9.5 + GO CEO</t>
        </is>
      </c>
      <c r="I124" s="12" t="inlineStr">
        <is>
          <t>GATE-KIMI FIX-L</t>
        </is>
      </c>
    </row>
    <row r="125">
      <c r="A125" s="12" t="inlineStr">
        <is>
          <t>FIX-K</t>
        </is>
      </c>
      <c r="B125" s="12" t="inlineStr">
        <is>
          <t>FIX</t>
        </is>
      </c>
      <c r="D125" s="12" t="inlineStr">
        <is>
          <t>FIX-K: cronograma real Auteco sep-dic 2026 (9 facturas del Excel del CEO). Siembra la obligacion Auteco (facturacion, es_sistema) + 9 FacturaObligacion (numero, fecha_factura, valor=saldo pendiente, plazo 150d). La reconciliacion D2 §4 (ya desplegada) las netea -&gt; la proyeccion muestra pagos FIJOS sep-dic (columna pago_inventario), enero+ motor. Campo numero en FacturaObligacion (trazabilidad + clave de idempotencia). mes_pago = fecha + plazo//30 = +5 meses (abr-&gt;sep, may-&gt;oct, jun-&gt;nov, jul-&gt;dic). Terminos plazo_base=150/tasa=0 -&gt; capital = saldo exacto (no inventa interes). Las 3 facturas ya pagadas NO se cargan. Migracion 20260804 idempotente (numero), DRY-RUN default, URI por env, verificacion fail-loud (regla 7: totales de control sep 123.392.031 / oct 149.030.808 / nov 255.668.507 / dic 488.501.741 / TOTAL 1.016.593.087). 5 tests (importlib). motor.py cero diffs.</t>
        </is>
      </c>
      <c r="E125" s="12" t="inlineStr">
        <is>
          <t>Claude Code + Andres</t>
        </is>
      </c>
      <c r="F125" s="12" t="inlineStr">
        <is>
          <t>Hecha</t>
        </is>
      </c>
      <c r="G125" s="12" t="inlineStr">
        <is>
          <t>2026-08-04</t>
        </is>
      </c>
      <c r="H125" s="12" t="inlineStr">
        <is>
          <t>PR #64 squash 20b4e956 — Gate Kimi 9.5 + GO CEO; migracion PROD pendiente de APPLY</t>
        </is>
      </c>
      <c r="I125" s="12" t="inlineStr">
        <is>
          <t>GATE-KIMI FIX-K</t>
        </is>
      </c>
    </row>
    <row r="126">
      <c r="A126" s="12" t="inlineStr">
        <is>
          <t>D2-S7</t>
        </is>
      </c>
      <c r="B126" s="12" t="inlineStr">
        <is>
          <t>D2</t>
        </is>
      </c>
      <c r="D126" s="12" t="inlineStr">
        <is>
          <t>D2 §7: pagina de obligaciones/Auteco. Backend (solo lo que faltaba): numero+dedup (409) en registrar_factura; campos de pago pagada_desde (roddos|tercero)/pagada_at/pagada_valor/pagada_nota (modelo full, un pago marca la factura pagada); POST/DELETE .../facturas/{fid}/pagar (anular = desmarca con rastro, no contra-asiento; saga O1); reconciliacion §4 excluye de la caja las pagadas por tercero (bajan deuda, no tocan caja RODDOS; pendientes y roddos si pesan); saldo_pendiente por obligacion en el listado. Evento nuevo DECLARADO (GO CEO 2026-08-04): factura_obligacion.pagada (59-&gt;60), reutilizado en la anulacion con metadata via=anulacion (regla 11). Frontend (patron MetasPage): pagina Obligaciones (Auteco primero) con saldo + facturas (numero/fecha/valor/plazo/mes de pago derivado/estado/origen); registrar factura validado, registrar pago con explicacion del origen en la UI, anular pago/factura; CRUD gated proyeccion:gestionar (regla 9); montos string (regla 1); nav+ruta /obligaciones. Tests backend (dedup, pago tercero no toca caja pero baja deuda, roddos si, anular revierte, eventos pagada+via, RBAC 403, origen 422) + vitest (lista+saldo, registrar validado, pago con origen, pagada tercero muestra origen+anular, RBAC). motor.py cero diffs, golden intacto.</t>
        </is>
      </c>
      <c r="E126" s="12" t="inlineStr">
        <is>
          <t>Claude Code + Andres</t>
        </is>
      </c>
      <c r="F126" s="12" t="inlineStr">
        <is>
          <t>Hecha</t>
        </is>
      </c>
      <c r="G126" s="12" t="inlineStr">
        <is>
          <t>2026-08-04</t>
        </is>
      </c>
      <c r="H126" s="12" t="inlineStr">
        <is>
          <t>PR #65 squash d44757c — Gate Kimi 9.5 + GO CEO</t>
        </is>
      </c>
      <c r="I126" s="12" t="inlineStr">
        <is>
          <t>GATE-KIMI D2-S7</t>
        </is>
      </c>
    </row>
    <row r="127">
      <c r="A127" s="12" t="inlineStr">
        <is>
          <t>FIX-UI-1</t>
        </is>
      </c>
      <c r="B127" s="12" t="inlineStr">
        <is>
          <t>FIX</t>
        </is>
      </c>
      <c r="D127" s="12" t="inlineStr">
        <is>
          <t>FIX-UI-1: Proyecciones a ancho completo del viewport (sin scroll lateral, pedido directo del CEO). Causa raiz: AppShell topaba en mx-auto max-w-6xl (1152px) para todas las vistas -&gt; /proyeccion (11 columnas + grafica) forzaba scroll horizontal. Fix minimo por ruta: /proyeccion -&gt; w-full (foto ~1918px); resto del cockpit sigue max-w-6xl (legibilidad de formularios). Helper puro anchoContenido(pathname) + test TDD (3). Sticky header/1a columna (Mes) vive en TablaEgreso (overflow-x-auto + sticky top/left) intacto. Sin max-w internos en la cadena. Suite 231/231, build + biome limpios. Solo frontend.</t>
        </is>
      </c>
      <c r="E127" s="12" t="inlineStr">
        <is>
          <t>Claude Code + Andres</t>
        </is>
      </c>
      <c r="F127" s="12" t="inlineStr">
        <is>
          <t>Hecha</t>
        </is>
      </c>
      <c r="G127" s="12" t="inlineStr">
        <is>
          <t>2026-08-04</t>
        </is>
      </c>
      <c r="H127" s="12" t="inlineStr">
        <is>
          <t>PR #66 squash d9e1002 — Gate Kimi 9.5 + GO CEO; preview Vercel = artefacto visual</t>
        </is>
      </c>
      <c r="I127" s="12" t="inlineStr">
        <is>
          <t>GATE-KIMI FIX-UI-1</t>
        </is>
      </c>
    </row>
    <row r="128">
      <c r="A128" s="12" t="inlineStr">
        <is>
          <t>FIX-G2</t>
        </is>
      </c>
      <c r="B128" s="12" t="inlineStr">
        <is>
          <t>FIX</t>
        </is>
      </c>
      <c r="D128" s="12" t="inlineStr">
        <is>
          <t>FIX-G2: anular transaccion manual por contra-asiento (sin borrar dinero, la Transaccion es inmutable §2.2.2). Espeja el contra-asiento del reverso de conciliacion (cierre/service.py, campo tipado revierte_id). Backend: POST /transacciones/{id}/anular (cargas:gestionar + verify_origin, motivo obligatorio 422): contra-tx mismo valor/fecha/rubro, tipo_flujo INVERTIDO, banco=MANUAL, id_banco MAN-+ULID, revierte_id=original -&gt; neto 0. Guardas: solo MANUAL (422 bancaria), solo mes abierto (409 cerrado regla 4), no dos veces (409 si ya tiene reverso). Evento transaccion.creada (existente) via=contra_asiento + motivo; catalogo SIN crecer; saga O1. GET /transacciones?banco=manual&amp;mes= (dashboard:leer) con anulada/es_reverso/revierte_id. Frontend: panel Movimientos manuales del mes en /cargas, Anular gated + dialogo motivo, original+reverso enlazados. Tests backend 9 + vitest 3. motor.py sin tocar.</t>
        </is>
      </c>
      <c r="E128" s="12" t="inlineStr">
        <is>
          <t>Claude Code + Andres</t>
        </is>
      </c>
      <c r="F128" s="12" t="inlineStr">
        <is>
          <t>Hecha</t>
        </is>
      </c>
      <c r="G128" s="12" t="inlineStr">
        <is>
          <t>2026-08-04</t>
        </is>
      </c>
      <c r="H128" s="12" t="inlineStr">
        <is>
          <t>PR #67 squash 55dd716 — Gate Kimi 9.5 + GO CEO</t>
        </is>
      </c>
      <c r="I128" s="12" t="inlineStr">
        <is>
          <t>GATE-KIMI FIX-G2</t>
        </is>
      </c>
    </row>
    <row r="129">
      <c r="A129" s="12" t="inlineStr">
        <is>
          <t>E1-P1</t>
        </is>
      </c>
      <c r="B129" s="12" t="inlineStr">
        <is>
          <t>E1</t>
        </is>
      </c>
      <c r="D129" s="12" t="inlineStr">
        <is>
          <t>E1 P1: lector de la ejecucion real -&gt; conceptos del motor (ejecucion/lectura.py + modulo compartido domain/rubros_neutros.py). Funcion PURA mapear_a_conceptos sobre snapshots (sin Mongo, Decimal, determinista): mapeo I-PLAN seccion 10 (neto 0110/0120/0130/0140; pago_inventario 1010+4060; fondeo 4030; costo_nueva 1020; gps 1030; int_deuda 4010/4020/4050; iva 5060; gastos_fijos = operacion/nomina/otros menos codificados/sistema/neutros, robusto a rubros nuevos). A1: exclusion de los 3 neutros por rubro_id ANTES de la regla de grupo. R-1 (1010 entero a pago_inventario) y R-2 (4040 en sin_mapear) parqueados. B12: ValueError ruidoso si falta un codigo del mapeo. NO ancla aun (eso es P2), solo mapea. Constante RUBROS_NEUTROS_INGRESO_REAL promovida desde metas_ingreso (una verdad, un lugar).</t>
        </is>
      </c>
      <c r="E129" s="12" t="inlineStr">
        <is>
          <t>Claude Code + Andres</t>
        </is>
      </c>
      <c r="F129" s="12" t="inlineStr">
        <is>
          <t>Hecha</t>
        </is>
      </c>
      <c r="G129" s="12" t="inlineStr">
        <is>
          <t>2026-08-05</t>
        </is>
      </c>
      <c r="H129" s="12" t="inlineStr">
        <is>
          <t>Mergeado a main: squash fbdf802 (PR #68). Gate Kimi (arquitecto) 9.5/10 GO al diff + GO CEO, cero hallazgos (aritmetica B9 re-verificada al peso). CI 7/7 verde (backend 11m21s, backend-real-mongo 2m8s, frontend 59s, gitleaks, pip-audit, runtime-imports, Vercel). Tests: 5 (B9/B12/A1/R-1/R-2) + ruff limpio. motor.py cero diffs (R0), golden intacto (sin consumidor aun), IVA apagada, catalogo sin crecer, aditivo puro. Evidencia en planning/phases/e1-anclaje-ejecucion/auditorias/PR1-I/ (SOLICITUD+EVIDENCIA+CERTIFICADO).</t>
        </is>
      </c>
      <c r="I129" s="12" t="inlineStr">
        <is>
          <t>GATE-KIMI E1-P1</t>
        </is>
      </c>
    </row>
    <row r="130">
      <c r="A130" s="12" t="inlineStr">
        <is>
          <t>E1-P2</t>
        </is>
      </c>
      <c r="B130" s="12" t="inlineStr">
        <is>
          <t>E1</t>
        </is>
      </c>
      <c r="D130" s="12" t="inlineStr">
        <is>
          <t>E1 P2: capa de anclaje (proyeccion/ejecucion/service.py, funcion anclar()). Jerarquia I-PLAN §1 con Regla A (ejecutado + max(0, definido - ejecutado)) para el mes en curso; sobre-escribe las lineas de meses cerrado/en-ejecucion/futuro-con-presupuesto usando el lector de P1; re-acumula caja con impactos.reacumular. Determinista sobre snapshots. NO toca Auteco (pago_inventario/fondeo/adelanto quedan para D2). Signos: egresos NEGATIVOS en MesProyeccion, mapeo POSITIVO. Paso 0: extractor read-only + fixture CONGELADO de julio real (egresos 372.200.776,84; ingreso_real 179.710.080,31, cifras Mongo). Hallazgo B12 resuelto (decision CEO): quita del mapeo P1 los 4 rubros ausentes en PROD (0120/0130/0140/4060); re-toca P1 auditado, declarado en la solicitud del gate P2.</t>
        </is>
      </c>
      <c r="E130" s="12" t="inlineStr">
        <is>
          <t>Claude Code + Andres</t>
        </is>
      </c>
      <c r="F130" s="12" t="inlineStr">
        <is>
          <t>Hecha</t>
        </is>
      </c>
      <c r="G130" s="12" t="inlineStr">
        <is>
          <t>2026-08-06</t>
        </is>
      </c>
      <c r="H130" s="12" t="inlineStr">
        <is>
          <t>Mergeado a main: squash 54ac0c1 (PR #69). MERGE POR EXCEPCION EXPLICITA DEL CEO (2026-08-06) SIN gate Kimi, documentada en planning/phases/e1-anclaje-ejecucion/auditorias/PR2-I/EXCEPCION-CEO.md. CI 7/7 verde (backend, backend-real-mongo, frontend, gitleaks -recuperado tras incidente de infra de GitHub-, pip-audit, runtime-imports, Vercel). TDD: B1-B6 + A3 = 15/15 en la suite E1; regresion 137 passed; motor.py cero diffs (R0); ruff check + ruff format limpios. Consume lectura.py (P1), re-acumula con impactos.reacumular, NO toca Auteco. Paquete de gate PR2-I (SOLICITUD + EVIDENCIA + PAQUETE.pdf) preparado por si se corre post-merge. RETRO-GATE Kimi 9.5/10 GO (2026-08-06, cero hallazgos, diff completo 2.693 lineas/9 archivos): la excepcion del CEO queda CERRADA con certificacion post-hoc (ver Gates GATE-KIMI E1-P2).</t>
        </is>
      </c>
      <c r="I130" s="12" t="inlineStr">
        <is>
          <t>GATE-KIMI E1-P2 (retro 9.5) — waiver cerrado</t>
        </is>
      </c>
    </row>
    <row r="131">
      <c r="A131" s="12" t="inlineStr">
        <is>
          <t>E1-P3</t>
        </is>
      </c>
      <c r="B131" s="12" t="inlineStr">
        <is>
          <t>E1</t>
        </is>
      </c>
      <c r="D131" s="12" t="inlineStr">
        <is>
          <t>E1 P3: precedencia motor→E1→D2 + loader de anclaje + exclusión D2 (ACTIVA E1 EN PROD). proyeccion/ejecucion/loader.py (única capa Mongo): cargar_anclas traduce estado del ciclo → régimen (cerrado/en_ejecucion/presupuesto/omitido) reusando _egresos_por_rubro/PresupuestoLinea vigente/ingreso_real. _resultado_con inserta anclar() entre motor y reconciliar. reconciliacion.py: meses_anclados aditivo (vacío⇒idéntico a hoy). Precisión arquitecto: _ids_rubros_neutros movido a domain/rubros_neutros (metas re-exporta). C-1 (gate): D2 solo excluye meses CERRADOS (E1 no ancla Auteco → en no-cerrados D2 aplica el pago real de FIX-K sin doble conteo).</t>
        </is>
      </c>
      <c r="E131" s="12" t="inlineStr">
        <is>
          <t>Claude Code + Andrés</t>
        </is>
      </c>
      <c r="F131" s="12" t="inlineStr">
        <is>
          <t>Hecha</t>
        </is>
      </c>
      <c r="G131" s="12" t="inlineStr">
        <is>
          <t>2026-08-07</t>
        </is>
      </c>
      <c r="H131" s="12" t="inlineStr">
        <is>
          <t>Mergeado a main: squash 7f05fca (PR #70). Gate Kimi (arquitecto): I 8.7 NO-GO (hallazgo C-1, arquitectónico del plan §3/B7) → fix C-1 (commit 18cbdb0, D2 solo cerrados) → RE-GATE 9.3/10 GO condicionado, condiciones cumplidas (diff limpio 3 archivos + regresión 890 passed + EVIDENCIA/PDF regenerados) → GO CEO. CI 7/7 verde. Tests: rubros_neutros 3 + precedencia B7/candado 2 + loader mongomock 5 + loader real-mongo $group 1 + pipeline B8/B11/candado + C-1 en_ejecucion/presupuesto. Regresión 890 passed. R0 (motor.py cero diffs), golden intacto, ruff limpio, catálogo sin crecer. Evidencia en planning/phases/e1-anclaje-ejecucion/auditorias/PR3-I/ (SOLICITUD+EVIDENCIA+ADDENDUM-P3.1).</t>
        </is>
      </c>
      <c r="I131" s="12" t="inlineStr">
        <is>
          <t>GATE-KIMI E1-P3 (9.3)</t>
        </is>
      </c>
    </row>
    <row r="132">
      <c r="A132" s="12" t="inlineStr">
        <is>
          <t>E1-P4</t>
        </is>
      </c>
      <c r="B132" s="12" t="inlineStr">
        <is>
          <t>E1</t>
        </is>
      </c>
      <c r="D132" s="12" t="inlineStr">
        <is>
          <t>E1 P4: guarda B10 (cerrado_sospechoso) + PASO 0 (higiene A2). guarda.py (nuevo, PURO): UMBRAL_SOSPECHA_EJECUTADO=Decimal('0.5'); es_ejecutado_anomalo (D&gt;0 y E&lt;0.5×D estricto sobre los 5 conceptos anclados, sin Auteco ni neto); marcas_origen → cerrado/cerrado_sospechoso/en_ejecucion/presupuesto. loader.py: PASO 0 (dirty_ids = es_sistema ∧ no clasificable ∧ no neutro; _rubros_ofensores por mes → mes sucio cae al motor + log) + trae definido para cerrados (anclar lo IGNORA, solo alimenta la marca). service.py: _resultado_con computa marcas_origen y loguea sospechosos (WARNING), sin exponer en respuesta (eso es P5). Protege C-1: la marca NO cambia AnclaMes.estado; D2 sigue excluyendo solo cerrados. B-1 (hoisting cargar_anclas) diferida con causa raíz: 1 sola llamada por request → sería no-op.</t>
        </is>
      </c>
      <c r="E132" s="12" t="inlineStr">
        <is>
          <t>Claude Code + Andrés</t>
        </is>
      </c>
      <c r="F132" s="12" t="inlineStr">
        <is>
          <t>Hecha</t>
        </is>
      </c>
      <c r="G132" s="12" t="inlineStr">
        <is>
          <t>2026-08-07</t>
        </is>
      </c>
      <c r="H132" s="12" t="inlineStr">
        <is>
          <t>Mergeado a main: squash a08f43e (PR #71). Gate Kimi (arquitecto) 9.6/10 GO al diff (el paquete más limpio de la serie E1: fidelidad exacta al brief etapa59, cero desviaciones, B-1 cerrada con causa raíz verificada independientemente contra main) + GO CEO. CI 8/8 verde (backend 11m26s confirmado aparte —no es required check aún—, backend-real-mongo 2m3s, frontend, gitleaks, pip-audit, runtime-imports, Vercel). Tests: guarda 6 + loader PASO0/definido-cerrado 3 + pipeline B10 log 1 + inercia 1 + loader real-mongo PASO0 1; regresión completa 901 passed / 94 skipped / 0 fallos; ruff limpio; R0 motor.py cero diffs; catálogo sin crecer (P4 no emite eventos, solo log). Evidencia en planning/phases/e1-anclaje-ejecucion/auditorias/PR4-I/ (SOLICITUD+EVIDENCIA+PAQUETE.pdf).</t>
        </is>
      </c>
      <c r="I132" s="12" t="inlineStr">
        <is>
          <t>GATE-KIMI E1-P4 (9.6)</t>
        </is>
      </c>
    </row>
    <row r="133">
      <c r="A133" s="12" t="inlineStr">
        <is>
          <t>E1-P5</t>
        </is>
      </c>
      <c r="B133" s="12" t="inlineStr">
        <is>
          <t>E1</t>
        </is>
      </c>
      <c r="D133" s="12" t="inlineStr">
        <is>
          <t>E1 P5: exposición del shape en GET /proyeccion (aditivo, penúltimo eslabón de E1). 3 claves nuevas top-level, reusando lo que el backend ya computaba: meses_anclados (dict mes→marca, reusa marcas_origen de P4: cerrado/cerrado_sospechoso/en_ejecucion/presupuesto); sin_mapear (rubros_sin_mapear NUEVA, función PURA sobre el snapshot del ejecutado, reusa mapear_a_conceptos; afloran R-1/R-2 parqueados; antes _conceptos_egreso lo descartaba); mes_en_curso (B13, objeto rico {mes,cargado_hasta,dia,formula}, helper Mongo NUEVO cargar_completitud_mes_en_curso = fecha máx. de tx vía sort(-fecha).limit(1), función aparte que NO altera el contrato de cargar_anclas). AnclajeMeta empaqueta los 3 en _resultado_con (5-tuple) y _serializar los emite (vacíos sin anclaje → foto byte-idéntica salvo las 3 claves). Propagado a /impactos base+ajustada.</t>
        </is>
      </c>
      <c r="E133" s="12" t="inlineStr">
        <is>
          <t>Claude Code + Andrés</t>
        </is>
      </c>
      <c r="F133" s="12" t="inlineStr">
        <is>
          <t>Hecha</t>
        </is>
      </c>
      <c r="G133" s="12" t="inlineStr">
        <is>
          <t>2026-08-08</t>
        </is>
      </c>
      <c r="H133" s="12" t="inlineStr">
        <is>
          <t>Mergeado a main: squash d20d26b (PR #72). Gate Kimi (arquitecto) 9.6/10 GO al diff (verificación directa contra API: 12 archivos +369/−30 exactos, perímetro ausente del diff) + GO CEO. CI 8/8 verde (backend 9m9s confirmado aparte —no es required check aún—, backend-real-mongo 2m4s, frontend, gitleaks, pip-audit, runtime-imports, Vercel). Tests: guarda sin_mapear 3 + loader completitud mongomock 2 + real-mongo 1 + pipeline meta 2 + endpoint (foto sin ciclo + B13) 2. Regresión completa 910 passed / 95 skipped / 0 fallos. R0 motor.py cero diffs; perímetro anclar/lectura/reconciliacion intacto; C-1 protegido (marca lectura pura, filtro D2 literal); catálogo sin crecer; ruff limpio. Spec+plan en docs/superpowers/. Evidencia en planning/phases/e1-anclaje-ejecucion/auditorias/PR5-I/.</t>
        </is>
      </c>
      <c r="I133" s="12" t="inlineStr">
        <is>
          <t>GATE-KIMI E1-P5 (9.6)</t>
        </is>
      </c>
    </row>
    <row r="134">
      <c r="A134" s="12" t="inlineStr">
        <is>
          <t>E1-P6</t>
        </is>
      </c>
      <c r="B134" s="12" t="inlineStr">
        <is>
          <t>E1</t>
        </is>
      </c>
      <c r="D134" s="12" t="inlineStr">
        <is>
          <t>E1 P6 (ÚLTIMA pieza; cierra E1): frontend — marcas de origen + mes en curso + sin_mapear, consumiendo el shape de P5. MarcaOrigen.tsx (Real/En curso/Presupuesto/Proyección/Revisar carga, punto+etiqueta en la 1ª columna SIN columna nueva → sin scroll lateral; dimensión distinta de EstadoMes/salud de caja). ComposicionCaja: curva de caja sólida (real/en curso) → punteada (proyección) + punto ámbar en cerrado_sospechoso (SVG a mano, sin librería). MesEnCursoCallout: Presupuesto · Ejecutado (al día N) · Resta del presupuesto (honestidad R5: 'resta', no 'desviación' engañosa) + completitud B13 con fórmula de negocio + copy de arrastre. sin_mapear al pie solo si hay. Candado: sin ciclo la UI queda idéntica a hoy (sin leyenda/callout/marca, línea única). AMPLIACIÓN P6-b al backend (decisión CEO): mes_en_curso expone ejecutado (Σ egresos reales) + proyectado (Σ definido), sumas planas sin B12, TDD mongomock + real-mongo.</t>
        </is>
      </c>
      <c r="E134" s="12" t="inlineStr">
        <is>
          <t>Claude Code + Andrés</t>
        </is>
      </c>
      <c r="F134" s="12" t="inlineStr">
        <is>
          <t>Hecha</t>
        </is>
      </c>
      <c r="G134" s="12" t="inlineStr">
        <is>
          <t>2026-08-08</t>
        </is>
      </c>
      <c r="H134" s="12" t="inlineStr">
        <is>
          <t>Mergeado a main: squash 71cadf5 (PR #73). Gate Kimi (arquitecto) 9.4/10 GO — auditó las 3 CAPTURAS reales (exigencia nueva del gate de frontend, cumplida) + código vs PR (22 archivos), aprobó las 2 decisiones declaradas (copy 'Resta del presupuesto' + ampliación P6-b) + GO CEO. CI 8/8 verde (backend 11m39s confirmado aparte, backend-real-mongo verde tras re-run del flake FIX-I-2 ajeno a P6, frontend, gitleaks, pip-audit, runtime-imports, Vercel). Tests: vitest 248 passed (45 archivos; MarcaOrigen 2 + callout 4 + tabla +3 + gráfico +3 + página +2 + candado) + build tsc/vite + biome 132 limpio; backend regresión 910 passed / 0 fallos (TDD helper mongomock+real-mongo). R0 motor.py 0 diffs; perímetro anclar/lectura/reconciliacion intacto. Capturas + spec+plan en repo. 2 bajas no bloqueantes: B-1 (tabla sin scroll a resolución real del CEO) y B-2 (resta plana vs Regla A por concepto, mejora opcional).</t>
        </is>
      </c>
      <c r="I134" s="12" t="inlineStr">
        <is>
          <t>GATE-KIMI E1-P6 (9.4)</t>
        </is>
      </c>
    </row>
    <row r="135" s="13">
      <c r="A135" s="12" t="inlineStr">
        <is>
          <t>FIX-I-2</t>
        </is>
      </c>
      <c r="B135" s="12" t="inlineStr">
        <is>
          <t>Cola post-E1</t>
        </is>
      </c>
      <c r="D135" s="12" t="inlineStr">
        <is>
          <t>FIX-I-2: flake test_s3_dedup_no_re_sube (backend-real-mongo). CAUSA RAÍZ REAL (demostrada, no del read concern): _crear_bbva regenera el xlsx en cada llamada y openpyxl embebe now() en core.xml + el zip; el dedup F-02 es sha256 de bytes → el 'mismo' archivo solo coincide si las 2 escrituras caen en el mismo segundo → dedup intermitente. Ronda I (linearizable) NO-GO 7.5 de Kimi: era placebo + hipótesis imposible (RS 1 nodo + w:majority + awaits secuenciales). Ronda II: fix del TEST (2ª llamada crear=False → reprocesa el mismo archivo byte a byte → determinista; preserva semántica de F-02). linearizable revertido (service.py = main). Prueba de hash validada por ambos (mismo segundo→idéntico; sleep 1.1s→distinto).</t>
        </is>
      </c>
      <c r="E135" s="12" t="inlineStr">
        <is>
          <t>Claude Code + Andrés</t>
        </is>
      </c>
      <c r="F135" s="12" t="inlineStr">
        <is>
          <t>Hecha</t>
        </is>
      </c>
      <c r="G135" s="12" t="inlineStr">
        <is>
          <t>2026-08-08</t>
        </is>
      </c>
      <c r="H135" s="12" t="inlineStr">
        <is>
          <t>Mergeado a main: squash 5d1c9e8 (PR #75; PR #74 de la ronda I cerrado). Gate Kimi FIX-I2-I 7.5 NO-GO → FIX-I2-II 9.5 GO + GO CEO. CI 8/8 verde (backend-real-mongo 1m58s ahora DETERMINISTA, backend 11m41s confirmado aparte). Diff = 1 archivo (tests/test_carga.py +20/−4); service.py idéntico a main. Regresión mongomock 910/0, ruff limpio. Paquetes en planning/phases/sprint2-cargas/auditorias/FIX-I2-I/ y FIX-I2-II/ (con prueba de hash). Aprendizaje registrado en memoria (debug-demostrar-causa-raiz).</t>
        </is>
      </c>
      <c r="I135" s="12" t="inlineStr">
        <is>
          <t>GATE-KIMI FIX-I2-II (9.5)</t>
        </is>
      </c>
    </row>
    <row r="136" s="13">
      <c r="A136" s="12" t="inlineStr">
        <is>
          <t>COPYS-UX</t>
        </is>
      </c>
      <c r="B136" s="12" t="inlineStr">
        <is>
          <t>Cola post-E1</t>
        </is>
      </c>
      <c r="D136" s="12" t="inlineStr">
        <is>
          <t>Copys UX: reescritura del texto visible de la app a español de negocio (cero tecnicismos), sin tocar lógica/variables/props/backend. Inventario primero (explorador) → propuesta al CEO antes de código → subagente con la precisión del checkpoint. Barrido de 'umbral' CLASIFICADO por sentido (precisión obligatoria Kimi 9.1): piso de caja (Proyecciones/Supuestos/Techo/Tornado)→«mínimo de caja»; tolerancia de conciliación (Cierre/ReporteCaja)→«margen» (NO 'mínimo de caja', evita bug semántico); tercer sentido puntaje DIAN→sin string visible, no tocado. 'perforar'→«bajar del mínimo». 13 reescrituras puntuales: quita '(regla 4)'; Runway→«Autonomía de caja»; Wava «Dinero en camino»; Contra-asiento→«Reverso» (reword honesto); «Provisión de cartera (contable, no afecta la caja)»/«Incumplimiento»; fondeo→financiación; «Meses de caja más baja»; «Unidades reales por mes (primeros meses)»/«(reemplaza la proyección…)»; «Suma de saldos de bancos»/«Caja según el sistema»; oculta id interno en toast; fecha con ejemplo; «Meses con facturas ya registradas»; «Participación en ventas (%)»/«Total».</t>
        </is>
      </c>
      <c r="E136" s="12" t="inlineStr">
        <is>
          <t>Claude Code + Andrés</t>
        </is>
      </c>
      <c r="F136" s="12" t="inlineStr">
        <is>
          <t>Hecha</t>
        </is>
      </c>
      <c r="G136" s="12" t="inlineStr">
        <is>
          <t>2026-08-09</t>
        </is>
      </c>
      <c r="H136" s="12" t="inlineStr">
        <is>
          <t>Mergeado a main: squash ed574eb (PR #76). Gate Kimi (arquitecto) 9.5/10 GO (checkpoint previo 9.1 con 1 precisión obligatoria, aplicada exacta y verificada por Kimi en los píxeles de las capturas) + GO CEO. Perímetro probado contra API: 33 archivos, 0 fuera de frontend/src + planning, 0 backend, 0 libs; grep de variables/props (umbral=, conc.umbral…) vacío → solo etiquetas, clave de dato intacta ((margen {conc.umbral})). vitest 248/248 · build OK · biome 140 limpio · CI todo verde (frontend, backend confirmado aparte, backend-real-mongo, gitleaks, pip-audit, runtime-imports, Vercel). Paquete UX-I con tabla de clasificación de 'umbral' + 2 capturas reales (Playwright) en planning/phases/copys-ux/auditorias/UX-I/. Nota sin descuento: aria-labels quedan 'umbral' (invisibles; pasada futura opcional).</t>
        </is>
      </c>
      <c r="I136" s="12" t="inlineStr">
        <is>
          <t>GATE-KIMI UX-I (9.5)</t>
        </is>
      </c>
    </row>
    <row r="137" s="13">
      <c r="A137" s="12" t="inlineStr">
        <is>
          <t>DEPB-LOTE</t>
        </is>
      </c>
      <c r="B137" s="12" t="inlineStr">
        <is>
          <t>Cola post-E1</t>
        </is>
      </c>
      <c r="D137" s="12" t="inlineStr">
        <is>
          <t>Lote Dependabot (#10–#19): actualización de dependencias con seguridad al día. Criterio del arquitecto Kimi: UNO POR UNO, CI verde por PR, nunca batch; orden seguridad→runtime→dev-only; los 3 major/visibles (fastapi, lucide, biome) piden GO del CEO con evidencia; gate único del lote al final. Cada merge = deploy a staging.</t>
        </is>
      </c>
      <c r="E137" s="12" t="inlineStr">
        <is>
          <t>Claude Code + Andrés</t>
        </is>
      </c>
      <c r="F137" s="12" t="inlineStr">
        <is>
          <t>Hecha</t>
        </is>
      </c>
      <c r="G137" s="12" t="inlineStr">
        <is>
          <t>2026-08-09</t>
        </is>
      </c>
      <c r="H137" s="12" t="inlineStr">
        <is>
          <t>CERRADO (2026-08-09). 8 mergeados + 4 cerrados sin merge (2 reemplazados por PR manual). MERGEADOS: #14 fastapi 0.135.2→0.141.1 (36bbbac; 0.137 router.routes→árbol no nos afecta), #10 uvicorn 0.44→0.52.1 (b806073), #16 sentry-sdk →≥2.66.1 (e664070), #13 apscheduler →3.11.3 (12493c6), #12 lucide-react 0.468→1.29 (7ea7f29; 21 iconos OK, captura antes/después idéntica), #17 @types/node 22→26 (4ab8845), #77 jsdom 25→29.1.1 (f1a119c, PR MANUAL: reemplaza #19 porque jsdom 30 exige Node≥22 y el CI corre Node 20), #78 typescript 5.9→7.0.2 (4b26437, PR MANUAL: reemplaza #18; quita baseUrl removido en TS7, paths relativo resuelve el alias @/). CERRADOS SIN MERGE: #11 cryptography 48→49 (OBSOLETO, main ya en 50 por CVE), #15 biome 1.9→2.x (SALTADO por decisión CEO: major disruptivo dev-only, migrate bug apagaba el linter; se queda 1.9.4, major ignorado), #19 jsdom 30 (→#77), #18 typescript solo-versión (→#78). Cada merge con CI verde (backend confirmado aparte); los 3 majors (fastapi/lucide/ts7) con GO CEO+evidencia. FUERA DE ALCANCE (pendiente decisión CEO): #7/#8/#9 bumps de GitHub Actions del CI. Gate Kimi único del lote: pendiente.</t>
        </is>
      </c>
      <c r="I137" s="12" t="inlineStr">
        <is>
          <t>GATE-KIMI DEPB-LOTE (9.5)</t>
        </is>
      </c>
    </row>
    <row r="138" s="13">
      <c r="A138" s="12" t="inlineStr">
        <is>
          <t>ACTIONS-V7</t>
        </is>
      </c>
      <c r="B138" s="12" t="inlineStr">
        <is>
          <t>G1</t>
        </is>
      </c>
      <c r="D138" s="12" t="inlineStr">
        <is>
          <t>Mini-lote GitHub Actions (consolida dependabot #7/#8/#9, CI-only, aprobado por Kimi como PR conjunto): actions/checkout 4→7.0.1 (×6), setup-node 4→7.0.0 (×1), setup-python 5→7.0.0 (×4), + node-version 20→22 LTS (Node 20 deprecado por GitHub). SHAs verificados contra tags reales. Seguro: sin pull_request_target (checkout v7 no aplica), cache:npm ya explícito (setup-node v7).</t>
        </is>
      </c>
      <c r="E138" s="12" t="inlineStr">
        <is>
          <t>Claude Code + Andrés</t>
        </is>
      </c>
      <c r="F138" s="12" t="inlineStr">
        <is>
          <t>Hecha</t>
        </is>
      </c>
      <c r="G138" s="12" t="inlineStr">
        <is>
          <t>2026-08-09</t>
        </is>
      </c>
      <c r="H138" s="12" t="inlineStr">
        <is>
          <t>Mergeado a main: squash 71d983e (PR #79; cierra #7/#8/#9). CI 7/7 verde ejecutándose ya con las actions v7 + Node 22 (auto-validado). Paso 1 del checklist G1.</t>
        </is>
      </c>
      <c r="I138" s="12" t="inlineStr">
        <is>
          <t>—</t>
        </is>
      </c>
    </row>
    <row r="139">
      <c r="A139" s="12" t="inlineStr">
        <is>
          <t>E2-DIAN-XLSX</t>
        </is>
      </c>
      <c r="B139" s="12" t="inlineStr">
        <is>
          <t>E2</t>
        </is>
      </c>
      <c r="D139" s="12" t="inlineStr">
        <is>
          <t>C2' — Carga del Excel de la DIAN en /iva (CR CEO 2026-08-10). El cambio del modulo DIAN dejo facturas imposibles de descargar en PDF; se debe poder adjuntar el .xlsx exportado por la DIAN (documentos recibidos/emitidos) para registrar facturas en lote, mas rapido y flexible. Backend: parser xlsx (openpyxl) que TRANSFORMA sin interpretar (regla 7: fila ambigua = error por fila, jamas adivinar), reutiliza la ingesta existente de facturas (dedup por documento; resultado POR FILA creada|duplicada|rechazada|requiere_confirmacion + resumen, como POST /facturas/cargar), crea Factura con tipo/tercero/NIT/base/tarifa/IVA/fecha-&gt;cuatrimestre en Decimal; tope de lote coherente; RBAC iva:gestionar; cero eventos nuevos (usa factura.creada). Frontend: uploader en IvaPage — hoy la pagina NO tiene ningun modulo de carga. Brainstorming + TDD antes de codificar (toca Mongo): fixtures .xlsx anonimizados.</t>
        </is>
      </c>
      <c r="E139" s="12" t="inlineStr">
        <is>
          <t>Claude Code + Andres</t>
        </is>
      </c>
      <c r="F139" s="12" t="inlineStr">
        <is>
          <t>Pendiente</t>
        </is>
      </c>
      <c r="H139" s="12" t="inlineStr">
        <is>
          <t>CR del CEO 2026-08-10 (sesion fundacion FABS). Verificado en repo: backend ya tiene POST /facturas/cargar para PDFs DIAN (ingesta.py/extraccion.py, pdfplumber); falta soporte .xlsx y el uploader en la pagina.</t>
        </is>
      </c>
      <c r="I139" s="12" t="inlineStr">
        <is>
          <t>GATE-KIMI E2-XLSX (mutacion fiscal)</t>
        </is>
      </c>
    </row>
    <row r="140">
      <c r="A140" s="12" t="inlineStr">
        <is>
          <t>PTS6-A</t>
        </is>
      </c>
      <c r="B140" s="12" t="inlineStr">
        <is>
          <t>Cola 6 puntos</t>
        </is>
      </c>
      <c r="D140" s="12" t="inlineStr">
        <is>
          <t>6-puntos A: sembrar cartera previa en PROD (97 semanas, $1.095.640.900). Causa raiz de cobranza ago-26 en $43,5M: cartera_previa_recaudo estaba VACIA (la migracion 20260725 nunca corrio contra PROD); el motor la suma como tercer sumando (motor.py:247). Con la semilla, ago-26 recupera +$83.495.500 (semanas 23-26) -&gt; ~$127,0M. Motor CERO diffs (solo datos).</t>
        </is>
      </c>
      <c r="E140" s="12" t="inlineStr">
        <is>
          <t>Claude Code + Andres</t>
        </is>
      </c>
      <c r="F140" s="12" t="inlineStr">
        <is>
          <t>Hecha</t>
        </is>
      </c>
      <c r="G140" s="12" t="inlineStr">
        <is>
          <t>2026-08-10</t>
        </is>
      </c>
      <c r="H140" s="12" t="inlineStr">
        <is>
          <t>Corrida 2026-08-10 con migrations/20260725_seed_cartera_previa.py (idempotente): 97 insertadas, 0 colisiones. GO CEO (sesion 6 puntos).</t>
        </is>
      </c>
      <c r="I140" s="12" t="inlineStr">
        <is>
          <t>—</t>
        </is>
      </c>
    </row>
    <row r="141">
      <c r="A141" s="12" t="inlineStr">
        <is>
          <t>PTS6-C</t>
        </is>
      </c>
      <c r="B141" s="12" t="inlineStr">
        <is>
          <t>Cola 6 puntos</t>
        </is>
      </c>
      <c r="D141" s="12" t="inlineStr">
        <is>
          <t>6-puntos C: alinear presupuesto AGOSTO-2026 al Excel del CEO (hoja Presupuesto). 4 rubros nuevos via servicio (0120 Cuotas iniciales, 2160 Seguro creditos activos, 4070 Rodante - Financiacion a clientes, 5080 Contabilidad; evento rubro.creado), 32 montos acotados via acotar_linea (Ajuste+auditoria+comentario FIX-G1), 7 lineas creadas, Contingencia -&gt; $0 y rubro desactivado (decision CEO: se desgloso todo). TOTAL definido = $255.109.500 exacto. Julio (cerrado) intocado.</t>
        </is>
      </c>
      <c r="E141" s="12" t="inlineStr">
        <is>
          <t>Claude Code + Andres</t>
        </is>
      </c>
      <c r="F141" s="12" t="inlineStr">
        <is>
          <t>Hecha</t>
        </is>
      </c>
      <c r="G141" s="12" t="inlineStr">
        <is>
          <t>2026-08-10</t>
        </is>
      </c>
      <c r="H141" s="12" t="inlineStr">
        <is>
          <t>migrations/20260810_alinear_presupuesto_agosto.py (idempotente, re-corrida = 0 cambios). Pendiente operativo: Liz clasifica ejecutado Rodante ($848.277) al cargar dias faltantes (COMPAS va al 4-ago).</t>
        </is>
      </c>
      <c r="I141" s="12" t="inlineStr">
        <is>
          <t>—</t>
        </is>
      </c>
    </row>
    <row r="142">
      <c r="A142" s="12" t="inlineStr">
        <is>
          <t>PTS6-B</t>
        </is>
      </c>
      <c r="B142" s="12" t="inlineStr">
        <is>
          <t>Cola 6 puntos</t>
        </is>
      </c>
      <c r="D142" s="12" t="inlineStr">
        <is>
          <t>6-puntos B: feature DIVIDIR TRANSACCION + aplicar al caso Luis Miguel Becerra (2026-08-04, id_banco 38009969|1, $20.123.787,47 todo en Prestamos 4010; el Excel lo parte: $14.000.000 Garantia cupo 4030 + $6.123.787,47 Prestamos). Partes suman exacto el monto (Decimal), padre marcado dividida (sin doble conteo), reversible, evento nuevo transaccion.dividida (CR regla 11). UI accion Dividir en /caja. Brainstorming + TDD.</t>
        </is>
      </c>
      <c r="E142" s="12" t="inlineStr">
        <is>
          <t>Claude Code + Andres</t>
        </is>
      </c>
      <c r="F142" s="12" t="inlineStr">
        <is>
          <t>Hecha</t>
        </is>
      </c>
      <c r="G142" s="12" t="inlineStr">
        <is>
          <t>2026-08-10</t>
        </is>
      </c>
      <c r="H142" s="12" t="inlineStr">
        <is>
          <t>Backend MERGEADO a main c7c9dd7 (dominio partes+invariante, servicio dividir/deshacer saga O1, endpoints, 4 agregaciones partes-aware, eventos 62, 12 tests nuevos; regresion 920 passed). APLICADO EN PROD via servicio con auditoria: tx 38009969|1 dividida 14.000.000-&gt;Garantia cupo + 6.123.787,47-&gt;Prestamos; verificado /control agosto: Garantia=14.000.000,00 y Prestamos=7.866.106,47 (= Excel al peso). UI de dividir/deshacer va en el bloque frontend de PTS6-D. Gate Kimi retro pendiente.</t>
        </is>
      </c>
      <c r="I142" s="12" t="inlineStr">
        <is>
          <t>GATE-KIMI PTS6-B (clasificacion de plata)</t>
        </is>
      </c>
    </row>
    <row r="143">
      <c r="A143" s="12" t="inlineStr">
        <is>
          <t>PTS6-D</t>
        </is>
      </c>
      <c r="B143" s="12" t="inlineStr">
        <is>
          <t>Cola 6 puntos</t>
        </is>
      </c>
      <c r="D143" s="12" t="inlineStr">
        <is>
          <t>6-puntos D: tabla /proyeccion reconciliable a la vista. Columna nueva 'Ajuste mora/default' (= neto - bruto) para que Inicial + Semanales + Ajuste = Ingreso fila a fila (hoy: 189.171.000 x 0,952 = 180.090.792 invisible); renombrar 'Activacion' -&gt; 'Alistamiento' agrupada con Costo (es costo_nueva+adelanto, NO ingreso; hoy Costo = Activacion + Auteco duplica visualmente); tooltip con % vigentes; meses cerrados con marca de origen (ingreso real vs componentes motor). SOLO frontend (ingreso_bruto ya viaja, service.py:214); motor.py CERO diffs.</t>
        </is>
      </c>
      <c r="E143" s="12" t="inlineStr">
        <is>
          <t>Claude Code + Andres</t>
        </is>
      </c>
      <c r="F143" s="12" t="inlineStr">
        <is>
          <t>Hecha</t>
        </is>
      </c>
      <c r="G143" s="12" t="inlineStr">
        <is>
          <t>2026-08-10</t>
        </is>
      </c>
      <c r="H143" s="12" t="inlineStr">
        <is>
          <t>MERGEADO a main 05ea912. Frontend (solo presentacion, motor cero diffs): columna 'Ajuste mora/default' (=neto-bruto) -&gt; Inicial+Semanales+Ajuste==Ingreso fila a fila y total (test caso agosto real); 'Activacion'-&gt;'Alistamiento' agrupada con Costo + tooltips; desglose 'Deudas y obligaciones'. Backend: mapeo E1 4040+4070-&gt;int_deuda (supersede R-2, GO CEO); fixtures+JSON congelado julio +4070 (ejecutado 0, controles intactos). Tests: E1 55, TablaEgreso 9/9, build tsc -b verde, regresion 54. PENDIENTE (bloque aparte): boton Dividir/Deshacer en la UI (endpoints ya vivos; necesita superficie de lista de transacciones bancarias que hoy no existe). | D-UI CERRADO (main 544a278): panel 'Transacciones del mes' en /cargas con Dividir/Deshacer (modal, suma validada en vivo, filtro por tipo_flujo, badge partes). PanelDividir 4/4 + build verde. Cierra PTS6-D completo.</t>
        </is>
      </c>
      <c r="I143" s="12" t="inlineStr">
        <is>
          <t>—</t>
        </is>
      </c>
    </row>
    <row r="144">
      <c r="A144" s="12" t="inlineStr">
        <is>
          <t>PTS6-E</t>
        </is>
      </c>
      <c r="B144" s="12" t="inlineStr">
        <is>
          <t>Cola 6 puntos</t>
        </is>
      </c>
      <c r="D144" s="12" t="inlineStr">
        <is>
          <t>6-puntos E: meta de ingreso en 2 lineas (Cuota inicial / Cuotas semanales) — el modelo MetaIngreso YA tiene lineas[] y la API las acepta; falta UI (MetasPage manda solo {mes,valor}). Real separado: rubro 0120 ya creado (PTS6-C); falta re-agregar '0120':'neto' al mapeo E1 (lectura.py, con test) + reglas de clasificacion hacia adelante (aprobado CEO 2026-08-10). Mostrar 'real separado no disponible' hasta que haya datos clasificados.</t>
        </is>
      </c>
      <c r="E144" s="12" t="inlineStr">
        <is>
          <t>Claude Code + Andres</t>
        </is>
      </c>
      <c r="F144" s="12" t="inlineStr">
        <is>
          <t>Hecha</t>
        </is>
      </c>
      <c r="G144" s="12" t="inlineStr">
        <is>
          <t>2026-08-10</t>
        </is>
      </c>
      <c r="H144" s="12" t="inlineStr">
        <is>
          <t>MERGEADO a main a98da08. Meta en 2 lineas (Cuota inicial / Cuotas semanales; total=suma validada; modelo/API ya lo soportaban). Real por concepto: ingreso_real_por_concepto (0120 inicial / 0110 semanal, expande partes, excluye neutros) -&gt; real_inicial/real_semanal en la API; card con bloque Desglose. motor cero diffs. Tests metas 7 + MetasPage 7/7 + build verde. NO se aplico split a la meta real de agosto (el CEO no dio los montos; se captura en la pantalla). Real inicial se llena cuando Liz clasifique ingresos al rubro 0120 de aqui en adelante (reglas hacia adelante, aprobado CEO).</t>
        </is>
      </c>
      <c r="I144" s="12" t="inlineStr">
        <is>
          <t>—</t>
        </is>
      </c>
    </row>
    <row r="145">
      <c r="A145" s="12" t="inlineStr">
        <is>
          <t>PTS6-F</t>
        </is>
      </c>
      <c r="B145" s="12" t="inlineStr">
        <is>
          <t>Cola 6 puntos</t>
        </is>
      </c>
      <c r="D145" s="12" t="inlineStr">
        <is>
          <t>6-puntos F (CR, NO construir sin GO): cartera de apertura / refresco MENSUAL de la serie de cartera previa desde LoanTape (loantape_creditos hoy vacia; contrato de carga ya disenado). Cierra el gap estructural: motor sin estado de apertura -&gt; cohortes jul/ago reales fuera cuando mes_inicio = mes vigente (router.py:29-32); tras PTS6-A agosto proyecta ~$127M vs ~$142M del golden desde mayo. Capa ADITIVA, motor.py CERO diffs. Encaja con decision CEO 2026-08-10 (FABS D6: cartera se carga mes a mes).</t>
        </is>
      </c>
      <c r="E145" s="12" t="inlineStr">
        <is>
          <t>Claude Code + Andres</t>
        </is>
      </c>
      <c r="F145" s="12" t="inlineStr">
        <is>
          <t>Pendiente</t>
        </is>
      </c>
      <c r="H145" s="12" t="inlineStr">
        <is>
          <t>CR ESCRITO: docs/COMPAS_CR-PTS6F_Cartera_Apertura.md (borrador, registrado en hoja CRs). Propone regenerar la serie cartera_previa_recaudo desde loantape_creditos mes a mes (capa aditiva, motor cero diffs) para cerrar el hueco 127M-&gt;142M. 4 decisiones del CEO (Q1-Q4). Espera GO + gate Kimi antes de construir. Depende de que Liz cargue el LoanTape de SISMO-V3 (hoy loantape_creditos vacia).</t>
        </is>
      </c>
      <c r="I145" s="12" t="inlineStr">
        <is>
          <t>GATE-KIMI PTS6-F (CR motor-adyacente)</t>
        </is>
      </c>
    </row>
    <row r="146">
      <c r="A146" s="12" t="inlineStr">
        <is>
          <t>C2P-EXCEL-DIAN</t>
        </is>
      </c>
      <c r="B146" s="12" t="inlineStr">
        <is>
          <t>FABS</t>
        </is>
      </c>
      <c r="D146" s="12" t="inlineStr">
        <is>
          <t>C2 prima (acta FABS 2026-08-10): import masivo del Excel de documentos recibidos del portal DIAN al modulo IVA — facturas a nombre de RODDOS (gasto, IVA deducible por decidir). POST /facturas/cargar-excel + CargaPanel acepta .xlsx</t>
        </is>
      </c>
      <c r="E146" s="12" t="inlineStr">
        <is>
          <t>Andres</t>
        </is>
      </c>
      <c r="F146" s="12" t="inlineStr">
        <is>
          <t>Hecha</t>
        </is>
      </c>
      <c r="G146" s="12" t="inlineStr">
        <is>
          <t>2026-08-11</t>
        </is>
      </c>
      <c r="H146" s="12" t="inlineStr">
        <is>
          <t>Parser calibrado contra el export REAL (528 filas, 0 errores dry-run; 479 recibidas / 36 emitidas rechazadas / 13 no soportadas). Un solo camino de escritura con la ingesta PDF (persistir_factura_ingesta). 9 tests backend TDD + 3 frontend. MERGE con GATE-WAIVER (GO CEO 2026-08-11, hoja Gates); Kimi retroactivo pendiente. PR #90. LIMPIEZA OPCION A ejecutada en prod 2026-08-11 (GO CEO): respaldo JSON local de 140 facturas → borradas las 137 compras de la ingesta PDF (ventas E3 intactas; FIX-K no vive en esta coleccion) → import del Excel real: 479 creadas / 0 errores / 49 rechazadas con motivo. Estado final: 479 compras sin decidir + 3 ventas.</t>
        </is>
      </c>
    </row>
    <row r="147">
      <c r="A147" s="12" t="inlineStr">
        <is>
          <t>AUTECO-2NITS</t>
        </is>
      </c>
      <c r="B147" s="12" t="inlineStr">
        <is>
          <t>FABS</t>
        </is>
      </c>
      <c r="D147" s="12" t="inlineStr">
        <is>
          <t>Auteco factura con DOS NITs (860024781 historico + 890900317 AUTOTECNICA COLOMBIANA): NIT_AUTECO pasa a {'nits': [...]} con compatibilidad hacia atras; ingesta PDF e import Excel auto-deducen por pertenencia al conjunto.</t>
        </is>
      </c>
      <c r="E147" s="12" t="inlineStr">
        <is>
          <t>Andres</t>
        </is>
      </c>
      <c r="F147" s="12" t="inlineStr">
        <is>
          <t>Hecha</t>
        </is>
      </c>
      <c r="G147" s="12" t="inlineStr">
        <is>
          <t>2026-08-11</t>
        </is>
      </c>
      <c r="H147" s="12" t="inlineStr">
        <is>
          <t>TDD (7 tests rojo-&gt;verde), suite 934 passed + ruff limpio. PR #91 (merge 51961e8, GATE-WAIVER GO CEO 2026-08-11). OPS PROD auditadas: vigencia NIT_AUTECO 2026-08-11 con ambos NITs; 158 compras may-ago marcadas deducibles (actualizar_deducibilidad_lote, factura.actualizada por factura); origen=auteco en las 13 de Autotecnica. Liquidacion verificada: generado 150.651.484 - descontable 181.158.441 -&gt; neto 0, SALDO A FAVOR 30.506.957 (cuadra al peso con los 9 PDF Auteco).</t>
        </is>
      </c>
    </row>
    <row r="148">
      <c r="A148" s="12" t="inlineStr">
        <is>
          <t>SALDO-FAVOR-DECLARADO</t>
        </is>
      </c>
      <c r="B148" s="12" t="inlineStr">
        <is>
          <t>FABS</t>
        </is>
      </c>
      <c r="D148" s="12" t="inlineStr">
        <is>
          <t>Saldo a favor de la declaracion DIAN anterior a los datos de COMPAS: clave SALDO_FAVOR_IVA_DECLARADO ({aplica_desde, valor}); liquidar() lo usa como saldo_favor_previo del periodo configurado REEMPLAZANDO el arrastre derivado (sin doble conteo). Aplica en /liquidacion y en los egresos IVA de la proyeccion.</t>
        </is>
      </c>
      <c r="E148" s="12" t="inlineStr">
        <is>
          <t>Andres</t>
        </is>
      </c>
      <c r="F148" s="12" t="inlineStr">
        <is>
          <t>Hecha</t>
        </is>
      </c>
      <c r="G148" s="12" t="inlineStr">
        <is>
          <t>2026-08-11</t>
        </is>
      </c>
      <c r="H148" s="12" t="inlineStr">
        <is>
          <t>TDD (4 tests rojo-&gt;verde: nucleo x3 + endpoint). Sembrado en prod: 28.950.000 entra en may-ago 2026; liquidacion verificada: favor previo 28.950.000 -&gt; neto 0 -&gt; favor nuevo 59.456.957. GATE-WAIVER GO CEO 2026-08-11 (opcion A elegida en chat). PR pendiente de numero al momento de esta fila; evidencia en el merge.</t>
        </is>
      </c>
    </row>
    <row r="149">
      <c r="A149" s="12" t="inlineStr">
        <is>
          <t>PLAN-52</t>
        </is>
      </c>
      <c r="B149" s="12" t="inlineStr">
        <is>
          <t>FABS</t>
        </is>
      </c>
      <c r="D149" s="12" t="inlineStr">
        <is>
          <t>Segundo plan de pago por modelo de moto (78 o 52 cuotas), peso POR MODELO editable (default 70/30). Capa ADITIVA: _modelo_a_lineas expande cada modelo en una linea de motor por plan (mix = participacion x peso); motor.py CERO diffs, golden master intacto. CRUD/validaciones fail-closed + UI (tabla con los dos planes + dialogo de edicion).</t>
        </is>
      </c>
      <c r="E149" s="12" t="inlineStr">
        <is>
          <t>Andres</t>
        </is>
      </c>
      <c r="F149" s="12" t="inlineStr">
        <is>
          <t>Hecha</t>
        </is>
      </c>
      <c r="G149" s="12" t="inlineStr">
        <is>
          <t>2026-08-11</t>
        </is>
      </c>
      <c r="H149" s="12" t="inlineStr">
        <is>
          <t>TDD 10 tests nuevos (candados: sin plan2 = linea identica; particion no inventa plata; validaciones 422). Backend completo verde + golden master; frontend 257 verdes + build. Datos CEO aplicados en prod via servicio auditado: Raider 78=184.900/52=214.900 peso 0.70; Apache 78=224.900/52=284.900 peso 0.70; Sport 78=154.900 un solo plan. GATE-WAIVER GO CEO 2026-08-11; evidencia = PR del merge.</t>
        </is>
      </c>
    </row>
    <row r="150">
      <c r="A150" s="12" t="inlineStr">
        <is>
          <t>FIX-TORNADO</t>
        </is>
      </c>
      <c r="B150" s="12" t="inlineStr">
        <is>
          <t>FABS</t>
        </is>
      </c>
      <c r="D150" s="12" t="inlineStr">
        <is>
          <t>Bug CEO 2026-08-11: tornado de sensibilidad 'todo en $0'. Causa raiz: corria el motor CRUDO sin E1 anclaje ni D2 reconciliacion -&gt; el piso quedaba clavado en la caja del arranque (704,7M) mientras la pantalla ve el minimo real (492,5M feb-2027). Fix: las 14 corridas pasan por la misma tuberia motor-&gt;E1-&gt;D2 y el cache incluye la huella de las capas.</t>
        </is>
      </c>
      <c r="E150" s="12" t="inlineStr">
        <is>
          <t>Andres</t>
        </is>
      </c>
      <c r="F150" s="12" t="inlineStr">
        <is>
          <t>Hecha</t>
        </is>
      </c>
      <c r="G150" s="12" t="inlineStr">
        <is>
          <t>2026-08-11</t>
        </is>
      </c>
      <c r="H150" s="12" t="inlineStr">
        <is>
          <t>TDD (test rojo: piso tornado == piso_caja pantalla a 60m + factura D2 mueve el piso e invalida cache). Verificado contra PROD: piso 492.513.306 con deltas reales (colocacion +-10% -&gt; +150,4M/-178,6M). Suite 966 passed + ruff. PR #94 (merge f011ea5, GATE-WAIVER GO CEO 2026-08-11).</t>
        </is>
      </c>
    </row>
    <row r="151">
      <c r="A151" s="12" t="inlineStr">
        <is>
          <t>KIMI-B1-GUARD-APACHE</t>
        </is>
      </c>
      <c r="B151" s="12" t="inlineStr">
        <is>
          <t>FABS</t>
        </is>
      </c>
      <c r="D151" s="12" t="inlineStr">
        <is>
          <t>B-1 del gate Kimi 9.4 (obligatoria): documentar el riesgo del indice 1 de apache_por_mes + guard fail-loud en _armar_parametros (override con datos + algun modelo con plan 2 -&gt; ProyeccionError explicito, jamas indexacion silenciosa errada).</t>
        </is>
      </c>
      <c r="E151" s="12" t="inlineStr">
        <is>
          <t>Andres</t>
        </is>
      </c>
      <c r="F151" s="12" t="inlineStr">
        <is>
          <t>Hecha</t>
        </is>
      </c>
      <c r="G151" s="12" t="inlineStr">
        <is>
          <t>2026-08-13</t>
        </is>
      </c>
      <c r="H151" s="12" t="inlineStr">
        <is>
          <t>TDD (2 tests: con plan2 falla nombrando culpables; casos seguros pasan). motor.py cero diffs. Golden + proyeccion + sensibilidad verdes + ruff.</t>
        </is>
      </c>
    </row>
    <row r="152">
      <c r="A152" s="12" t="inlineStr">
        <is>
          <t>KIMI-B2-NIT-DIGITOS</t>
        </is>
      </c>
      <c r="B152" s="12" t="inlineStr">
        <is>
          <t>FABS</t>
        </is>
      </c>
      <c r="D152" s="12" t="inlineStr">
        <is>
          <t>B-2 del gate Kimi 9.4 (nit, OPCIONAL): validar formato solo-digitos de los NITs al guardar la config (NIT_RODDOS/NIT_AUTECO). Sin riesgo de dinero (matching por igualdad exacta = sin falso positivo); un typo = deduccion perdida visible.</t>
        </is>
      </c>
      <c r="E152" s="12" t="inlineStr">
        <is>
          <t>Andres</t>
        </is>
      </c>
      <c r="F152" s="12" t="inlineStr">
        <is>
          <t>Hecha</t>
        </is>
      </c>
      <c r="G152" s="12" t="inlineStr">
        <is>
          <t>2026-08-17</t>
        </is>
      </c>
      <c r="H152" s="12" t="inlineStr">
        <is>
          <t>Validador en el Document Configuracion (unico camino de escritura: semilla/migraciones/scripts): claves NIT_* exigen strings de SOLO digitos (sin DV/puntos/espacios) — fail-loud al escribir. TDD (2 tests, 5 casos malformados parametrizados). Aprovechado el outage de GitHub del 17-ago (trabajo local).</t>
        </is>
      </c>
    </row>
    <row r="153">
      <c r="A153" s="12" t="inlineStr">
        <is>
          <t>KIMI-B1-GUARD-APACHE</t>
        </is>
      </c>
      <c r="B153" s="12" t="inlineStr">
        <is>
          <t>FABS</t>
        </is>
      </c>
      <c r="D153" s="12" t="inlineStr">
        <is>
          <t>B-1 del gate Kimi 9.4 (obligatoria): documentar el riesgo del indice 1 de apache_por_mes + guard fail-loud en _armar_parametros (override con datos + algun modelo con plan 2 -&gt; ProyeccionError explicito, jamas indexacion silenciosa errada).</t>
        </is>
      </c>
      <c r="E153" s="12" t="inlineStr">
        <is>
          <t>Andres</t>
        </is>
      </c>
      <c r="F153" s="12" t="inlineStr">
        <is>
          <t>Hecha</t>
        </is>
      </c>
      <c r="G153" s="12" t="inlineStr">
        <is>
          <t>2026-08-13</t>
        </is>
      </c>
      <c r="H153" s="12" t="inlineStr">
        <is>
          <t>TDD (2 tests: con plan2 falla nombrando culpables; casos seguros pasan). motor.py cero diffs. Golden + proyeccion + sensibilidad verdes + ruff.</t>
        </is>
      </c>
    </row>
    <row r="154">
      <c r="A154" s="12" t="inlineStr">
        <is>
          <t>KIMI-B2-NIT-DIGITOS</t>
        </is>
      </c>
      <c r="B154" s="12" t="inlineStr">
        <is>
          <t>FABS</t>
        </is>
      </c>
      <c r="D154" s="12" t="inlineStr">
        <is>
          <t>B-2 del gate Kimi 9.4 (nit, OPCIONAL): validar formato solo-digitos de los NITs al guardar la config (NIT_RODDOS/NIT_AUTECO). Sin riesgo de dinero (matching por igualdad exacta = sin falso positivo); un typo = deduccion perdida visible.</t>
        </is>
      </c>
      <c r="E154" s="12" t="inlineStr">
        <is>
          <t>Andres</t>
        </is>
      </c>
      <c r="F154" s="12" t="inlineStr">
        <is>
          <t>Pendiente</t>
        </is>
      </c>
      <c r="H154" s="12" t="inlineStr">
        <is>
          <t>Backlog declarado en el gate 9.4.</t>
        </is>
      </c>
    </row>
    <row r="155">
      <c r="A155" s="12" t="inlineStr">
        <is>
          <t>G1C-CI-VERDE</t>
        </is>
      </c>
      <c r="B155" s="12" t="inlineStr">
        <is>
          <t>G1</t>
        </is>
      </c>
      <c r="D155" s="12" t="inlineStr">
        <is>
          <t>G1c: restaurar el CI y decidir el required check de backend. El CI estuvo ciego del 12 al 17-ago (budget de Actions bloqueado por cargo bancario rechazado); al destrabarlo (CEO + banco) el primer run revelo deuda: ruff format x10 archivos, biome x5 (incl. noArrayIndexKey PanelDividir, fix real con key estable) y gitleaks x2 (canario sembrado a proposito el 20-jul, commit 6842af5b, claves EJEMPLO de AWS + falso positivo plan2_cuota_semanal -&gt; allowlist quirurgico).</t>
        </is>
      </c>
      <c r="E155" s="12" t="inlineStr">
        <is>
          <t>Andres</t>
        </is>
      </c>
      <c r="F155" s="12" t="inlineStr">
        <is>
          <t>Hecha</t>
        </is>
      </c>
      <c r="G155" s="12" t="inlineStr">
        <is>
          <t>2026-08-17</t>
        </is>
      </c>
      <c r="H155" s="12" t="inlineStr">
        <is>
          <t>CI 6/6 VERDE en main (94487d2) — primero desde el 12-ago. Required check BLOQUEADO por plan GitHub (403 'Upgrade' en branch protection Y rulesets: repo privado + org Free). DECISION CEO 2026-08-17: CI como SEMAFORO NO BLOQUEANTE (sin costo); control compensatorio = verificar el verde antes de cada merge. Alternativa documentada: GitHub Team US$4/mes habilita el check duro. Para el acta de G1 de Kimi.</t>
        </is>
      </c>
    </row>
    <row r="156">
      <c r="A156" s="12" t="inlineStr">
        <is>
          <t>SUP-1</t>
        </is>
      </c>
      <c r="B156" s="12" t="inlineStr">
        <is>
          <t>FABS</t>
        </is>
      </c>
      <c r="D156" s="12" t="inlineStr">
        <is>
          <t>Bug CEO 2026-08-17: 'la mora no impacta en ninguna via'. Causa raiz: el preset del escenario pisaba pct_mora/pct_recuperacion y 'base' esta en los presets -&gt; los supuestos del CEO se descartaban SIEMPRE (prod: 8%/65% configurado, motor usando 3%/40%). Regla nueva: supuestos = NIVEL, escenario = DESVIO (delta en puntos a los 3 escenarios, acotado 0..1). + CAPACIDAD crecimiento por TRAMOS (crec_pct_mensual_2 + crec_mes_corte, aditivos al motor) + filtro de tiempo de la grafica con granularidad corta 3/6/9/12/15 en Proyecciones e INICIO.</t>
        </is>
      </c>
      <c r="E156" s="12" t="inlineStr">
        <is>
          <t>Andres</t>
        </is>
      </c>
      <c r="F156" s="12" t="inlineStr">
        <is>
          <t>Hecha</t>
        </is>
      </c>
      <c r="G156" s="12" t="inlineStr">
        <is>
          <t>2026-08-17</t>
        </is>
      </c>
      <c r="H156" s="12" t="inlineStr">
        <is>
          <t>TDD 13 backend + 6 frontend (rojo-&gt;verde). Backend 991 passed + ruff check/format; frontend 263 + build + biome; GOLDEN MASTER VERDE (motor aditivo con defaults None). Efecto en PROD verificado: piso 516.875.514 -&gt; 474.079.781, caja 36m -6.064.221.961; escenarios optimista 6,5% / base 8% / pesimista 11%; tramo 18-&gt;3% baja motos mes 36 de 10.054 a 1.384. Barrido de los 19 supuestos: provision/costo alistamiento/umbral NO son bugs (verificado). PR #96 (merge f5091ff, GATE-WAIVER GO CEO 2026-08-17).</t>
        </is>
      </c>
    </row>
    <row r="157">
      <c r="A157" s="12" t="inlineStr">
        <is>
          <t>SUP-2</t>
        </is>
      </c>
      <c r="B157" s="12" t="inlineStr">
        <is>
          <t>FABS</t>
        </is>
      </c>
      <c r="D157" s="12" t="inlineStr">
        <is>
          <t>Cuatro variables clavadas en el codigo ahora se editan: mora/recuperacion de los 3 escenarios (vivian en PRESETS_ESCENARIO), rezago de la recuperacion de mora (v9.1 recupera la del mes anterior), % de prefondeo del IVA y fondo AVAL propio (% del recaudo, egreso nuevo).</t>
        </is>
      </c>
      <c r="E157" s="12" t="inlineStr">
        <is>
          <t>Andres</t>
        </is>
      </c>
      <c r="F157" s="12" t="inlineStr">
        <is>
          <t>Hecha</t>
        </is>
      </c>
      <c r="G157" s="12" t="inlineStr">
        <is>
          <t>2026-08-22</t>
        </is>
      </c>
      <c r="H157" s="12" t="inlineStr">
        <is>
          <t>TDD 15 tests (rojo-&gt;verde). Aditivo: cada default reproduce la proyeccion anterior; rango [0,1] fail-closed en dominio Y router. Backend 1072 + frontend 263 + golden master. PR #97 (merge 0f391e8). SEMBRADO en prod: pesimista 14%/50%, optimista 4%/90% (v9.1); base 5%/65% del CEO intacto. Efecto: piso pesimista 406,7M -&gt; 213,98M.</t>
        </is>
      </c>
    </row>
    <row r="158">
      <c r="A158" s="12" t="inlineStr">
        <is>
          <t>SUP-3</t>
        </is>
      </c>
      <c r="B158" s="12" t="inlineStr">
        <is>
          <t>FABS</t>
        </is>
      </c>
      <c r="D158" s="12" t="inlineStr">
        <is>
          <t>El IVA de las ventas FUTURAS entra a la proyeccion (modelo v9.1 de Fabian): modulo puro app/iva/proyectado.py que convierte la colocacion en FacturaIva sinteticas para el liquidador EXISTENTE. Tarifa por dato (TARIFA_IVA, 19% default). Candado: un mes con dato real no se proyecta.</t>
        </is>
      </c>
      <c r="E158" s="12" t="inlineStr">
        <is>
          <t>Andres</t>
        </is>
      </c>
      <c r="F158" s="12" t="inlineStr">
        <is>
          <t>Hecha</t>
        </is>
      </c>
      <c r="G158" s="12" t="inlineStr">
        <is>
          <t>2026-08-22</t>
        </is>
      </c>
      <c r="H158" s="12" t="inlineStr">
        <is>
          <t>TDD 9 tests (rojo-&gt;verde). Backend 1119 + golden master + ruff. PR #98 (merge 08d6979). Efecto medido en prod: la liquidacion pasa de 2 periodos (ambos $0) a 11 con IVA a pagar (2027-C1 71,9M ... 2029-C2 768,8M). Con el CALENDARIO_DIAN extendido a 2027-2030 (sembrado, fechas estimadas may/sep/ene) son 8 egresos que ya golpean la caja.</t>
        </is>
      </c>
    </row>
    <row r="159">
      <c r="A159" s="12" t="inlineStr">
        <is>
          <t>SUP-4</t>
        </is>
      </c>
      <c r="B159" s="12" t="inlineStr">
        <is>
          <t>FABS</t>
        </is>
      </c>
      <c r="D159" s="12" t="inlineStr">
        <is>
          <t>Carga semanal del cronograma: POST /cartera-previa/cargar-cronograma agrega la cartera ya originada a la serie semanal del motor (NO guarda las ~9.900 cuotas: ~82 semanas) y deja la rampa del MES EN CURSO en el remanente hacia la meta. Tarjeta (10) en Supuestos.</t>
        </is>
      </c>
      <c r="E159" s="12" t="inlineStr">
        <is>
          <t>Andres</t>
        </is>
      </c>
      <c r="F159" s="12" t="inlineStr">
        <is>
          <t>Hecha</t>
        </is>
      </c>
      <c r="G159" s="12" t="inlineStr">
        <is>
          <t>2026-08-22</t>
        </is>
      </c>
      <c r="H159" s="12" t="inlineStr">
        <is>
          <t>TDD 21 tests (14 parser + 7 endpoint). Fail-closed: archivo vacio NO pisa la cartera; idempotente (reemplaza la foto). Verificado contra el cronograma REAL (9.879 cuotas): 196 creditos, 82 semanas, 1.758.647.416 por cobrar, 44.413.948 vencidos en 141 creditos, 0 errores, rampa {2026-08: 35} = identico al calculo manual. Backend 1142 + frontend 263. PR #99 (merge 30235bc).</t>
        </is>
      </c>
    </row>
    <row r="160">
      <c r="A160" s="12" t="inlineStr">
        <is>
          <t>SUP-5</t>
        </is>
      </c>
      <c r="B160" s="12" t="inlineStr">
        <is>
          <t>FABS</t>
        </is>
      </c>
      <c r="D160" s="12" t="inlineStr">
        <is>
          <t>La grafica se explica a si misma (CEO 2026-08-23): la proyeccion exponia el RESULTADO pero esconde el POR QUE. Ahora (a) cada mes trae mora/recuperacion/default por separado (el motor ya los calculaba, viajaban sumados dentro de neto), (b) la respuesta trae los SUPUESTOS EFECTIVOS del escenario en pantalla (con SUP-2 cada escenario tiene su propia mora), (c) tarjeta "Que compone este resultado" en Proyecciones + motos/creditos activos bajo cada mes de la tabla + desglose de cartera en la fila expandible. Honestidad: un mes ANCLADO a la ejecucion real no muestra mora paramétrica (su ingreso sale del libro).</t>
        </is>
      </c>
      <c r="E160" s="12" t="inlineStr">
        <is>
          <t>Andres</t>
        </is>
      </c>
      <c r="F160" s="12" t="inlineStr">
        <is>
          <t>Hecha</t>
        </is>
      </c>
      <c r="G160" s="12" t="inlineStr">
        <is>
          <t>2026-08-23</t>
        </is>
      </c>
      <c r="H160" s="12" t="inlineStr">
        <is>
          <t>MERGEADO en PR #100 junto al ciclo mensual. TDD 13 backend + 8 frontend; motor aditivo (3 campos con default 0.00) y golden master verde.</t>
        </is>
      </c>
    </row>
    <row r="161">
      <c r="A161" s="12" t="inlineStr">
        <is>
          <t>CICLO-MENSUAL</t>
        </is>
      </c>
      <c r="B161" s="12" t="inlineStr">
        <is>
          <t>FABS</t>
        </is>
      </c>
      <c r="D161" s="12" t="inlineStr">
        <is>
          <t>Ciclo mensual (8 piezas) — cerrar el tejido entre la caja real, el objetivo del mes y el recalculo de la proyeccion. Contrato aprobado por el CEO ANTES de construir (docs/COMPAS_Ciclo_Mensual.md) + roadmap vivo (docs/COMPAS_CICLO_ROADMAP.md). P1 candado aritmetico (4 formulas en TODOS los meses) · P2 el arranque se hereda del efectivo real del cierre · P3 el primer mes acumula su flujo (quita la excepcion del artefacto) · P4 el mes en curso es el OBJETIVO (supersede D-08/Regla A y la automatizacion de la rampa de SUP-4, que le pisaba la meta al CEO) · P5 el cronograma del mes completo + regla de no-solape · P6 termometro de desviacion (colocaciones/ingreso/gasto reales al lado, sin tocar la curva) · P7 el gasto real de los 3 meses cerrados SUGIERE el supuesto. Ademas P0: la mora solo sobre cuotas semanales.</t>
        </is>
      </c>
      <c r="E161" s="12" t="inlineStr">
        <is>
          <t>Andres</t>
        </is>
      </c>
      <c r="F161" s="12" t="inlineStr">
        <is>
          <t>Hecha</t>
        </is>
      </c>
      <c r="G161" s="12" t="inlineStr">
        <is>
          <t>2026-08-23</t>
        </is>
      </c>
      <c r="H161" s="12" t="inlineStr">
        <is>
          <t>PR #100. Backend 1220 passed / 0 failed; frontend 286 + build; golden master verde. El candado cazo 2 defectos reales: el fondo de aval que desaparecia al anclar un mes (546.241,68 en agosto de PROD) y la automatizacion de SUP-4 que pisaba la meta del CEO. Verificado al peso contra PROD: arranque 704.722.003 -&gt; 665.715.578 (cierre real de julio), egresos -240.209.500 -&gt; -240.755.741,68, neto 105.324.084,52 -&gt; 112.333.009,52; con la serie del mes completo y meta 60, agosto = 252.783.377,70 de ingreso neto y el candado cierra: 665.715.578 + 10.960.918,40 = 676.676.496,40.</t>
        </is>
      </c>
    </row>
    <row r="162">
      <c r="A162" s="12" t="inlineStr">
        <is>
          <t>KIMI-E75-0-4</t>
        </is>
      </c>
      <c r="B162" s="12" t="inlineStr">
        <is>
          <t>FABS</t>
        </is>
      </c>
      <c r="D162" s="12" t="inlineStr">
        <is>
          <t>Items 0 y 4 de la cola Kimi etapa75 (GO CEO 2026-08-24). Item 0: la costura del aval, lado frontend — egreso.ts no conocia `aval` (nacio en SUP-2, posterior al mapeo de buckets aprobado 2026-07-27): tabla y grafico omitian ese egreso y no reconciliaban con el flujo por exactamente el aval (546.241,68 en agosto de PROD). Gasto = fijos+gps+int_deuda+iva+AVAL, con candado de reconciliacion. Item 4: la convencion de la columna Caja, declarada — «Caja al cerrar» + desglose Inicia/Flujo/Cierra por mes + tarjeta del mes en curso con «arranca con X (efectivo real del cierre anterior) y cerraria en Y» (si el arranque es semilla, lo dice). Resuelve la ambiguedad inicio/fin que el CEO detecto en la pantalla.</t>
        </is>
      </c>
      <c r="E162" s="12" t="inlineStr">
        <is>
          <t>Andres</t>
        </is>
      </c>
      <c r="F162" s="12" t="inlineStr">
        <is>
          <t>Hecha</t>
        </is>
      </c>
      <c r="G162" s="12" t="inlineStr">
        <is>
          <t>2026-08-24</t>
        </is>
      </c>
      <c r="H162" s="12" t="inlineStr">
        <is>
          <t>MERGEADO en PR #102 (408639a9), CI 8/8 verde. Frontend 293 passed + build + biome. Solo frontend (el payload ya traia arranque y aval). Quedan de la cola e75: 1/3 (esperan etapa73), 5 (contador), 6 (LoanTape CEO), 7 (RETRO SUP-2..SUP-6 — sin evoluciones del motor hasta ese gate).</t>
        </is>
      </c>
    </row>
    <row r="163">
      <c r="A163" s="12" t="inlineStr">
        <is>
          <t>KIMI-E75-7-RETRO</t>
        </is>
      </c>
      <c r="B163" s="12" t="inlineStr">
        <is>
          <t>FABS</t>
        </is>
      </c>
      <c r="D163" s="12" t="inlineStr">
        <is>
          <t>Item 7 de la cola Kimi etapa75: paquete del RETRO-GATE SUP-2 -&gt; ciclo mensual (commits 0f391e8..d604556, PRs #97-#100 #102). Diff completo del motor y sus capas (1.571 lineas), salidas de tests frescas (118 del alcance + 1220 suite + 293 front), los 2 defectos que cazo el candado, foto read-only de PROD con el candado al peso (665.715.578 - 70.532.363,52 = 595.183.214,48), tabla de flags default-artefacto vs producto, y 6 puntos a auditar con lupa. Incluye solicitud a Kimi de re-enunciar los items 1 y 3 (el CEO no tiene el archivo etapa73). REGLA vigente hasta el gate: ninguna evolucion mas del motor.</t>
        </is>
      </c>
      <c r="E163" s="12" t="inlineStr">
        <is>
          <t>Andres</t>
        </is>
      </c>
      <c r="F163" s="12" t="inlineStr">
        <is>
          <t>En curso</t>
        </is>
      </c>
      <c r="H163" s="12" t="inlineStr">
        <is>
          <t>PAQUETE.pdf listo en planning/phases/ciclo-mensual/auditorias/RETRO-I/. Falta: el CEO lo sube a Kimi y pega la respuesta en RESPUESTA.md de la misma carpeta.</t>
        </is>
      </c>
    </row>
    <row r="164">
      <c r="A164" s="18" t="inlineStr">
        <is>
          <t>F0-1</t>
        </is>
      </c>
      <c r="B164" s="18" t="inlineStr">
        <is>
          <t>2.0 · Fase 0</t>
        </is>
      </c>
      <c r="C164" s="18" t="n"/>
      <c r="D164" s="22" t="inlineStr">
        <is>
          <t>spec-miner: registro de capacidades C1–C11 (docs/CAPACIDADES.md) con evidencia real (módulo, tests, ruta de front, carpeta de gate)</t>
        </is>
      </c>
      <c r="E164" s="18" t="inlineStr">
        <is>
          <t>Andrés</t>
        </is>
      </c>
      <c r="F164" s="18" t="inlineStr">
        <is>
          <t>Hecha</t>
        </is>
      </c>
      <c r="G164" s="18" t="inlineStr">
        <is>
          <t>2026-08-27</t>
        </is>
      </c>
      <c r="H164" s="22" t="inlineStr">
        <is>
          <t>docs/CAPACIDADES.md — registro C1–C11 spec-minado (4 agentes Explore). Hallazgo: C7/C8/C10/C11 estaban ✅ en código pese a figurar ❌ en PROJECT.md; C9 parcial (sin pantalla)</t>
        </is>
      </c>
      <c r="I164" s="18" t="n"/>
    </row>
    <row r="165">
      <c r="A165" s="18" t="inlineStr">
        <is>
          <t>F0-2</t>
        </is>
      </c>
      <c r="B165" s="18" t="inlineStr">
        <is>
          <t>2.0 · Fase 0</t>
        </is>
      </c>
      <c r="C165" s="18" t="n"/>
      <c r="D165" s="22" t="inlineStr">
        <is>
          <t>Candado del motor: golden-master de proyectar() OBLIGATORIO en CI para todo PR que toque backend/app/proyeccion/</t>
        </is>
      </c>
      <c r="E165" s="18" t="inlineStr">
        <is>
          <t>Andrés</t>
        </is>
      </c>
      <c r="F165" s="18" t="inlineStr">
        <is>
          <t>Hecha</t>
        </is>
      </c>
      <c r="G165" s="18" t="inlineStr">
        <is>
          <t>2026-08-27</t>
        </is>
      </c>
      <c r="H165" s="22" t="inlineStr">
        <is>
          <t>docs/CANDADO_MOTOR.md + jobs golden-master y motor-parity-guard en .github/workflows/ci.yml. Falta marcar required en branch protection (paso CEO)</t>
        </is>
      </c>
      <c r="I165" s="18" t="n"/>
    </row>
    <row r="166">
      <c r="A166" s="18" t="inlineStr">
        <is>
          <t>F0-3</t>
        </is>
      </c>
      <c r="B166" s="18" t="inlineStr">
        <is>
          <t>2.0 · Fase 0</t>
        </is>
      </c>
      <c r="C166" s="18" t="n"/>
      <c r="D166" s="22" t="inlineStr">
        <is>
          <t>DESIGN.md (RV-V1): 8 reglas de gráficos + paleta de marca como tokens, derivada de src/index.css</t>
        </is>
      </c>
      <c r="E166" s="18" t="inlineStr">
        <is>
          <t>Andrés</t>
        </is>
      </c>
      <c r="F166" s="18" t="inlineStr">
        <is>
          <t>Hecha</t>
        </is>
      </c>
      <c r="G166" s="18" t="inlineStr">
        <is>
          <t>2026-08-27</t>
        </is>
      </c>
      <c r="H166" s="22" t="inlineStr">
        <is>
          <t>docs/DESIGN.md — 8 reglas de gramática + paleta como tokens derivada de src/index.css + tokens de rol para RV-V2</t>
        </is>
      </c>
      <c r="I166" s="18" t="n"/>
    </row>
    <row r="167">
      <c r="A167" s="18" t="inlineStr">
        <is>
          <t>AND-1</t>
        </is>
      </c>
      <c r="B167" s="18" t="inlineStr">
        <is>
          <t>2.0 · Fase 0</t>
        </is>
      </c>
      <c r="C167" s="18" t="n"/>
      <c r="D167" s="22" t="inlineStr">
        <is>
          <t>Andamio: SkillSpector/AgentShield — escanear toda skill/herramienta antes de instalar</t>
        </is>
      </c>
      <c r="E167" s="18" t="inlineStr">
        <is>
          <t>Andrés</t>
        </is>
      </c>
      <c r="F167" s="18" t="inlineStr">
        <is>
          <t>Hecha</t>
        </is>
      </c>
      <c r="G167" s="18" t="inlineStr">
        <is>
          <t>2026-08-31</t>
        </is>
      </c>
      <c r="H167" s="22" t="inlineStr">
        <is>
          <t>docs/COMPAS_2.0_AND_1_SKILLSPECTOR.md · checklist SkillSpector + AgentShield + log de skills instaladas</t>
        </is>
      </c>
      <c r="I167" s="18" t="n"/>
    </row>
    <row r="168">
      <c r="A168" s="18" t="inlineStr">
        <is>
          <t>AND-2</t>
        </is>
      </c>
      <c r="B168" s="18" t="inlineStr">
        <is>
          <t>2.0 · Fase 0</t>
        </is>
      </c>
      <c r="C168" s="18" t="n"/>
      <c r="D168" s="22" t="inlineStr">
        <is>
          <t>Andamio: ECC por proyecto (perfil core, hooks apagados, solo reglas de Python, tag fijado)</t>
        </is>
      </c>
      <c r="E168" s="18" t="inlineStr">
        <is>
          <t>Andrés</t>
        </is>
      </c>
      <c r="F168" s="18" t="inlineStr">
        <is>
          <t>Hecha</t>
        </is>
      </c>
      <c r="G168" s="18" t="inlineStr">
        <is>
          <t>2026-08-31</t>
        </is>
      </c>
      <c r="H168" s="22" t="inlineStr">
        <is>
          <t>.claude/settings.json · ECC allow/ask/deny + hooks apagados + $fijados (python 3.12 / node 22 / mongodb 7)</t>
        </is>
      </c>
      <c r="I168" s="18" t="n"/>
    </row>
    <row r="169">
      <c r="A169" s="18" t="inlineStr">
        <is>
          <t>AND-3</t>
        </is>
      </c>
      <c r="B169" s="18" t="inlineStr">
        <is>
          <t>2.0 · Fase 0</t>
        </is>
      </c>
      <c r="C169" s="18" t="n"/>
      <c r="D169" s="22" t="inlineStr">
        <is>
          <t>Andamio: skills spec-miner + tdd-guide instaladas (mapa código→capacidades; protege el golden-master)</t>
        </is>
      </c>
      <c r="E169" s="18" t="inlineStr">
        <is>
          <t>Andrés</t>
        </is>
      </c>
      <c r="F169" s="18" t="inlineStr">
        <is>
          <t>Hecha</t>
        </is>
      </c>
      <c r="G169" s="18" t="inlineStr">
        <is>
          <t>2026-08-31</t>
        </is>
      </c>
      <c r="H169" s="22" t="inlineStr">
        <is>
          <t>.claude/skills/spec-miner.md (5 pasos: enunciar/enfoques/simple/mapa evidencia/TDD) + .claude/skills/tdd-guide.md (RED-GREEN + reglas COMPAS motor intocable + golden-master)</t>
        </is>
      </c>
      <c r="I169" s="18" t="n"/>
    </row>
    <row r="170">
      <c r="A170" s="18" t="inlineStr">
        <is>
          <t>AND-4</t>
        </is>
      </c>
      <c r="B170" s="18" t="inlineStr">
        <is>
          <t>2.0 · Fase 0</t>
        </is>
      </c>
      <c r="C170" s="18" t="n"/>
      <c r="D170" s="22" t="inlineStr">
        <is>
          <t>Andamio: chrome-devtools-mcp (ojos) + tweakcn (tokens de marca)</t>
        </is>
      </c>
      <c r="E170" s="18" t="inlineStr">
        <is>
          <t>Andrés</t>
        </is>
      </c>
      <c r="F170" s="18" t="inlineStr">
        <is>
          <t>Hecha</t>
        </is>
      </c>
      <c r="G170" s="18" t="inlineStr">
        <is>
          <t>2026-08-31</t>
        </is>
      </c>
      <c r="H170" s="22" t="inlineStr">
        <is>
          <t>docs/COMPAS_2.0_AND_4_HERRAMIENTAS.md · Browser MCP con dominios permitidos + tweakcn para RV-V3/V4/V5/V10 + Playwright/Selenium fuera</t>
        </is>
      </c>
      <c r="I170" s="18" t="n"/>
    </row>
    <row r="171">
      <c r="A171" s="18" t="inlineStr">
        <is>
          <t>AND-5</t>
        </is>
      </c>
      <c r="B171" s="18" t="inlineStr">
        <is>
          <t>2.0 · Fase 0</t>
        </is>
      </c>
      <c r="C171" s="18" t="n"/>
      <c r="D171" s="22" t="inlineStr">
        <is>
          <t>Andamio: Semgrep + Trivy + lost-pixel/axe integrados al CI (se activan como gates)</t>
        </is>
      </c>
      <c r="E171" s="18" t="inlineStr">
        <is>
          <t>Andrés</t>
        </is>
      </c>
      <c r="F171" s="18" t="inlineStr">
        <is>
          <t>Hecha</t>
        </is>
      </c>
      <c r="G171" s="18" t="inlineStr">
        <is>
          <t>2026-08-31</t>
        </is>
      </c>
      <c r="H171" s="22" t="inlineStr">
        <is>
          <t>Candado del método operativo: G-GM required en branch protection (PR #136) + G-SEMGREP + G-TRIVY + G-AXE activos en CI (PRs #136/#137)</t>
        </is>
      </c>
      <c r="I171" s="18" t="n"/>
    </row>
    <row r="172">
      <c r="A172" s="18" t="inlineStr">
        <is>
          <t>RF-F1</t>
        </is>
      </c>
      <c r="B172" s="18" t="inlineStr">
        <is>
          <t>2.0 · Funcional</t>
        </is>
      </c>
      <c r="C172" s="18" t="n"/>
      <c r="D172" s="22" t="inlineStr">
        <is>
          <t>Reglas sembradas con patrones reales: semilla desde Base real egresos; «Por clasificar» deja de ser el mayor rubro; ≥90% clasificados; sello clasificada_por/at + regla_id</t>
        </is>
      </c>
      <c r="E172" s="18" t="inlineStr">
        <is>
          <t>Andrés</t>
        </is>
      </c>
      <c r="F172" s="18" t="inlineStr">
        <is>
          <t>Hecha</t>
        </is>
      </c>
      <c r="G172" s="18" t="inlineStr">
        <is>
          <t>2026-08-27</t>
        </is>
      </c>
      <c r="H172" s="22" t="inlineStr">
        <is>
          <t>129 reglas aprendidas de la curaduría (1684 movs), sembradas+activadas en PROD (migraciones 20260827); endpoints GET/POST semilla + pantalla /reglas/semilla; AC medida 98,5%→99,2%. PR #115. TDD</t>
        </is>
      </c>
      <c r="I172" s="18" t="n"/>
    </row>
    <row r="173">
      <c r="A173" s="18" t="inlineStr">
        <is>
          <t>RF-F2</t>
        </is>
      </c>
      <c r="B173" s="18" t="inlineStr">
        <is>
          <t>2.0 · Funcional</t>
        </is>
      </c>
      <c r="C173" s="18" t="n"/>
      <c r="D173" s="22" t="inlineStr">
        <is>
          <t>Costura presupuesto→proyección: Ajuste.rubro_id entra al cálculo; aprobar el mes genera ajustes (D-2) y serie versionada; golden-master intacto</t>
        </is>
      </c>
      <c r="E173" s="18" t="inlineStr">
        <is>
          <t>Andrés</t>
        </is>
      </c>
      <c r="F173" s="18" t="inlineStr">
        <is>
          <t>Hecha</t>
        </is>
      </c>
      <c r="G173" s="18" t="inlineStr">
        <is>
          <t>2026-08-28</t>
        </is>
      </c>
      <c r="H173" s="22" t="inlineStr">
        <is>
          <t>Hallazgo: la costura ya existía (capa E1). RF-F2 = solo la serie versionada: ProyeccionVersion inmutable + snapshot post-commit al aprobar (best-effort) + endpoints /version y /version/diff + callout en /proyeccion. Motor intacto (golden verde). TDD 8 backend + 2 frontend; sanity 67/67 backend, 297/297 frontend. PR #115</t>
        </is>
      </c>
      <c r="I173" s="18" t="n"/>
    </row>
    <row r="174">
      <c r="A174" s="18" t="inlineStr">
        <is>
          <t>RF-F3</t>
        </is>
      </c>
      <c r="B174" s="18" t="inlineStr">
        <is>
          <t>2.0 · Funcional</t>
        </is>
      </c>
      <c r="C174" s="18" t="n"/>
      <c r="D174" s="22" t="inlineStr">
        <is>
          <t>Objetivo como regla de valles: umbral de atención administrable (D-1); valle como entidad (entrada/fondo/salida/profundidad/duración); 2 clases de alerta; reusa valles.py</t>
        </is>
      </c>
      <c r="E174" s="18" t="inlineStr">
        <is>
          <t>Andrés</t>
        </is>
      </c>
      <c r="F174" s="18" t="inlineStr">
        <is>
          <t>Hecha</t>
        </is>
      </c>
      <c r="G174" s="18" t="inlineStr">
        <is>
          <t>2026-08-28</t>
        </is>
      </c>
      <c r="H174" s="22" t="inlineStr">
        <is>
          <t>P1+P2+P3a+P3b — umbral atención admin. + valle entrada/salida/duración + estado ámbar + chips nuevo/más profundo vs. última aprobación. Motor con etiqueta motor-parity-reviewed; golden-master verde. PR #115.</t>
        </is>
      </c>
      <c r="I174" s="18" t="n"/>
    </row>
    <row r="175">
      <c r="A175" s="18" t="inlineStr">
        <is>
          <t>RF-F4</t>
        </is>
      </c>
      <c r="B175" s="18" t="inlineStr">
        <is>
          <t>2.0 · Funcional</t>
        </is>
      </c>
      <c r="C175" s="18" t="n"/>
      <c r="D175" s="22" t="inlineStr">
        <is>
          <t>Techo de gasto en ventana: techo_gasto_ventana(mes_inicio, ventana=9, referencia) — bandera roja si el valle dentro de la ventana perfora la atención</t>
        </is>
      </c>
      <c r="E175" s="18" t="inlineStr">
        <is>
          <t>Andrés</t>
        </is>
      </c>
      <c r="F175" s="18" t="inlineStr">
        <is>
          <t>Hecha</t>
        </is>
      </c>
      <c r="G175" s="18" t="inlineStr">
        <is>
          <t>2026-08-29</t>
        </is>
      </c>
      <c r="H175" s="22" t="inlineStr">
        <is>
          <t>techo_gasto_ventana(ventana=9, referencia=atención) — mide contra el umbral D-1 en solo los primeros N meses; levanta bandera roja cuando el valle CERCANO perfora la atención aunque el horizonte cierre bien. Endpoint /proyeccion/resolver acepta objetivo=techo_gasto_ventana + ventana_meses. UI: TechoVentanaCard al lado del techo clásico. Motor intocado; golden-master verde. 8 tests backend + 4 frontend.</t>
        </is>
      </c>
      <c r="I175" s="18" t="n"/>
    </row>
    <row r="176">
      <c r="A176" s="18" t="inlineStr">
        <is>
          <t>RF-F5</t>
        </is>
      </c>
      <c r="B176" s="18" t="inlineStr">
        <is>
          <t>2.0 · Funcional</t>
        </is>
      </c>
      <c r="C176" s="18" t="n"/>
      <c r="D176" s="22" t="inlineStr">
        <is>
          <t>Solvers dentro de la app: techo, objetivo de venta (goal_seek) y unidades (solver_unidades) en la cabina y en proyección; cada alerta de valle con sus 3 palancas</t>
        </is>
      </c>
      <c r="E176" s="18" t="inlineStr">
        <is>
          <t>Andrés</t>
        </is>
      </c>
      <c r="F176" s="18" t="inlineStr">
        <is>
          <t>Hecha</t>
        </is>
      </c>
      <c r="G176" s="18" t="inlineStr">
        <is>
          <t>2026-08-30</t>
        </is>
      </c>
      <c r="H176" s="22" t="inlineStr">
        <is>
          <t>PR mergeado en main (6288c00). Cada valle llega con sus 3 palancas: recorte_gasto (goal_seek gasto_absoluto), ingreso_extra (goal_seek ingreso_absoluto), unidades_extra (stub honesto disponible=False, cálculo en FABS). _palancas_por_valle en proyeccion/service.py. Fundacional §2 must #5.</t>
        </is>
      </c>
      <c r="I176" s="18" t="n"/>
    </row>
    <row r="177">
      <c r="A177" s="18" t="inlineStr">
        <is>
          <t>RF-F6</t>
        </is>
      </c>
      <c r="B177" s="18" t="inlineStr">
        <is>
          <t>2.0 · Funcional</t>
        </is>
      </c>
      <c r="C177" s="18" t="n"/>
      <c r="D177" s="22" t="inlineStr">
        <is>
          <t>Cargas idempotentes por huella — antes de que entre Bancolombia en septiembre</t>
        </is>
      </c>
      <c r="E177" s="18" t="inlineStr">
        <is>
          <t>Andrés</t>
        </is>
      </c>
      <c r="F177" s="18" t="inlineStr">
        <is>
          <t>Hecha</t>
        </is>
      </c>
      <c r="G177" s="18" t="inlineStr">
        <is>
          <t>2026-08-30</t>
        </is>
      </c>
      <c r="H177" s="22" t="inlineStr">
        <is>
          <t>Índice único parcial (banco, archivo_hash) WHERE estado=completada endurece la idempotencia por huella (SHA-256, ya existía) contra RACES concurrentes. Antes: dedup solo por consulta con read_concern=majority. Ahora: candado de BD adicional; DuplicateKeyError y RevisionIdWasChanged (Beanie envuelve) se traducen a CargaDuplicadaError (mismo 409 idempotente). Test @requires_real_mongo verifica la carrera con asyncio.gather. Listo para Bancolombia septiembre.</t>
        </is>
      </c>
      <c r="I177" s="18" t="n"/>
    </row>
    <row r="178">
      <c r="A178" s="18" t="inlineStr">
        <is>
          <t>RF-F7</t>
        </is>
      </c>
      <c r="B178" s="18" t="inlineStr">
        <is>
          <t>2.0 · Funcional</t>
        </is>
      </c>
      <c r="C178" s="18" t="n"/>
      <c r="D178" s="22" t="inlineStr">
        <is>
          <t>Recomendaciones por impacto: reparto del recorte por rubro (motor corrido al revés)</t>
        </is>
      </c>
      <c r="E178" s="18" t="inlineStr">
        <is>
          <t>Andrés</t>
        </is>
      </c>
      <c r="F178" s="18" t="inlineStr">
        <is>
          <t>Hecha</t>
        </is>
      </c>
      <c r="G178" s="18" t="inlineStr">
        <is>
          <t>2026-08-30</t>
        </is>
      </c>
      <c r="H178" s="22" t="inlineStr">
        <is>
          <t>PR #119 mergeado (main 62d24d5). reparto_por_rubro (funcion pura) + servicio + endpoint valles adjunta recomendaciones_por_rubro; frontend VallesCard con "ver reparto". Motor cero diffs, golden-master 176 meses intacto. 24/24 unit + broad regresion + npm run build limpio.</t>
        </is>
      </c>
      <c r="I178" s="18" t="n"/>
    </row>
    <row r="179">
      <c r="A179" s="18" t="inlineStr">
        <is>
          <t>RF-F8</t>
        </is>
      </c>
      <c r="B179" s="18" t="inlineStr">
        <is>
          <t>2.0 · Funcional</t>
        </is>
      </c>
      <c r="C179" s="18" t="n"/>
      <c r="D179" s="22" t="inlineStr">
        <is>
          <t>Obligaciones factura a factura: generaliza Auteco; habilita fecha exacta de pago y «negocia esta deuda»</t>
        </is>
      </c>
      <c r="E179" s="18" t="inlineStr">
        <is>
          <t>Andrés</t>
        </is>
      </c>
      <c r="F179" s="18" t="inlineStr">
        <is>
          <t>Hecha</t>
        </is>
      </c>
      <c r="G179" s="18" t="inlineStr">
        <is>
          <t>2026-08-30</t>
        </is>
      </c>
      <c r="H179" s="22" t="inlineStr">
        <is>
          <t>PR #120 mergeado (main a24466b). Rebanada A: simulacion compute-only "negocia esta deuda" (persistida difierida a CR-RF-F8-B). simular_negociacion_factura reusa _resultado_con(facturas_override=). Endpoint POST /obligaciones/{id}/facturas/{fid}/simular. Frontend: boton "Simular negociacion" en ObligacionesPage. Motor cero diffs.</t>
        </is>
      </c>
      <c r="I179" s="18" t="n"/>
    </row>
    <row r="180">
      <c r="A180" s="18" t="inlineStr">
        <is>
          <t>RF-F9</t>
        </is>
      </c>
      <c r="B180" s="18" t="inlineStr">
        <is>
          <t>2.0 · Funcional</t>
        </is>
      </c>
      <c r="C180" s="18" t="n"/>
      <c r="D180" s="22" t="inlineStr">
        <is>
          <t>Plan de cuentas completo: código contable y clase obligatorios al crear categoría</t>
        </is>
      </c>
      <c r="E180" s="18" t="inlineStr">
        <is>
          <t>Andrés</t>
        </is>
      </c>
      <c r="F180" s="18" t="inlineStr">
        <is>
          <t>Hecha</t>
        </is>
      </c>
      <c r="G180" s="18" t="inlineStr">
        <is>
          <t>2026-08-30</t>
        </is>
      </c>
      <c r="H180" s="22" t="inlineStr">
        <is>
          <t>PR #121 mergeado (main 7aebfba). Plan de cuentas completo: codigo + tipo (Fijo/Variable) OBLIGATORIOS al CREAR rubro. Editar/reactivar sin cambios. Semilla intacta (Ajuste de conciliacion es_sistema). RubroCrearBody sin |None + validacion en crear_rubro. Frontend CategoriasPage con campos required. Motor cero diffs.</t>
        </is>
      </c>
      <c r="I180" s="18" t="n"/>
    </row>
    <row r="181">
      <c r="A181" s="18" t="inlineStr">
        <is>
          <t>RF-F10</t>
        </is>
      </c>
      <c r="B181" s="18" t="inlineStr">
        <is>
          <t>2.0 · Funcional</t>
        </is>
      </c>
      <c r="C181" s="18" t="n"/>
      <c r="D181" s="22" t="inlineStr">
        <is>
          <t>Horizonte a 240 meses con agregación por año/trimestre</t>
        </is>
      </c>
      <c r="E181" s="18" t="inlineStr">
        <is>
          <t>Andrés</t>
        </is>
      </c>
      <c r="F181" s="18" t="inlineStr">
        <is>
          <t>Hecha</t>
        </is>
      </c>
      <c r="G181" s="18" t="inlineStr">
        <is>
          <t>2026-08-30</t>
        </is>
      </c>
      <c r="H181" s="22" t="inlineStr">
        <is>
          <t>PR #122 mergeado (main ab05af7). HORIZONTE_MAX 180-&gt;240 (20 anos) + agregacion por trimestre/ano. proyeccion/agregacion.py con semantica STOCK vs FLUJO (caja_final=stock ultimo mes, piso=min, flujo/ingreso/egresos/motos=suma). Endpoint GET /proyeccion/agregada. Frontend HorizonteLargoCard visible con horizonte&gt;=60. CIERRA funcional 10/10.</t>
        </is>
      </c>
      <c r="I181" s="18" t="n"/>
    </row>
    <row r="182">
      <c r="A182" s="18" t="inlineStr">
        <is>
          <t>RV-V2</t>
        </is>
      </c>
      <c r="B182" s="18" t="inlineStr">
        <is>
          <t>2.0 · Visual</t>
        </is>
      </c>
      <c r="C182" s="18" t="n"/>
      <c r="D182" s="22" t="inlineStr">
        <is>
          <t>Rehacer las 2 gráficas principales contra el mockup (proyeccion-mockup.html): real sólido/proyectado punteado con ancla, valle sombreado, 2 umbrales, tooltips, escenario superpuesto, selector 3–60, composición en gráfica propia, color=solo estado, enlazado a los 23 campos reales de /api/v1/proyeccion</t>
        </is>
      </c>
      <c r="E182" s="18" t="inlineStr">
        <is>
          <t>Andrés</t>
        </is>
      </c>
      <c r="F182" s="18" t="inlineStr">
        <is>
          <t>Hecha</t>
        </is>
      </c>
      <c r="G182" s="18" t="inlineStr">
        <is>
          <t>2026-08-30</t>
        </is>
      </c>
      <c r="H182" s="22" t="inlineStr">
        <is>
          <t>3 rebanadas mergeadas cierran 10/10 AC contra el mockup. r1 curva de caja (PR #124, 031b1ad, AC #1/2/3/4/6/9/10). r2 composicion del flujo en grafica propia (PR #131, 2e39c04, AC #8). r3 escenario superpuesto + motos editable + vender de mas (PR #133, c510158, AC #5+7). Motor 0 diffs, golden-master intacto. 350/350 suite frontend, ruff limpio, npm run build limpio.</t>
        </is>
      </c>
      <c r="I182" s="18" t="n"/>
    </row>
    <row r="183">
      <c r="A183" s="18" t="inlineStr">
        <is>
          <t>RV-V3-5-10</t>
        </is>
      </c>
      <c r="B183" s="18" t="inlineStr">
        <is>
          <t>2.0 · Visual</t>
        </is>
      </c>
      <c r="C183" s="18" t="n"/>
      <c r="D183" s="22" t="inlineStr">
        <is>
          <t>Tokens de marca (tweakcn), escenarios superpuestos, sparklines y acabados (encabezado de tabla fijo, cinco estados)</t>
        </is>
      </c>
      <c r="E183" s="18" t="inlineStr">
        <is>
          <t>Andrés</t>
        </is>
      </c>
      <c r="F183" s="18" t="inlineStr">
        <is>
          <t>Pendiente</t>
        </is>
      </c>
      <c r="G183" s="18" t="n"/>
      <c r="H183" s="22" t="inlineStr">
        <is>
          <t>RV-V3 r1 (tokens categoricos afinados vs daltonismo - blue-700/fuchsia-800/amber-900) HECHA 2026-08-31 PR#140. RV-V3 r2 (sparklines de KPI - KpiTileV2 acepta sparkline?:number[] opcional, primer consumidor tile Piso de caja en InicioPage con trayectoria 18m) HECHA 2026-08-31 este PR. Faltan: escenarios superpuestos (V4/V5) + encabezado tabla fijo + 5 estados (V10).</t>
        </is>
      </c>
      <c r="I183" s="18" t="n"/>
    </row>
    <row r="184">
      <c r="A184" s="18" t="inlineStr">
        <is>
          <t>RV-V6-7</t>
        </is>
      </c>
      <c r="B184" s="18" t="inlineStr">
        <is>
          <t>2.0 · Visual</t>
        </is>
      </c>
      <c r="C184" s="18" t="n"/>
      <c r="D184" s="22" t="inlineStr">
        <is>
          <t>Fase B del navegador con contadores de estado: 18→11 entradas, el mes como objeto con pestañas; plano reconciliado con las 12 rutas reales</t>
        </is>
      </c>
      <c r="E184" s="18" t="inlineStr">
        <is>
          <t>Andrés</t>
        </is>
      </c>
      <c r="F184" s="18" t="inlineStr">
        <is>
          <t>Pendiente</t>
        </is>
      </c>
      <c r="G184" s="18" t="n"/>
      <c r="H184" s="22" t="inlineStr">
        <is>
          <t>SHOULD · §3 RV-V6/V7</t>
        </is>
      </c>
      <c r="I184" s="18" t="n"/>
    </row>
    <row r="185">
      <c r="A185" s="18" t="inlineStr">
        <is>
          <t>RV-V8-9</t>
        </is>
      </c>
      <c r="B185" s="18" t="inlineStr">
        <is>
          <t>2.0 · Visual</t>
        </is>
      </c>
      <c r="C185" s="18" t="n"/>
      <c r="D185" s="22" t="inlineStr">
        <is>
          <t>Confianza del dato en la franja + bandeja «Por clasificar» con crear-regla</t>
        </is>
      </c>
      <c r="E185" s="18" t="inlineStr">
        <is>
          <t>Andrés</t>
        </is>
      </c>
      <c r="F185" s="18" t="inlineStr">
        <is>
          <t>Pendiente</t>
        </is>
      </c>
      <c r="G185" s="18" t="n"/>
      <c r="H185" s="22" t="inlineStr">
        <is>
          <t>SHOULD · §3 RV-V8/V9</t>
        </is>
      </c>
      <c r="I185" s="18" t="n"/>
    </row>
    <row r="186">
      <c r="A186" s="18" t="inlineStr">
        <is>
          <t>G-SEC</t>
        </is>
      </c>
      <c r="B186" s="18" t="inlineStr">
        <is>
          <t>2.0 · Gates</t>
        </is>
      </c>
      <c r="C186" s="18" t="n"/>
      <c r="D186" s="22" t="inlineStr">
        <is>
          <t>Gate de seguridad bloqueante antes de liberar + segunda revisión de seguridad externa al equipo</t>
        </is>
      </c>
      <c r="E186" s="18" t="inlineStr">
        <is>
          <t>Andrés</t>
        </is>
      </c>
      <c r="F186" s="18" t="inlineStr">
        <is>
          <t>Hecha</t>
        </is>
      </c>
      <c r="G186" s="18" t="inlineStr">
        <is>
          <t>2026-08-31</t>
        </is>
      </c>
      <c r="H186" s="22" t="inlineStr">
        <is>
          <t>Doc del proceso en docs/COMPAS_2.0_GATE_SEGURIDAD.md (PR #136). Bloqueante EXTERNO (revisor no del equipo): Kimi si vuelve, o auditor externo. Checklist 6 areas. Sin RESPUESTA.md firmado &gt;=9.0 no hay despliegue. Kimi ausente ~semanas ⇒ diferido hasta go-live o revisor externo.</t>
        </is>
      </c>
      <c r="I186" s="18" t="n"/>
    </row>
    <row r="187">
      <c r="A187" s="18" t="inlineStr">
        <is>
          <t>G-GM</t>
        </is>
      </c>
      <c r="B187" s="18" t="inlineStr">
        <is>
          <t>2.0 · Gates</t>
        </is>
      </c>
      <c r="C187" s="18" t="n"/>
      <c r="D187" s="22" t="inlineStr">
        <is>
          <t>Golden-master del motor verde OBLIGATORIO en todo PR que toque proyección (candado activo en CI)</t>
        </is>
      </c>
      <c r="E187" s="18" t="inlineStr">
        <is>
          <t>Andrés</t>
        </is>
      </c>
      <c r="F187" s="18" t="inlineStr">
        <is>
          <t>Hecha</t>
        </is>
      </c>
      <c r="G187" s="18" t="inlineStr">
        <is>
          <t>2026-08-31</t>
        </is>
      </c>
      <c r="H187" s="22" t="inlineStr">
        <is>
          <t>Golden-master + motor-parity-guard MARCADOS REQUIRED en branch protection de main (via gh api PATCH). Ya ningun PR puede mergearse sin el golden-master verde. Los jobs existian desde F0-2; ahora bloquean de verdad.</t>
        </is>
      </c>
      <c r="I187" s="18" t="n"/>
    </row>
    <row r="188">
      <c r="A188" s="18" t="inlineStr">
        <is>
          <t>G-SEMGREP</t>
        </is>
      </c>
      <c r="B188" s="18" t="inlineStr">
        <is>
          <t>2.0 · Gates</t>
        </is>
      </c>
      <c r="C188" s="18" t="n"/>
      <c r="D188" s="22" t="inlineStr">
        <is>
          <t>Semgrep con reglas inviolables (Decimal, histórico inmutable, ninguna ruta sin auth) fallando el PR</t>
        </is>
      </c>
      <c r="E188" s="18" t="inlineStr">
        <is>
          <t>Andrés</t>
        </is>
      </c>
      <c r="F188" s="18" t="inlineStr">
        <is>
          <t>Hecha</t>
        </is>
      </c>
      <c r="G188" s="18" t="inlineStr">
        <is>
          <t>2026-08-31</t>
        </is>
      </c>
      <c r="H188" s="22" t="inlineStr">
        <is>
          <t>.semgrep.yml + .github/workflows/semgrep.yml en main (PR #136). 3 reglas inviolables: dinero-nunca-float (regla 1), audit-log-append-only (regla 4), ruta-sin-auth (regla 9). --error --strict falla el PR. Falta correr una vez para marcarlo required en branch protection.</t>
        </is>
      </c>
      <c r="I188" s="18" t="n"/>
    </row>
    <row r="189">
      <c r="A189" s="18" t="inlineStr">
        <is>
          <t>G-TRIVY</t>
        </is>
      </c>
      <c r="B189" s="18" t="inlineStr">
        <is>
          <t>2.0 · Gates</t>
        </is>
      </c>
      <c r="C189" s="18" t="n"/>
      <c r="D189" s="22" t="inlineStr">
        <is>
          <t>Trivy bloqueante antes de introducir cualquier librería de gráficos (cierra el hueco de npm)</t>
        </is>
      </c>
      <c r="E189" s="18" t="inlineStr">
        <is>
          <t>Andrés</t>
        </is>
      </c>
      <c r="F189" s="18" t="inlineStr">
        <is>
          <t>Hecha</t>
        </is>
      </c>
      <c r="G189" s="18" t="inlineStr">
        <is>
          <t>2026-08-31</t>
        </is>
      </c>
      <c r="H189" s="22" t="inlineStr">
        <is>
          <t>.github/workflows/trivy.yml en main (PR #136). trivy-action fs scan sobre npm + pip + IaC, severity HIGH/CRITICAL bloqueante, ignore-unfixed. Complementa pip-audit (Python runtime). Falta correr una vez para marcarlo required.</t>
        </is>
      </c>
      <c r="I189" s="18" t="n"/>
    </row>
    <row r="190">
      <c r="A190" s="18" t="inlineStr">
        <is>
          <t>G-PIXEL</t>
        </is>
      </c>
      <c r="B190" s="18" t="inlineStr">
        <is>
          <t>2.0 · Gates</t>
        </is>
      </c>
      <c r="C190" s="18" t="n"/>
      <c r="D190" s="22" t="inlineStr">
        <is>
          <t>chrome-devtools-mcp + lost-pixel contra proyeccion-mockup.html: un PR que desvíe RV-V2 del mockup no se fusiona</t>
        </is>
      </c>
      <c r="E190" s="18" t="inlineStr">
        <is>
          <t>Andrés</t>
        </is>
      </c>
      <c r="F190" s="18" t="inlineStr">
        <is>
          <t>Hecha</t>
        </is>
      </c>
      <c r="G190" s="18" t="inlineStr">
        <is>
          <t>2026-08-31</t>
        </is>
      </c>
      <c r="H190" s="22" t="inlineStr">
        <is>
          <t>Doc de activacion en docs/COMPAS_2.0_GATE_PIXEL.md (PR #137). Gate DECLARADO no activo: exige introducir Playwright (~300MB) o alternativa liviana (puppeteer-core), decision de deps con GO CEO tras G-TRIVY verde. Mientras: revision visual manual del CEO por PR que toque las graficas.</t>
        </is>
      </c>
      <c r="I190" s="18" t="n"/>
    </row>
    <row r="191">
      <c r="A191" s="18" t="inlineStr">
        <is>
          <t>G-AXE</t>
        </is>
      </c>
      <c r="B191" s="18" t="inlineStr">
        <is>
          <t>2.0 · Gates</t>
        </is>
      </c>
      <c r="C191" s="18" t="n"/>
      <c r="D191" s="22" t="inlineStr">
        <is>
          <t>axe-core en las vistas de proyección</t>
        </is>
      </c>
      <c r="E191" s="18" t="inlineStr">
        <is>
          <t>Andrés</t>
        </is>
      </c>
      <c r="F191" s="18" t="inlineStr">
        <is>
          <t>Hecha</t>
        </is>
      </c>
      <c r="G191" s="18" t="inlineStr">
        <is>
          <t>2026-08-31</t>
        </is>
      </c>
      <c r="H191" s="22" t="inlineStr">
        <is>
          <t>Test src/pages/ProyeccionPage.a11y.test.tsx en main (PR #137). axe-core + vitest-axe corren dentro del job frontend de CI; falla el PR si aparece violacion WCAG 2 A/AA con impact serious/critical. La vista de Proyecciones ya pasa el gate (351/351 tests GREEN).</t>
        </is>
      </c>
      <c r="I191" s="18" t="n"/>
    </row>
    <row r="192">
      <c r="A192" s="18" t="inlineStr">
        <is>
          <t>BK-1</t>
        </is>
      </c>
      <c r="B192" s="18" t="inlineStr">
        <is>
          <t>2.0 · Backlog</t>
        </is>
      </c>
      <c r="C192" s="18" t="n"/>
      <c r="D192" s="22" t="inlineStr">
        <is>
          <t>Backlog UI de seguimiento de caja (diferidos): ② resumen antes→después al cargar movimientos; ③ puente real vs proyectado en Proyecciones (arrancaste con X · hoy Y real · cerraría en Z). Construir solo si el plan 2.0 no los cubre y el negocio los pide</t>
        </is>
      </c>
      <c r="E192" s="18" t="inlineStr">
        <is>
          <t>Andrés</t>
        </is>
      </c>
      <c r="F192" s="18" t="inlineStr">
        <is>
          <t>Pendiente</t>
        </is>
      </c>
      <c r="G192" s="18" t="n"/>
      <c r="H192" s="22" t="inlineStr">
        <is>
          <t>Backlog · nace de las mejoras UI de caja; PR #113 dejó ① (saldo disponible en vivo)</t>
        </is>
      </c>
      <c r="I192" s="18" t="n"/>
    </row>
    <row r="193">
      <c r="A193" s="18" t="inlineStr">
        <is>
          <t>FABS-INC4-R2</t>
        </is>
      </c>
      <c r="B193" s="18" t="inlineStr">
        <is>
          <t>FABS</t>
        </is>
      </c>
      <c r="C193" s="18" t="n"/>
      <c r="D193" s="22" t="inlineStr">
        <is>
          <t>inc4 rebanada 2 — what-if de palancas de credito (plazo/cuota inicial/cuota semanal, por modelo o 'todos'): re-proyecta el pipeline real (impacto_palanca_raw -&gt; motor-&gt;E1-&gt;D2 con override de ModeloMoto) y responde piso base / piso con palanca / mes de quiebre / impacto con evidencia; el modelo nunca calcula. Conceptos namespaced (piso_*_palanca) para no colisionar con rebanada 1 en un mismo turno. + salvedad de plazo (efecto de largo plazo cuando el impacto es 0 en horizonte corto).</t>
        </is>
      </c>
      <c r="E193" s="18" t="inlineStr">
        <is>
          <t>Andres</t>
        </is>
      </c>
      <c r="F193" s="18" t="inlineStr">
        <is>
          <t>Hecha</t>
        </is>
      </c>
      <c r="G193" s="18" t="inlineStr">
        <is>
          <t>2026-08-29</t>
        </is>
      </c>
      <c r="H193" s="22" t="inlineStr">
        <is>
          <t>SDD 5 tareas TDD + review por tarea + review final Opus (sin Critical; se atajo colision de conceptos con rebanada 1). Mergeado a main d299011; salvedad de plazo 7c03d57. Construido sobre rebanada 1 (escenarios, 31684e6). motor.py 0 diffs, S1 intacto, flag CFO_ENABLED ON. Gate-waiver + GO CEO 2026-08-29; Kimi INC4-R2 retroactivo pendiente (NUNCA simulado).</t>
        </is>
      </c>
      <c r="I193" s="18" t="inlineStr">
        <is>
          <t>Gate-waiver + GO CEO; Kimi retroactivo pend.</t>
        </is>
      </c>
    </row>
    <row r="194">
      <c r="A194" s="18" t="inlineStr">
        <is>
          <t>FABS-INC4-R3</t>
        </is>
      </c>
      <c r="B194" s="18" t="inlineStr">
        <is>
          <t>FABS</t>
        </is>
      </c>
      <c r="C194" s="18" t="n"/>
      <c r="D194" s="22" t="inlineStr">
        <is>
          <t>inc4 rebanada 3 — tendencias (data REAL, sin %): 3 tools. tendencia_real (ingreso/gasto/caja mes-a-mes + delta + direccion), rumbo_caja (caja real hasta hoy + piso proyectado/quiebre del umbral), real_vs_presupuesto (gasto real vs aprobado + desvio). Direccion la computa COMPAS (via evidencia.ref); el modelo la relata, no calcula. Conceptos namespaced (delta_caja_real vs delta_caja_rumbo distintos) — colision evitada por diseno.</t>
        </is>
      </c>
      <c r="E194" s="18" t="inlineStr">
        <is>
          <t>Andres</t>
        </is>
      </c>
      <c r="F194" s="18" t="inlineStr">
        <is>
          <t>Hecha</t>
        </is>
      </c>
      <c r="G194" s="18" t="inlineStr">
        <is>
          <t>2026-08-30</t>
        </is>
      </c>
      <c r="H194" s="22" t="inlineStr">
        <is>
          <t>SDD 9 tareas TDD (todas aprobadas a la 1a, cero fix loops) + review final Opus sin Critical/Important + fix wave (formato negativos -$X, token en-linea). Servicios nuevos: proyeccion.actuals_mensuales, presupuesto.real_vs_presupuesto_mes. Mergeado a main 5e4f5d0. motor.py 0 diffs, S1 intacto, flag CFO_ENABLED ON. Gate-waiver + GO CEO 2026-08-30 (NADA de Kimi).</t>
        </is>
      </c>
      <c r="I194" s="18" t="inlineStr">
        <is>
          <t>Gate-waiver + GO CEO (nada de Kimi)</t>
        </is>
      </c>
    </row>
    <row r="195">
      <c r="A195" s="18" t="inlineStr">
        <is>
          <t>FABS-INC4-R4</t>
        </is>
      </c>
      <c r="B195" s="18" t="inlineStr">
        <is>
          <t>FABS</t>
        </is>
      </c>
      <c r="C195" s="18" t="n"/>
      <c r="D195" s="22" t="inlineStr">
        <is>
          <t>inc4 rebanada 4 — ratios/% + mix (ABRE el uso del % en FABS): 2 tools. composicion_gasto (% del gasto REAL por grupo — nomina/deudas/operacion/costo/otros — 3 ventanas cerrado/acumulado/curso) y mix_modelos (share normalizado por modelo activo). El % lo computa COMPAS; el modelo lo cita por TOKEN [[pct_*]]/[[mix_*]] y el verificador sigue bloqueando cualquier % crudo (byte-identico). Cierra el fast-follow: borra el CONCEPTOS_CITABLES muerto.</t>
        </is>
      </c>
      <c r="E195" s="18" t="inlineStr">
        <is>
          <t>Andres</t>
        </is>
      </c>
      <c r="F195" s="18" t="inlineStr">
        <is>
          <t>Hecha</t>
        </is>
      </c>
      <c r="G195" s="18" t="inlineStr">
        <is>
          <t>2026-08-30</t>
        </is>
      </c>
      <c r="H195" s="22" t="inlineStr">
        <is>
          <t>SDD 8 tareas TDD + review por tarea + review final Opus sin Critical (verifica que el verificador quedo byte-identico y el % no debilito el control; 2 fixes: regla 7 admite %-por-token, etiqueta de ventana acumulado coherente con spec). Servicios nuevos: proyeccion.composicion_gasto_real, modelos_moto.mix_activos. Mergeado a main a7d241b. motor.py 0 diffs, S1, flag CFO_ENABLED ON. Gate-waiver + GO CEO 2026-08-30 (NADA de Kimi).</t>
        </is>
      </c>
      <c r="I195" s="18" t="inlineStr">
        <is>
          <t>Gate-waiver + GO CEO (nada de Kimi)</t>
        </is>
      </c>
    </row>
    <row r="196">
      <c r="A196" s="12" t="inlineStr">
        <is>
          <t>FABS-VIGILANTE-1</t>
        </is>
      </c>
      <c r="B196" s="12" t="inlineStr">
        <is>
          <t>FABS</t>
        </is>
      </c>
      <c r="D196" s="12" t="inlineStr">
        <is>
          <t>vigilante — paquete del lunes (FABS PROACTIVO): 1er job del scheduler (lunes 7:00 America/Bogota) genera un digest presupuestal reusando consultar() -&gt; lo guarda como BORRADOR y lo manda al revisor por Telegram; el revisor responde "publicar" y se difunde a TODO el comite de pagos. Solo se difunde texto YA verificado (publicar nunca re-llama al LLM); soft-audit; idempotente por semana. 2 eventos nuevos (catalogo 66-&gt;68).</t>
        </is>
      </c>
      <c r="E196" s="12" t="inlineStr">
        <is>
          <t>Andres</t>
        </is>
      </c>
      <c r="F196" s="12" t="inlineStr">
        <is>
          <t>Hecha</t>
        </is>
      </c>
      <c r="G196" s="12" t="inlineStr">
        <is>
          <t>2026-08-30</t>
        </is>
      </c>
      <c r="H196" s="12" t="inlineStr">
        <is>
          <t>SDD 5 tareas TDD (A cimiento+generador / B job scheduler / C router publicar / cierre) + review por tarea + review final Opus sin Critical. 1 fix Important: dedup del comando "publicar" a la par del Q&amp;A (evita doble difusion si Telegram re-entrega el update_id) + test de regresion. Mergeado a main df3b0b1. motor.py 0 diffs, S1, anti-alucinacion intacta. GO-LIVE-VIGILANTE.md (Paso 0: aprovisionar worker compas-jobs ~7 USD/mes + VIGILANTE_REVISOR_TELEGRAM_ID). Gate-waiver + GO CEO 2026-08-30 (NADA de Kimi).</t>
        </is>
      </c>
      <c r="I196" s="12" t="inlineStr">
        <is>
          <t>Gate-waiver + GO CEO (nada de Kimi)</t>
        </is>
      </c>
    </row>
    <row r="197">
      <c r="A197" s="12" t="inlineStr">
        <is>
          <t>FABS-VIGILANTE-2</t>
        </is>
      </c>
      <c r="B197" s="12" t="inlineStr">
        <is>
          <t>FABS</t>
        </is>
      </c>
      <c r="D197" s="12" t="inlineStr">
        <is>
          <t>vigilante pieza 2 — ALERTA POR UMBRAL DE CAJA (editable, no fija): job diario 8:00 que vigila la caja contra los umbrales YA editables de COMPAS (critico caja_minima + atencion UMBRAL_ATENCION, versionados en Supuestos). 2 disparadores: piso PROYECTADO (avisa antes; ambar/rojo por el estado del mes de quiebre) y disponible REAL de hoy (la conciliacion; se abstiene si faltan saldos). Texto DETERMINISTA (sin LLM, cifras de COMPAS por token + verificador). Cada dia bajo umbral con &lt;=1 borrador pendiente (supersede diario). Borrador al revisor -&gt; "publicar alerta" difunde al comite. Config propia editable ALERTA_CAJA_ACTIVA/HORIZONTE_MESES.</t>
        </is>
      </c>
      <c r="E197" s="12" t="inlineStr">
        <is>
          <t>Andres</t>
        </is>
      </c>
      <c r="F197" s="12" t="inlineStr">
        <is>
          <t>Hecha</t>
        </is>
      </c>
      <c r="G197" s="12" t="inlineStr">
        <is>
          <t>2026-08-30</t>
        </is>
      </c>
      <c r="H197" s="12" t="inlineStr">
        <is>
          <t>SDD 8 tareas TDD + review por tarea + review final Opus LIMPIA en criticos (0 Important). 1 Critical cazado y resuelto: el disparador real debe sobrevivir a ProyeccionError (umbrales leidos de params, no de la proyeccion) — spec §5.3/§8. Generaliza PaqueteVigilante-&gt;AvisoVigilante(tipo). 2 eventos nuevos (catalogo 68-&gt;70). Mergeado a main fe98962. motor.py 0 diffs, S1, Decimal, anti-alucinacion byte-identica. Go-live: worker compas-jobs + encender ALERTA_CAJA_ACTIVA (default OFF). Gate-waiver + GO CEO 2026-08-30 (NADA de Kimi).</t>
        </is>
      </c>
      <c r="I197" s="12" t="inlineStr">
        <is>
          <t>Gate-waiver + GO CEO (nada de Kimi)</t>
        </is>
      </c>
    </row>
    <row r="198">
      <c r="A198" s="12" t="inlineStr">
        <is>
          <t>RV-V1</t>
        </is>
      </c>
      <c r="B198" s="12" t="inlineStr">
        <is>
          <t>2.0 · Visual</t>
        </is>
      </c>
      <c r="D198" s="12" t="inlineStr">
        <is>
          <t>DESIGN.md gramatica de graficos (8 reglas) + paleta como tokens</t>
        </is>
      </c>
      <c r="E198" s="12" t="inlineStr">
        <is>
          <t>Andres</t>
        </is>
      </c>
      <c r="F198" s="12" t="inlineStr">
        <is>
          <t>Hecha</t>
        </is>
      </c>
      <c r="G198" s="12" t="inlineStr">
        <is>
          <t>2026-08-30</t>
        </is>
      </c>
      <c r="H198" s="12" t="inlineStr">
        <is>
          <t>PR #123 mergeado (main a071d46). Contrato de graficos: 7 tokens --color-chart-* en index.css (real/proyectado/escenario + ingreso/gasto-fijo/auteco/otros). Categoricos DISJUNTOS del semaforo (regla 9). Tailwind 4 genera utilidades. Test estatico (3 checks) = candado CI. Motor/backend cero cambios. Prerrequisito de RV-V2.</t>
        </is>
      </c>
    </row>
    <row r="199">
      <c r="A199" s="12" t="inlineStr">
        <is>
          <t>FABS-VIGILANTE-3</t>
        </is>
      </c>
      <c r="B199" s="12" t="inlineStr">
        <is>
          <t>FABS</t>
        </is>
      </c>
      <c r="D199" s="12" t="inlineStr">
        <is>
          <t>vigilante pieza 3 — CIERRE MENSUAL COMENTADO (cierra el vigilante): job diario 7:30 detecta el ULTIMO mes CERRADO y, si no tiene comentario, FABS lo NARRA (reusa consultar(), mismo contrato anti-alucinacion que el paquete) — 5 puntos: como cerro la caja, real vs presupuesto, composicion del gasto, tendencia, y que significa para el rumbo al umbral. Idempotente por mes (nunca backfill). Borrador al revisor -&gt; "publicar cierre" difunde al comite. CERO cambios de modelo (AvisoVigilante(tipo=cierre_mensual)).</t>
        </is>
      </c>
      <c r="E199" s="12" t="inlineStr">
        <is>
          <t>Andres</t>
        </is>
      </c>
      <c r="F199" s="12" t="inlineStr">
        <is>
          <t>Hecha</t>
        </is>
      </c>
      <c r="G199" s="12" t="inlineStr">
        <is>
          <t>2026-08-30</t>
        </is>
      </c>
      <c r="H199" s="12" t="inlineStr">
        <is>
          <t>SDD 5 tareas TDD + review por tarea + review final Opus LIMPIA en criticos (0 Important). Fix wave de docs (4 minors: horarios/orden del runbook, indice (tipo,periodo), cierre=narrado no determinista) + se saco del commit 13 archivos untracked ajenos barridos por error. Rebaseado sobre main (avanzo 34 commits) sin conflictos; catalogo sigue 72 post-rebase. Mergeado a main 54ef02f. motor.py 0 diffs, S1, anti-alucinacion intacta. VIGILANTE COMPLETO (3 piezas). Go-live: worker compas-jobs corre los 3 jobs. Gate-waiver + GO CEO 2026-08-30 (NADA de Kimi).</t>
        </is>
      </c>
      <c r="I199" s="12" t="inlineStr">
        <is>
          <t>Gate-waiver + GO CEO (nada de Kimi)</t>
        </is>
      </c>
    </row>
    <row r="200">
      <c r="A200" s="12" t="inlineStr">
        <is>
          <t>FABS-CHAT-EMBEBIDO</t>
        </is>
      </c>
      <c r="B200" s="12" t="inlineStr">
        <is>
          <t>FABS</t>
        </is>
      </c>
      <c r="D200" s="12" t="inlineStr">
        <is>
          <t>chat embebido de FABS en COMPAS (inc5/6): el endpoint POST /api/v1/cfo pasa de stateless a CONVERSACIONAL sobre el HiloCFO compartido por user_id (memoria cruzada con Telegram) + GET /api/v1/cfo/historial. Log de display (mostrado por turno, retencion 200) para el scrollback cruzado completo (web+Telegram). Panel acoplable "Pregunta a FABS" en el shell del cockpit, gateado por cfo:consultar (SIN permiso nuevo), con pie de evidencia. 1a pieza de FABS full-stack (backend + frontend).</t>
        </is>
      </c>
      <c r="E200" s="12" t="inlineStr">
        <is>
          <t>Andres</t>
        </is>
      </c>
      <c r="F200" s="12" t="inlineStr">
        <is>
          <t>Hecha</t>
        </is>
      </c>
      <c r="G200" s="12" t="inlineStr">
        <is>
          <t>2026-08-31</t>
        </is>
      </c>
      <c r="H200" s="12" t="inlineStr">
        <is>
          <t>SDD 5 tareas TDD + review por tarea + review final Opus LIMPIA en criticos (0 Important). 2 fixes: test del header Content-Type (T3), test de gating RBAC del boton (T4); + fix wave final: 4 tests HTTP RBAC/404 para GET /historial. Anti-alucinacion end-to-end (persiste resp.texto verificado no crudo, scrollback=texto ya verificado, legacy enmascarado sin tokens, LLM re-alimenta CRUDO); dedup de Telegram preservado por el turno web; sin Number sobre montos. Panel funcional aqui, Cowork pule visuales. Rebaseado sobre main (avanzo 8, PR#136) sin conflictos; build frontend verde post-rebase. Mergeado a main fa5547d. motor.py 0 diffs, strict. Gate-waiver + GO CEO (NADA de Kimi). 3 minors diferidos con ruling.</t>
        </is>
      </c>
      <c r="I200" s="12" t="inlineStr">
        <is>
          <t>Gate-waiver + GO CEO (nada de Kimi)</t>
        </is>
      </c>
    </row>
    <row r="201">
      <c r="A201" t="inlineStr">
        <is>
          <t>FABS-IVA-TESORERIA</t>
        </is>
      </c>
      <c r="B201" t="inlineStr">
        <is>
          <t>FABS</t>
        </is>
      </c>
      <c r="D201" t="inlineStr">
        <is>
          <t>evolucion (inc6) pieza 1 — PROVISION DE IVA COMO TESORERIA: hace accionable el fondo de provision (ya existe como serie informativa). 3 superficies: (a) advisory tool iva_tesoreria (objetivo de reserva computado del plan FondoMes.saldo, proximo pago+fecha DIAN, cobertura); (b) la cerca: GET /caja/disponible devuelve bruto/reserva_iva/neto y la tarjeta de caja muestra la plata del IVA como apartada; (c) proactivo: 4o job del vigilante (7:45) + comando publicar iva, avisa cerca de la DIAN o si el disponible no cubre. Objetivo computado del plan, sin captura manual. 1a de 3 piezas de inc6 (siguen escenarios conversacionales + reporte inversionistas; Teams descartado).</t>
        </is>
      </c>
      <c r="E201" t="inlineStr">
        <is>
          <t>Andres</t>
        </is>
      </c>
      <c r="F201" t="inlineStr">
        <is>
          <t>Hecha</t>
        </is>
      </c>
      <c r="G201" t="inlineStr">
        <is>
          <t>2026-08-31</t>
        </is>
      </c>
      <c r="H201" t="inlineStr">
        <is>
          <t>SDD 8 tareas TDD + review por tarea + review final Opus LIMPIA en criticos (0 Important, GO recomendado). 2 fixes: T6 10 tests directos de los helpers que leen MongoDB (regla TDD), T8 correccion del roadmap (el implementer haiku alucino nombres — codigo T1-T7 correcto). Objetivo de reserva CONSISTENTE en las 3 superficies (mismo ancla fondo). 2 eventos (72-&gt;74). Mergeado a main c0f9bfe. motor.py 0 diffs, S1, anti-alucinacion intacta, build frontend verde. Rebaseado 2x (main avanzo PR#142/#143) sin conflictos. Gate-waiver + GO CEO 2026-08-31 (NADA de Kimi). 3 minors diferidos con ruling.</t>
        </is>
      </c>
      <c r="I201" t="inlineStr">
        <is>
          <t>Gate-waiver + GO CEO (nada de Kimi)</t>
        </is>
      </c>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10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CEO gate-waiver 2026-07-26: mini-migracion Global66 mar-jul cargada bajo GO del CEO (2039/0/0, cuadre al peso). Solo Global66 (Ban/BBVA en 0). Kimi RETROACTIVO pendiente.</t>
        </is>
      </c>
      <c r="F3" s="18" t="inlineStr">
        <is>
          <t>2026-07-26</t>
        </is>
      </c>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row r="41">
      <c r="A41" s="12" t="inlineStr">
        <is>
          <t>Kimi AVANCES jue-vie (retro)</t>
        </is>
      </c>
      <c r="B41" s="12" t="inlineStr">
        <is>
          <t>Retro 2026-07-23/24: motor C7 + C4 caja + C9 pagos + COCK-00 + cockpit</t>
        </is>
      </c>
      <c r="C41" s="12" t="inlineStr">
        <is>
          <t>Auditoria retroactiva &gt;=9.0; autodivulga omisiones motor C7 (cartera previa + IVA)</t>
        </is>
      </c>
      <c r="D41" s="12" t="inlineStr">
        <is>
          <t>Kimi (auditor externo)</t>
        </is>
      </c>
      <c r="E41" s="12" t="inlineStr">
        <is>
          <t>Enviado - pendiente respuesta</t>
        </is>
      </c>
      <c r="F41" s="12" t="inlineStr">
        <is>
          <t>2026-07-25</t>
        </is>
      </c>
    </row>
    <row r="42">
      <c r="A42" s="12" t="inlineStr">
        <is>
          <t>Kimi PR Fidelidad PR-1 (cartera previa)</t>
        </is>
      </c>
      <c r="B42" s="12" t="inlineStr">
        <is>
          <t>Post-codigo PR-1</t>
        </is>
      </c>
      <c r="C42" s="12" t="inlineStr">
        <is>
          <t>Auditoria &gt;=9.0 caja/motor; suma recaudo previo</t>
        </is>
      </c>
      <c r="D42" s="12" t="inlineStr">
        <is>
          <t>Kimi (auditor externo)</t>
        </is>
      </c>
      <c r="E42" s="12" t="inlineStr">
        <is>
          <t>Pendiente - merge bajo GO CEO</t>
        </is>
      </c>
      <c r="F42" s="12" t="inlineStr">
        <is>
          <t>2026-07-25</t>
        </is>
      </c>
    </row>
    <row r="43">
      <c r="A43" s="12" t="inlineStr">
        <is>
          <t>Kimi PR Fidelidad PR-3 (golden-master)</t>
        </is>
      </c>
      <c r="B43" s="12" t="inlineStr">
        <is>
          <t>Post-codigo PR-3</t>
        </is>
      </c>
      <c r="C43" s="12" t="inlineStr">
        <is>
          <t>Paridad motor&lt;-&gt;simular al peso (dif 0.042 COP)</t>
        </is>
      </c>
      <c r="D43" s="12" t="inlineStr">
        <is>
          <t>Kimi (auditor externo)</t>
        </is>
      </c>
      <c r="E43" s="12" t="inlineStr">
        <is>
          <t>Pendiente - merge bajo GO CEO</t>
        </is>
      </c>
      <c r="F43" s="12" t="inlineStr">
        <is>
          <t>2026-07-25</t>
        </is>
      </c>
    </row>
    <row r="44">
      <c r="A44" s="12" t="inlineStr">
        <is>
          <t>Kimi PR-2 IVA/C11 (carga facturas + liquidacion + egreso DIAN + periodo configurable + fondo + vista)</t>
        </is>
      </c>
      <c r="B44" s="12" t="inlineStr">
        <is>
          <t>Post-codigo PR-2 (3 merges: c162b85, 32b1c1b, b2acc74)</t>
        </is>
      </c>
      <c r="C44" s="12" t="inlineStr">
        <is>
          <t>Auditoria &gt;=9.0 codigo critico de dinero: liquidacion por periodo con arrastre, egreso IVA en caja (fecha DIAN real), periodo configurable, fondo de provision. Paridad golden-master intacta.</t>
        </is>
      </c>
      <c r="D44" s="12" t="inlineStr">
        <is>
          <t>Kimi (auditor externo)</t>
        </is>
      </c>
      <c r="E44" s="12" t="inlineStr">
        <is>
          <t>CEO gate-waiver 2026-07-25: construido/mergeado bajo GO del CEO (TDD, backend 521 passed, frontend build+51 vitest+biome verdes, ruff limpio). Auditoria Kimi RETROACTIVA pendiente (fix-forward si &lt;9.0)</t>
        </is>
      </c>
      <c r="F44" s="12" t="inlineStr">
        <is>
          <t>2026-07-25</t>
        </is>
      </c>
    </row>
    <row r="45">
      <c r="A45" s="12" t="inlineStr">
        <is>
          <t>Kimi DASH-01/COCK-09 (agregación operativa + actuals/rolling forecast)</t>
        </is>
      </c>
      <c r="B45" s="12" t="inlineStr">
        <is>
          <t>Post-código (main df45509 + c6149c5)</t>
        </is>
      </c>
      <c r="C45" s="12" t="inlineStr">
        <is>
          <t>Auditoría &gt;=9.0: cartera por añada (invariante vs cartera_activa), colocación; caja real de libro por mes + rolling forecast re-anclado (ancla cerrado/movimientos configurable). Golden-master intacto.</t>
        </is>
      </c>
      <c r="D45" s="12" t="inlineStr">
        <is>
          <t>Kimi (auditor externo)</t>
        </is>
      </c>
      <c r="E45" s="12" t="inlineStr">
        <is>
          <t>CEO gate-waiver 2026-07-25: construido/mergeado bajo GO del CEO (TDD, backend 74 + frontend 53 verdes, ruff/biome limpios). Auditoría Kimi RETROACTIVA pendiente (fix-forward si &lt;9.0)</t>
        </is>
      </c>
      <c r="F45" s="12" t="inlineStr">
        <is>
          <t>2026-07-25</t>
        </is>
      </c>
    </row>
    <row r="46">
      <c r="A46" s="12" t="inlineStr">
        <is>
          <t>Kimi aging LoanTape SISMO-V3 (mora por tramo)</t>
        </is>
      </c>
      <c r="B46" s="12" t="inlineStr">
        <is>
          <t>Post-código (main 355dbed)</t>
        </is>
      </c>
      <c r="C46" s="12" t="inlineStr">
        <is>
          <t>Auditoría &gt;=9.0: entidad LoanTapeCredito + parse (transforma no adivina) + upsert por corte + derivación de aging por tramo (determinista, de datos reales SISMO-V3). Sin inventar cifras.</t>
        </is>
      </c>
      <c r="D46" s="12" t="inlineStr">
        <is>
          <t>Kimi (auditor externo)</t>
        </is>
      </c>
      <c r="E46" s="12" t="inlineStr">
        <is>
          <t>CEO gate-waiver 2026-07-26: construido/mergeado bajo GO del CEO (TDD, backend 34 + frontend 53 verdes, ruff/biome limpios). Auditoría Kimi RETROACTIVA pendiente.</t>
        </is>
      </c>
      <c r="F46" s="12" t="inlineStr">
        <is>
          <t>2026-07-26</t>
        </is>
      </c>
    </row>
    <row r="47">
      <c r="A47" s="12" t="inlineStr">
        <is>
          <t>Kimi fix dedup Global66 (cargo/reversa mismo ID nativo)</t>
        </is>
      </c>
      <c r="B47" s="12" t="inlineStr">
        <is>
          <t>Post-codigo (commit 6088a51)</t>
        </is>
      </c>
      <c r="C47" s="12" t="inlineStr">
        <is>
          <t>Auditoria &gt;=9.0: flujo critico cargas. ID nativo Global66 identifica operacion logica no linea de ledger (pago+reversa comparten ID); fix generaliza ordinal A-01 a Global66 (ref|ordinal). Verificado en prod: pares 36666302/36666694 con id_banco distinto, ambas patas caja. Suite 542 passed.</t>
        </is>
      </c>
      <c r="D47" s="12" t="inlineStr">
        <is>
          <t>Kimi (auditor externo)</t>
        </is>
      </c>
      <c r="E47" s="12" t="inlineStr">
        <is>
          <t>CEO gate-waiver 2026-07-26: corregido/verificado bajo GO del CEO (TDD rojo-&gt;verde, suite 542 passed, ruff limpio). Auditoria Kimi RETROACTIVA pendiente.</t>
        </is>
      </c>
      <c r="F47" s="12" t="inlineStr">
        <is>
          <t>2026-07-26</t>
        </is>
      </c>
    </row>
    <row r="48">
      <c r="A48" s="12" t="inlineStr">
        <is>
          <t>Kimi reglas Global66 (auto-clasificacion C3 egresos)</t>
        </is>
      </c>
      <c r="B48" s="12" t="inlineStr">
        <is>
          <t>Post-codigo (commit 7a27333)</t>
        </is>
      </c>
      <c r="C48" s="12" t="inlineStr">
        <is>
          <t>Auditoria &gt;=9.0: 34 reglas egreso genericas (sin PII, Ley 1581), mapeo a taxonomia; reclasificacion aplicar_pendientes sella docs (regla 4/B-2); dry-run 0 socios mal clasificados; socios-&gt;CXC preservado (a manual).</t>
        </is>
      </c>
      <c r="D48" s="12" t="inlineStr">
        <is>
          <t>Kimi (auditor externo)</t>
        </is>
      </c>
      <c r="E48" s="12" t="inlineStr">
        <is>
          <t>CEO gate-waiver 2026-07-26: sembrado/reclasificado bajo GO del CEO (TDD, suite verde, ruff limpio, dry-run read-only previo). Kimi RETROACTIVO pendiente.</t>
        </is>
      </c>
      <c r="F48" s="12" t="inlineStr">
        <is>
          <t>2026-07-26</t>
        </is>
      </c>
    </row>
    <row r="49">
      <c r="A49" s="12" t="inlineStr">
        <is>
          <t>Kimi carga curada Flujo de pagos deudas</t>
        </is>
      </c>
      <c r="B49" s="12" t="inlineStr">
        <is>
          <t>Post-codigo (commit 821026e)</t>
        </is>
      </c>
      <c r="C49" s="12" t="inlineStr">
        <is>
          <t>Auditoria &gt;=9.0: parser transforma-no-adivina (regla 7), mapeo categoria-&gt;rubro del Plan de Cuentas (fail-loud), dedup idempotente por ID nativo/huella, presupuestal neto (ingreso=neto real, sin doble conteo con SISMO). 1270 movs, 0 errores, neto verificado.</t>
        </is>
      </c>
      <c r="D49" s="12" t="inlineStr">
        <is>
          <t>Kimi (auditor externo)</t>
        </is>
      </c>
      <c r="E49" s="12" t="inlineStr">
        <is>
          <t>CEO gate-waiver 2026-07-26: cargado bajo GO del CEO tras dry-run read-only mostrado y aprobado (TDD 6 tests, suite verde, ruff limpio). Kimi RETROACTIVO pendiente.</t>
        </is>
      </c>
      <c r="F49" s="12" t="inlineStr">
        <is>
          <t>2026-07-26</t>
        </is>
      </c>
    </row>
    <row r="50">
      <c r="A50" s="12" t="inlineStr">
        <is>
          <t>Kimi reclasificacion aportes de capital</t>
        </is>
      </c>
      <c r="B50" s="12" t="inlineStr">
        <is>
          <t>Post-datos (op de datos, sin commit por PII)</t>
        </is>
      </c>
      <c r="C50" s="12" t="inlineStr">
        <is>
          <t>Auditoria &gt;=9.0: aportes de inversionistas fuera de Recaudo operativo; caja invariante; rubro no operativo; dry-run confirmo los 8 movimientos exactos antes de aplicar.</t>
        </is>
      </c>
      <c r="D50" s="12" t="inlineStr">
        <is>
          <t>Kimi (auditor externo)</t>
        </is>
      </c>
      <c r="E50" s="12" t="inlineStr">
        <is>
          <t>CEO gate-waiver 2026-07-26: reclasificado bajo GO del CEO (decisiones via AskUserQuestion, dry-run mostrado). Kimi RETROACTIVO pendiente.</t>
        </is>
      </c>
      <c r="F50" s="12" t="inlineStr">
        <is>
          <t>2026-07-26</t>
        </is>
      </c>
    </row>
    <row r="51">
      <c r="A51" s="12" t="inlineStr">
        <is>
          <t>Kimi alineacion Plan de Cuentas</t>
        </is>
      </c>
      <c r="B51" s="12" t="inlineStr">
        <is>
          <t>Post-codigo (commit 0502aff)</t>
        </is>
      </c>
      <c r="C51" s="12" t="inlineStr">
        <is>
          <t>Auditoria &gt;=9.0: poblado de codigo/grupo/tipo desde el Plan de Cuentas; correccion de grupos (Recaudo, Dotacion); dup Arriendos desactivado solo si 0 txs; no renombra; idempotente; dry-run mostrado antes de aplicar.</t>
        </is>
      </c>
      <c r="D51" s="12" t="inlineStr">
        <is>
          <t>Kimi (auditor externo)</t>
        </is>
      </c>
      <c r="E51" s="12" t="inlineStr">
        <is>
          <t>CEO gate-waiver 2026-07-26: aplicado bajo GO CEO (A+B+C) tras dry-run. Kimi RETROACTIVO pendiente.</t>
        </is>
      </c>
      <c r="F51" s="12" t="inlineStr">
        <is>
          <t>2026-07-26</t>
        </is>
      </c>
    </row>
    <row r="52">
      <c r="A52" s="12" t="inlineStr">
        <is>
          <t>GATE-WAIVER D2-backend</t>
        </is>
      </c>
      <c r="B52" s="12" t="inlineStr">
        <is>
          <t>Pre-merge PR #43</t>
        </is>
      </c>
      <c r="C52" s="12" t="inlineStr">
        <is>
          <t>CI Actions bloqueado por billing de la org (minutos agotados, ajeno a D2). Control compensatorio: gates corridos localmente verdes (pytest 672/61, ruff check, gitleaks sin leaks en commits D2, runtime import, frontend build, motor.py cero diffs). Kimi ausente -&gt; GO CEO habilita merge; auditoria Kimi retroactiva pendiente.</t>
        </is>
      </c>
      <c r="D52" s="12" t="inlineStr">
        <is>
          <t>CEO (Andres)</t>
        </is>
      </c>
      <c r="E52" s="12" t="inlineStr">
        <is>
          <t>Waiver aprobado</t>
        </is>
      </c>
      <c r="F52" s="12" t="inlineStr">
        <is>
          <t>2026-07-28</t>
        </is>
      </c>
    </row>
    <row r="53">
      <c r="A53" s="12" t="inlineStr">
        <is>
          <t>GATE-WAIVER E2-backend</t>
        </is>
      </c>
      <c r="B53" s="12" t="inlineStr">
        <is>
          <t>Pre-merge PR #46</t>
        </is>
      </c>
      <c r="C53" s="12" t="inlineStr">
        <is>
          <t>PR crítico (parsers PDF DIAN + RBAC/PII Ley 1581 + migración real). Kimi ausente (PAQUETE.pdf PR1-I listo, sin RESPUESTA). GO directo del CEO habilita merge. Controles compensatorios verdes: 728 tests, ruff format+check, pip-audit sin CVE (pdfplumber 0.11.9), gitleaks, motor.py cero diffs, y A14 verificado EN PROD (foto pre/post idéntica bit a bit). Auditoría Kimi retroactiva pendiente. NO se afirma que Kimi aprobó.</t>
        </is>
      </c>
      <c r="D53" s="12" t="inlineStr">
        <is>
          <t>CEO (Andres)</t>
        </is>
      </c>
      <c r="E53" s="12" t="inlineStr">
        <is>
          <t>Waiver aprobado</t>
        </is>
      </c>
      <c r="F53" s="12" t="inlineStr">
        <is>
          <t>2026-07-30</t>
        </is>
      </c>
    </row>
    <row r="54">
      <c r="A54" s="12" t="inlineStr">
        <is>
          <t>GATE-KIMI E2-backend</t>
        </is>
      </c>
      <c r="B54" s="12" t="inlineStr">
        <is>
          <t>Retroactivo post-merge PR #46</t>
        </is>
      </c>
      <c r="C54" s="12" t="inlineStr">
        <is>
          <t>Kimi 9.3/10 GO, SIN P0 ni P1. Hallazgos low B-1/B-2/B-3 corregidos en rama fix/e2-followup-kimi (URI por env no argv en 4 migraciones; test fail-safe de periodicidad; docstring de reversa exacto 4 claves + tipo_contribuyente). Certificado 9.3 reemplaza el waiver previo.</t>
        </is>
      </c>
      <c r="D54" s="12" t="inlineStr">
        <is>
          <t>Kimi + CEO (Andres)</t>
        </is>
      </c>
      <c r="E54" s="12" t="inlineStr">
        <is>
          <t>GO 9.3/10</t>
        </is>
      </c>
      <c r="F54" s="12" t="inlineStr">
        <is>
          <t>2026-07-30</t>
        </is>
      </c>
    </row>
    <row r="55">
      <c r="A55" s="12" t="inlineStr">
        <is>
          <t>COND O-1 (C11 retroactivo)</t>
        </is>
      </c>
      <c r="B55" s="12" t="inlineStr">
        <is>
          <t>Antes de encender IVA_ALIMENTA_PROYECCION en PROD</t>
        </is>
      </c>
      <c r="C55" s="12" t="inlineStr">
        <is>
          <t>La auditoria retroactiva de C11 PR-2/PR-2b (liquidacion + puente C11&lt;-&gt;C7) es REQUISITO para encender IVA_ALIMENTA_PROYECCION en produccion. NO encender antes, ni en pruebas contra PROD. Hoy la compuerta esta apagada (default) y asi se queda.</t>
        </is>
      </c>
      <c r="D55" s="12" t="inlineStr">
        <is>
          <t>CEO (Andres)</t>
        </is>
      </c>
      <c r="E55" s="12" t="inlineStr">
        <is>
          <t>PENDIENTE — BLOQUEA el encendido</t>
        </is>
      </c>
      <c r="F55" s="12" t="inlineStr">
        <is>
          <t>2026-07-30</t>
        </is>
      </c>
    </row>
    <row r="56">
      <c r="A56" s="12" t="inlineStr">
        <is>
          <t>GATE-KIMI FIX-A</t>
        </is>
      </c>
      <c r="B56" s="12" t="inlineStr">
        <is>
          <t>Pre-merge PR #53</t>
        </is>
      </c>
      <c r="C56" s="12" t="inlineStr">
        <is>
          <t>PR critico (nucleo del dinero: guard es_sistema, conciliacion, idempotencia/saga, TOCTOU del ciclo). Verificacion directa del arquitecto sobre el diff real via API de GitHub, pieza por pieza contra su especificacion (etapa50/51), sin evidencia de segunda mano. CI 7/7 SUCCESS incl. backend-real-mongo (candados de carrera contra replica set real). Sin P0/P1/P2 abiertos. Disclosures honestos (fixture stale, bug latente get_pymongo_collection destapado por TDD, ruff format). Condiciones post-merge: solo deploy (no toca config ni datos).</t>
        </is>
      </c>
      <c r="D56" s="12" t="inlineStr">
        <is>
          <t>Kimi (arquitecto) + CEO (Andres)</t>
        </is>
      </c>
      <c r="E56" s="12" t="inlineStr">
        <is>
          <t>GO 9.5/10</t>
        </is>
      </c>
      <c r="F56" s="12" t="inlineStr">
        <is>
          <t>2026-08-02</t>
        </is>
      </c>
    </row>
    <row r="57">
      <c r="A57" s="12" t="inlineStr">
        <is>
          <t>GATE-KIMI PR-S3</t>
        </is>
      </c>
      <c r="B57" s="12" t="inlineStr">
        <is>
          <t>Pre-merge PR #52</t>
        </is>
      </c>
      <c r="C57" s="12" t="inlineStr">
        <is>
          <t>PR critico (flujo de cargas + storage externo). Gate del arquitecto 9.5/10 GO sobre el diff real + CI 7/7 SUCCESS (gitleaks, pip-audit, backend, backend-real-mongo, runtime-imports, frontend, Vercel). Subida fail-closed (antes de insertar, no re-sube). Condicion operativa: envs S3 + bucket Object Lock + IAM antes de usar /cargas en prod.</t>
        </is>
      </c>
      <c r="D57" s="12" t="inlineStr">
        <is>
          <t>Kimi (arquitecto) + CEO (Andres)</t>
        </is>
      </c>
      <c r="E57" s="12" t="inlineStr">
        <is>
          <t>GO 9.5/10</t>
        </is>
      </c>
      <c r="F57" s="12" t="inlineStr">
        <is>
          <t>2026-08-02</t>
        </is>
      </c>
    </row>
    <row r="58">
      <c r="A58" s="12" t="inlineStr">
        <is>
          <t>GATE-KIMI FIX-B</t>
        </is>
      </c>
      <c r="B58" s="12" t="inlineStr">
        <is>
          <t>Pre-merge PR #54</t>
        </is>
      </c>
      <c r="C58" s="12" t="inlineStr">
        <is>
          <t>PR critico (migracion de datos reales julio + exclusion de ingreso_real). Gate del arquitecto 9.5/10 GO sobre el diff real via API + numeros verificados contra PROD (egreso julio 372.200.776,84; residual &lt;1M; ingresos residual 0; ingreso_real 179.710.080,31 sin los 43,4M). CI 7/7 SUCCESS. Migraciones idempotentes/DRY-RUN/URI por env/foto antes-despues; motor.py cero diffs; catalogo eventos sin crecer. Set RUBROS_NEUTROS_INGRESO_REAL creado, listo para que CR-WAVA lo extienda.</t>
        </is>
      </c>
      <c r="D58" s="12" t="inlineStr">
        <is>
          <t>Kimi (arquitecto) + CEO (Andres)</t>
        </is>
      </c>
      <c r="E58" s="12" t="inlineStr">
        <is>
          <t>GO 9.5/10</t>
        </is>
      </c>
      <c r="F58" s="12" t="inlineStr">
        <is>
          <t>2026-08-03</t>
        </is>
      </c>
    </row>
    <row r="59">
      <c r="A59" s="12" t="inlineStr">
        <is>
          <t>GATE-KIMI FIX-H</t>
        </is>
      </c>
      <c r="B59" s="12" t="inlineStr">
        <is>
          <t>Pre-merge PR #55</t>
        </is>
      </c>
      <c r="C59" s="12" t="inlineStr">
        <is>
          <t>PR critico (migracion de datos reales: rename de rubro de sistema). Gate del arquitecto 9.5/10 GO al diff. Cierra bug del guard es_sistema (destino de recaudo bloqueado). Idempotente/DRY-RUN/saga O1/colision=no-toca; rubro_id intacto; ingreso_real sin cambio; catalogo sin crecer. CI 7/7 (real-mongo flake ajeno re-corrido a verde).</t>
        </is>
      </c>
      <c r="D59" s="12" t="inlineStr">
        <is>
          <t>Kimi (arquitecto) + CEO (Andres)</t>
        </is>
      </c>
      <c r="E59" s="12" t="inlineStr">
        <is>
          <t>GO 9.5/10</t>
        </is>
      </c>
      <c r="F59" s="12" t="inlineStr">
        <is>
          <t>2026-08-03</t>
        </is>
      </c>
    </row>
    <row r="60">
      <c r="A60" s="12" t="inlineStr">
        <is>
          <t>GATE-KIMI FIX-G1</t>
        </is>
      </c>
      <c r="B60" s="12" t="inlineStr">
        <is>
          <t>Pre-merge PR #56</t>
        </is>
      </c>
      <c r="C60" s="12" t="inlineStr">
        <is>
          <t>PR critico (edicion del presupuesto aprobado). Gate del arquitecto 9.5/10 GO al diff. Comentario obligatorio en ejecucion (422), sin transicion, reusa candados A-6 (re-read 409/push posicional/saga O1) + guarda TOCTOU. UI con comentario requerido. CI 7/7 SUCCESS incl. backend-real-mongo con los tests EN_EJECUCION. motor.py cero diffs, catalogo sin crecer.</t>
        </is>
      </c>
      <c r="D60" s="12" t="inlineStr">
        <is>
          <t>Kimi (arquitecto) + CEO (Andres)</t>
        </is>
      </c>
      <c r="E60" s="12" t="inlineStr">
        <is>
          <t>GO 9.5/10</t>
        </is>
      </c>
      <c r="F60" s="12" t="inlineStr">
        <is>
          <t>2026-08-03</t>
        </is>
      </c>
    </row>
    <row r="61">
      <c r="A61" s="12" t="inlineStr">
        <is>
          <t>GATE-KIMI FIX-I</t>
        </is>
      </c>
      <c r="B61" s="12" t="inlineStr">
        <is>
          <t>Pre-merge PR #57</t>
        </is>
      </c>
      <c r="C61" s="12" t="inlineStr">
        <is>
          <t>Higiene (flake de CI en el dedup S3). Gate del arquitecto 9.5/10 GO al diff. Causa raiz read-after-write causal gap; fix con read concern majority en la lectura F-02, sin tocar escritura ni logica. CI 7/7 SUCCESS incl. backend-real-mongo.</t>
        </is>
      </c>
      <c r="D61" s="12" t="inlineStr">
        <is>
          <t>Kimi (arquitecto) + CEO (Andres)</t>
        </is>
      </c>
      <c r="E61" s="12" t="inlineStr">
        <is>
          <t>GO 9.5/10</t>
        </is>
      </c>
      <c r="F61" s="12" t="inlineStr">
        <is>
          <t>2026-08-03</t>
        </is>
      </c>
    </row>
    <row r="62">
      <c r="A62" s="12" t="inlineStr">
        <is>
          <t>GATE-KIMI CR-WAVA</t>
        </is>
      </c>
      <c r="B62" s="12" t="inlineStr">
        <is>
          <t>Pre-merge PR #58</t>
        </is>
      </c>
      <c r="C62" s="12" t="inlineStr">
        <is>
          <t>PR critico (cierre de mes + capa aditiva de caja: dinero en transito Wava). Gate del arquitecto 9.6/10 GO sobre el diff real via API, seccion por seccion contra el I-PLAN (etapa53, §1-§9). Matematica del cierre certificada intacta (Opcion B: capa aditiva declarada, remanente derivado). body {transito_wava} al request_hash canonico (422/replay); persistencia en _cerrar; metadata mes.cerrado; saga O1 en cierre y reapertura-&gt;0 (candado F841 del restore). ingreso_real excluye Transito Wava + Ajuste por rubro_id (no infla recaudo). CI 7/7 SUCCESS incl. backend-real-mongo (7 tests: trampa banco↑/remanente↓/total igual, hash canonico, O1, cierre completo, heredado 0). motor.py cero diffs, catalogo eventos sin crecer. §5/§8.8 regla C3 automatica OMITIDA (R5: falta patron Wava real -&gt; clasificacion manual en agosto). Condiciones post-merge: migracion 20260803_wava_transito.py en PROD (DRY-RUN-&gt;visto-&gt;APPLY) + cierre julio transito_wava=37.280.415.</t>
        </is>
      </c>
      <c r="D62" s="12" t="inlineStr">
        <is>
          <t>Kimi (arquitecto) + CEO (Andres)</t>
        </is>
      </c>
      <c r="E62" s="12" t="inlineStr">
        <is>
          <t>GO 9.6/10</t>
        </is>
      </c>
      <c r="F62" s="12" t="inlineStr">
        <is>
          <t>2026-08-03</t>
        </is>
      </c>
    </row>
    <row r="63">
      <c r="A63" s="12" t="inlineStr">
        <is>
          <t>GATE-KIMI CR-WAVA-2</t>
        </is>
      </c>
      <c r="B63" s="12" t="inlineStr">
        <is>
          <t>Pre-merge PR #59</t>
        </is>
      </c>
      <c r="C63" s="12" t="inlineStr">
        <is>
          <t>PR critico (clasifica movimientos de dinero: hook de transito en cargas + aplicar_pendientes). Gate del arquitecto 9.5/10 GO al diff real + GO CEO. Hook ANTES de elegir_regla; sello de sistema (regla_id=None); AsignadorTransito con cache+descuento en batch (== cargas secuenciales, no sobre-asigna); es_transito_wava reusa la MISMA normalizar_texto (sin divergencia); fail-safe si el rubro no existe. Excluido de ingreso_real por rubro_id (no infla recaudo). CI 7/7 SUCCESS incl. backend-real-mongo (6 tests del hook en transaccion real). motor.py cero diffs, catalogo eventos sin crecer. Fold de seguridad: cryptography 48.0.1-&gt;50.0.0 (CVE externo 2026-08-03).</t>
        </is>
      </c>
      <c r="D63" s="12" t="inlineStr">
        <is>
          <t>Kimi (arquitecto) + CEO (Andres)</t>
        </is>
      </c>
      <c r="E63" s="12" t="inlineStr">
        <is>
          <t>GO 9.5/10</t>
        </is>
      </c>
      <c r="F63" s="12" t="inlineStr">
        <is>
          <t>2026-08-04</t>
        </is>
      </c>
    </row>
    <row r="64">
      <c r="A64" s="12" t="inlineStr">
        <is>
          <t>GATE-KIMI FIX-J</t>
        </is>
      </c>
      <c r="B64" s="12" t="inlineStr">
        <is>
          <t>Pre-merge PR #60</t>
        </is>
      </c>
      <c r="C64" s="12" t="inlineStr">
        <is>
          <t>PR critico (cierre de mes: guarda de orden + selector de objetivo). Gate del arquitecto 9.5/10 GO al diff + GO CEO. Guarda aditiva ANTES de la transaccion (predecesor EN_EJECUCION -&gt; 409); borradores no bloquean; matematica certificada (R_M/C_M/ajuste/LIFO) intacta. Frontend opera todo sobre el objetivo + nota de orden (doble capa con el 409). CI 7/7 SUCCESS incl. backend-real-mongo (caso b: predecesor sugerido cierra). motor.py cero diffs, catalogo eventos sin crecer.</t>
        </is>
      </c>
      <c r="D64" s="12" t="inlineStr">
        <is>
          <t>Kimi (arquitecto) + CEO (Andres)</t>
        </is>
      </c>
      <c r="E64" s="12" t="inlineStr">
        <is>
          <t>GO 9.5/10</t>
        </is>
      </c>
      <c r="F64" s="12" t="inlineStr">
        <is>
          <t>2026-08-04</t>
        </is>
      </c>
    </row>
    <row r="65">
      <c r="A65" s="12" t="inlineStr">
        <is>
          <t>GATE-KIMI UI-METAS</t>
        </is>
      </c>
      <c r="B65" s="12" t="inlineStr">
        <is>
          <t>Pre-merge PR #61</t>
        </is>
      </c>
      <c r="C65" s="12" t="inlineStr">
        <is>
          <t>PR (UI informativa de metas de ingreso; no toca backend ni motor). Gate del arquitecto 9.5/10 GO al diff + GO CEO. CRUD gated por proyeccion:gestionar (regla 9), montos string, validacion antes de llamar, % del backend, exclusion de neutros en real_ejecutado. CI 7/7 SUCCESS (real-mongo verde en rerun: el rojo fue el flake test_s3_dedup_no_re_sube, ajeno al PR frontend-only).</t>
        </is>
      </c>
      <c r="D65" s="12" t="inlineStr">
        <is>
          <t>Kimi (arquitecto) + CEO (Andres)</t>
        </is>
      </c>
      <c r="E65" s="12" t="inlineStr">
        <is>
          <t>GO 9.5/10</t>
        </is>
      </c>
      <c r="F65" s="12" t="inlineStr">
        <is>
          <t>2026-08-04</t>
        </is>
      </c>
    </row>
    <row r="66">
      <c r="A66" s="12" t="inlineStr">
        <is>
          <t>GATE-KIMI FIX-F</t>
        </is>
      </c>
      <c r="B66" s="12" t="inlineStr">
        <is>
          <t>Pre-merge PR #62</t>
        </is>
      </c>
      <c r="C66" s="12" t="inlineStr">
        <is>
          <t>PR critico (dinero: override del saldo de apertura). Gate del arquitecto 9.5/10 GO al diff + GO CEO. ciclo:config + step-up MFA + verify_origin; guardas 404/409/422/422; evento saldo_inicial.editado + saga O1. CI 7/7 SUCCESS incl. backend-real-mongo (sin flake). motor.py cero diffs, catalogo sin crecer.</t>
        </is>
      </c>
      <c r="D66" s="12" t="inlineStr">
        <is>
          <t>Kimi (arquitecto) + CEO (Andres)</t>
        </is>
      </c>
      <c r="E66" s="12" t="inlineStr">
        <is>
          <t>GO 9.5/10</t>
        </is>
      </c>
      <c r="F66" s="12" t="inlineStr">
        <is>
          <t>2026-08-04</t>
        </is>
      </c>
    </row>
    <row r="67">
      <c r="A67" s="12" t="inlineStr">
        <is>
          <t>GATE-KIMI FIX-L</t>
        </is>
      </c>
      <c r="B67" s="12" t="inlineStr">
        <is>
          <t>Pre-merge PR #63</t>
        </is>
      </c>
      <c r="C67" s="12" t="inlineStr">
        <is>
          <t>PR (rampa de unidades por mes en Supuestos; el motor la consume nativo, sin adivinar). Gate del arquitecto 9.5/10 GO al diff + GO CEO. motor.py cero diffs efectivos, golden intacto. Validacion _MES/&gt;=0, tests endpoint round-trip + 422. CI 7/7 SUCCESS incl. backend-real-mongo.</t>
        </is>
      </c>
      <c r="D67" s="12" t="inlineStr">
        <is>
          <t>Kimi (arquitecto) + CEO (Andres)</t>
        </is>
      </c>
      <c r="E67" s="12" t="inlineStr">
        <is>
          <t>GO 9.5/10</t>
        </is>
      </c>
      <c r="F67" s="12" t="inlineStr">
        <is>
          <t>2026-08-04</t>
        </is>
      </c>
    </row>
    <row r="68">
      <c r="A68" s="12" t="inlineStr">
        <is>
          <t>GATE-KIMI FIX-K</t>
        </is>
      </c>
      <c r="B68" s="12" t="inlineStr">
        <is>
          <t>Pre-merge PR #64</t>
        </is>
      </c>
      <c r="C68" s="12" t="inlineStr">
        <is>
          <t>PR critico (dato real Auteco + migracion de datos de PROD). Gate del arquitecto 9.5/10 GO al diff + GO CEO. 9 facturas reales del Excel del CEO; verificacion fail-loud de totales de control (regla 7); idempotente por numero; DRY-RUN default; URI por env; capital=saldo (plazo_base=150/tasa=0, no inventa interes); las 3 pagadas no se cargan. La reconciliacion D2 §4 netea -&gt; proyeccion pagos fijos sep-dic. motor.py cero diffs, catalogo eventos sin crecer. CI 7/7 SUCCESS incl. backend-real-mongo. DRY-RUN contra PROD: totales cuadran, crearia obligacion + 9 facturas (PROD hoy 0). APPLY (FIXK_APPLY=1) post-merge con visto del CEO.</t>
        </is>
      </c>
      <c r="D68" s="12" t="inlineStr">
        <is>
          <t>Kimi (arquitecto) + CEO (Andres)</t>
        </is>
      </c>
      <c r="E68" s="12" t="inlineStr">
        <is>
          <t>GO 9.5/10</t>
        </is>
      </c>
      <c r="F68" s="12" t="inlineStr">
        <is>
          <t>2026-08-04</t>
        </is>
      </c>
    </row>
    <row r="69">
      <c r="A69" s="12" t="inlineStr">
        <is>
          <t>GATE-KIMI D2-S7</t>
        </is>
      </c>
      <c r="B69" s="12" t="inlineStr">
        <is>
          <t>Pre-merge PR #65</t>
        </is>
      </c>
      <c r="C69" s="12" t="inlineStr">
        <is>
          <t>PR critico (dinero: pago de obligaciones con distincion de origen + reconciliacion de caja). Gate del arquitecto 9.5/10 GO al diff + GO CEO. Evento nuevo factura_obligacion.pagada DECLARADO antes y aprobado (59-&gt;60), anulacion lo reutiliza via metadata (regla 11). tercero excluido de la caja / roddos+pendiente si; saga O1 en pago y anulacion; dedup por numero; RBAC proyeccion:gestionar; montos string. motor.py cero diffs, golden intacto. CI 7/7 SUCCESS incl. backend (11m) + backend-real-mongo. Frontend suite 228/228, build tsc -b + biome limpios.</t>
        </is>
      </c>
      <c r="D69" s="12" t="inlineStr">
        <is>
          <t>Kimi (arquitecto) + CEO (Andres)</t>
        </is>
      </c>
      <c r="E69" s="12" t="inlineStr">
        <is>
          <t>GO 9.5/10</t>
        </is>
      </c>
      <c r="F69" s="12" t="inlineStr">
        <is>
          <t>2026-08-04</t>
        </is>
      </c>
    </row>
    <row r="70">
      <c r="A70" s="12" t="inlineStr">
        <is>
          <t>GATE-KIMI FIX-UI-1</t>
        </is>
      </c>
      <c r="B70" s="12" t="inlineStr">
        <is>
          <t>Pre-merge PR #66</t>
        </is>
      </c>
      <c r="C70" s="12" t="inlineStr">
        <is>
          <t>PR (UI: ancho completo de Proyecciones, sin logica). Gate del arquitecto 9.5/10 GO al diff + GO CEO. Fix por ruta (helper puro + test); sticky header/1a columna intactos; sin tocar motor ni datos. CI 7/7 SUCCESS. Preview de Vercel = artefacto visual para el CEO.</t>
        </is>
      </c>
      <c r="D70" s="12" t="inlineStr">
        <is>
          <t>Kimi (arquitecto) + CEO (Andres)</t>
        </is>
      </c>
      <c r="E70" s="12" t="inlineStr">
        <is>
          <t>GO 9.5/10</t>
        </is>
      </c>
      <c r="F70" s="12" t="inlineStr">
        <is>
          <t>2026-08-04</t>
        </is>
      </c>
    </row>
    <row r="71">
      <c r="A71" s="12" t="inlineStr">
        <is>
          <t>GATE-KIMI FIX-G2</t>
        </is>
      </c>
      <c r="B71" s="12" t="inlineStr">
        <is>
          <t>Pre-merge PR #67</t>
        </is>
      </c>
      <c r="C71" s="12" t="inlineStr">
        <is>
          <t>PR critico (dinero: crea el reverso). Gate del arquitecto 9.5/10 GO al diff + GO CEO. Contra-asiento inmutable (neto 0, revierte_id), guardas 422 bancaria/409 cerrado/409 doble/motivo 422, evento reusado via=contra_asiento (catalogo sin crecer), saga O1. GET lista para el panel. motor.py sin tocar. CI 7/7 SUCCESS incl. backend (12m) + backend-real-mongo. Frontend 234/234, build+biome limpios.</t>
        </is>
      </c>
      <c r="D71" s="12" t="inlineStr">
        <is>
          <t>Kimi (arquitecto) + CEO (Andres)</t>
        </is>
      </c>
      <c r="E71" s="12" t="inlineStr">
        <is>
          <t>GO 9.5/10</t>
        </is>
      </c>
      <c r="F71" s="12" t="inlineStr">
        <is>
          <t>2026-08-04</t>
        </is>
      </c>
    </row>
    <row r="72">
      <c r="A72" s="12" t="inlineStr">
        <is>
          <t>GATE-KIMI E1-P1</t>
        </is>
      </c>
      <c r="B72" s="12" t="inlineStr">
        <is>
          <t>Pre-merge PR #68</t>
        </is>
      </c>
      <c r="C72" s="12" t="inlineStr">
        <is>
          <t>PR (E1 P1: lector puro rubro-&gt;concepto; no ancla todavia). Gate del arquitecto 9.5/10 GO al diff + GO CEO, cero hallazgos. Mapeo seccion 10 exacto; A1 neutros por rubro_id antes de la regla de grupo; R-1/R-2 parqueados (1010 entero a pago_inventario / 4040 en sin_mapear); B12 ruidoso con codigos faltantes. Funcion pura Decimal determinista. motor.py cero diffs (R0), golden intacto, IVA apagada, catalogo sin crecer, aditivo puro. CI 7/7 SUCCESS (backend 11m21s + backend-real-mongo 2m8s + frontend + gitleaks + pip-audit + runtime-imports + Vercel). Kimi re-verifico la aritmetica B9 al peso.</t>
        </is>
      </c>
      <c r="D72" s="12" t="inlineStr">
        <is>
          <t>Kimi (arquitecto) + CEO (Andres)</t>
        </is>
      </c>
      <c r="E72" s="12" t="inlineStr">
        <is>
          <t>GO 9.5/10</t>
        </is>
      </c>
      <c r="F72" s="12" t="inlineStr">
        <is>
          <t>2026-08-05</t>
        </is>
      </c>
    </row>
    <row r="73">
      <c r="A73" s="12" t="inlineStr">
        <is>
          <t>GATE-WAIVER E1-P2</t>
        </is>
      </c>
      <c r="B73" s="12" t="inlineStr">
        <is>
          <t>Pre-merge PR #69</t>
        </is>
      </c>
      <c r="C73" s="12" t="inlineStr">
        <is>
          <t>PR critico (capa de anclaje: jerarquia §1 + Regla A + re-acumulacion de caja). Merge por EXCEPCION EXPLICITA del CEO (2026-08-06) SIN gate Kimi, documentada en planning/phases/e1-anclaje-ejecucion/auditorias/PR2-I/EXCEPCION-CEO.md. Controles compensatorios verdes: B1-B6 + A3 = 15/15, regresion 137 passed, motor.py cero diffs (R0), golden intacto, ruff check + format limpios, diff sin secretos (URI enmascarada ***, revision manual). CI 7/7 SUCCESS (gitleaks paso tras recuperarse el incidente de infra de GitHub; sin usar --admin). NO toca Auteco (pago_inventario/fondeo = D2). Paquete de gate PR2-I (SOLICITUD + EVIDENCIA + PAQUETE.pdf) preparado por si se corre la auditoria Kimi post-merge. NO se afirma que Kimi aprobo.</t>
        </is>
      </c>
      <c r="D73" s="12" t="inlineStr">
        <is>
          <t>CEO (Andres)</t>
        </is>
      </c>
      <c r="E73" s="12" t="inlineStr">
        <is>
          <t>Waiver aprobado (excepcion CEO SIN gate Kimi)</t>
        </is>
      </c>
      <c r="F73" s="12" t="inlineStr">
        <is>
          <t>2026-08-06</t>
        </is>
      </c>
    </row>
    <row r="74">
      <c r="A74" s="12" t="inlineStr">
        <is>
          <t>GATE-KIMI E1-P2</t>
        </is>
      </c>
      <c r="B74" s="12" t="inlineStr">
        <is>
          <t>Retroactivo post-merge PR #69</t>
        </is>
      </c>
      <c r="C74" s="12" t="inlineStr">
        <is>
          <t>Retro-gate del arquitecto sobre el diff real completo (2.693 lineas, 9 archivos): 9.5/10 GO, CERO hallazgos. Cierra la excepcion del CEO (GATE-WAIVER E1-P2). Verificado: jerarquia §1 exacta (cerrado-&gt;real; en ejecucion-&gt;Regla A; futuro con presupuesto-&gt;definido; futuro sin-&gt;motor), Regla A por concepto ejec+max(0,defi-ejec) (D-08); mecanica de caja correcta (delta de flujo por mes -&gt; reacumular -&gt; DESPUES reescribe campos por concepto, para que neto+Σegresos==flujo al peso -B6-; no reescribir dentro de reacumular porque D1 lo comparte); Auteco intacto (pago_inventario/fondeo del motor, D2 los posee); COCK-09×E1 = composicion documentada sin doble anclaje; anclas vacio -&gt; base bit a bit == golden (B1). Tests B1/B2/B3(ejec&gt;defi)/B4/B5/A3(julio real). R0: motor.py solo en comentarios del diff, cero cambios. Golden intacto, compuerta apagada, catalogo sin crecer, CI 7/7. Este certificado 9.5 reemplaza/cierra el waiver previo.</t>
        </is>
      </c>
      <c r="D74" s="12" t="inlineStr">
        <is>
          <t>Kimi (arquitecto) + CEO (Andres)</t>
        </is>
      </c>
      <c r="E74" s="12" t="inlineStr">
        <is>
          <t>GO 9.5/10 (retro — cierra la excepción)</t>
        </is>
      </c>
      <c r="F74" s="12" t="inlineStr">
        <is>
          <t>2026-08-06</t>
        </is>
      </c>
    </row>
    <row r="75">
      <c r="A75" s="12" t="inlineStr">
        <is>
          <t>GATE-KIMI E1-P3</t>
        </is>
      </c>
      <c r="B75" s="12" t="inlineStr">
        <is>
          <t>Pre-merge PR #70</t>
        </is>
      </c>
      <c r="C75" s="12" t="inlineStr">
        <is>
          <t>PR crítico (activa E1 en prod: precedencia motor→E1→D2 + loader + exclusión D2). Gate del arquitecto en 2 rondas: I 8.7/10 NO-GO por hallazgo C-1 (BLOQUEANTE, arquitectónico del plan §3/B7 aprobado por el propio auditor, NO de la implementación): pasar frozenset(anclas) completo a D2 sobre-excluía —E1 nunca ancla Auteco— y hacía desaparecer los pagos reales de FIX-K (sep $123.392.031, oct/nov/dic) al acotar presupuesto o entrar en ejecución. Fix C-1 (commit 18cbdb0): D2 solo excluye meses CERRADOS (el pasado es del libro); en no-cerrados D2 aplica el pago real sin doble conteo (campos disjuntos, deltas aditivos). Test C-1 parametrizado RED(−10.000 paramétrico)→GREEN(−1.000.000 real). RE-GATE R 9.3/10 GO condicionado (diff limpio 3 archivos + regresión 890 passed + EVIDENCIA/PDF regenerados) — condiciones cumplidas + GO CEO. R0 motor.py cero diffs, golden intacto, ruff limpio, catálogo sin crecer, dos capas mongomock+real-mongo. Precisiones del arquitecto incorporadas (resolver de neutros al dominio; test régimen presupuesto).</t>
        </is>
      </c>
      <c r="D75" s="12" t="inlineStr">
        <is>
          <t>Kimi (arquitecto) + CEO (Andrés)</t>
        </is>
      </c>
      <c r="E75" s="12" t="inlineStr">
        <is>
          <t>GO 9.3/10 (I 8.7 NO-GO C-1 → R 9.3)</t>
        </is>
      </c>
      <c r="F75" s="12" t="inlineStr">
        <is>
          <t>2026-08-07</t>
        </is>
      </c>
    </row>
    <row r="76">
      <c r="A76" s="12" t="inlineStr">
        <is>
          <t>GATE-KIMI E1-P4</t>
        </is>
      </c>
      <c r="B76" s="12" t="inlineStr">
        <is>
          <t>Pre-merge PR #71</t>
        </is>
      </c>
      <c r="C76" s="12" t="inlineStr">
        <is>
          <t>PR (E1 P4: guarda B10 cerrado_sospechoso + PASO 0 higiene A2; no bloquea anclaje, no toca catálogo/MesControl). Gate del arquitecto 9.6/10 GO al diff + GO CEO, cero desviaciones. Verificación directa contra API: 10 archivos idénticos a la evidencia, motor.py ausente (R0), perímetro intacto (anclar/lectura/reconciliacion). B10 fronteras (50==50 no marca, D==0 no marca), PASO 0 por-mes + 2 capas Mongo, C-1 intacto (marca fuera de AnclaMes.estado), inercia definido-cerrado, B-1 cerrada con causa raíz. Regresión 901 passed / 0 fallos.</t>
        </is>
      </c>
      <c r="D76" s="12" t="inlineStr">
        <is>
          <t>Kimi (arquitecto) + CEO (Andrés)</t>
        </is>
      </c>
      <c r="E76" s="12" t="inlineStr">
        <is>
          <t>GO 9.6/10</t>
        </is>
      </c>
      <c r="F76" s="12" t="inlineStr">
        <is>
          <t>2026-08-07</t>
        </is>
      </c>
    </row>
    <row r="77">
      <c r="A77" s="12" t="inlineStr">
        <is>
          <t>GATE-KIMI E1-P5</t>
        </is>
      </c>
      <c r="B77" s="12" t="inlineStr">
        <is>
          <t>Pre-merge PR #72</t>
        </is>
      </c>
      <c r="C77" s="12" t="inlineStr">
        <is>
          <t>PR (E1 P5: exposición del shape en GET /proyeccion — meses_anclados + sin_mapear + mes_en_curso/B13; aditivo, no toca catálogo/MesControl/motor). Gate del arquitecto 9.6/10 GO al diff + GO CEO, cero desviaciones. Verificación directa contra API: 12 archivos +369/−30 idénticos a la evidencia, motor.py y perímetro (anclar/lectura/reconciliacion) ausentes del diff (R0). Los 5 puntos: sin_mapear sobre snapshot (reusa mapear_a_conceptos, R-2 aflora), B13 fecha máx. ISO + casos None, C-1 intacto (filtro D2 literal), aditividad en las 3 llamadas de _serializar, determinismo con override. Regresión 910 passed / 0 fallos.</t>
        </is>
      </c>
      <c r="D77" s="12" t="inlineStr">
        <is>
          <t>Kimi (arquitecto) + CEO (Andrés)</t>
        </is>
      </c>
      <c r="E77" s="12" t="inlineStr">
        <is>
          <t>GO 9.6/10</t>
        </is>
      </c>
      <c r="F77" s="12" t="inlineStr">
        <is>
          <t>2026-08-08</t>
        </is>
      </c>
    </row>
    <row r="78">
      <c r="A78" s="12" t="inlineStr">
        <is>
          <t>GATE-KIMI E1-P6</t>
        </is>
      </c>
      <c r="B78" s="12" t="inlineStr">
        <is>
          <t>Pre-merge PR #73</t>
        </is>
      </c>
      <c r="C78" s="12" t="inlineStr">
        <is>
          <t>PR (E1 P6, ÚLTIMA: frontend marcas de origen + mes en curso/B13 + sin_mapear + ampliación P6-b backend). Gate del arquitecto 9.4/10 GO — CIERRA EL ÉPICO E1 (6/6). Primer gate de frontend con evidencia visual: 3 capturas reales auditadas (con ejecución/corte sólido-punteado exacto + aritmética callout 168−41=127 · sospechoso ámbar/B10 · sin ciclo idéntico a hoy). Código vs PR (22 archivos, hunk P6-b línea a línea), motor/anclar/lectura/reconciliacion/MesControl/catálogo ausentes (R0). Aprobadas 2 decisiones (copy 'Resta' honesto; ampliación P6-b aditiva TDD 2 capas). 2 bajas no bloqueantes (B-1 scroll a resolución real, B-2 resta plana vs Regla A). vitest 248 · build+biome · backend 910/0.</t>
        </is>
      </c>
      <c r="D78" s="12" t="inlineStr">
        <is>
          <t>Kimi (arquitecto) + CEO (Andrés)</t>
        </is>
      </c>
      <c r="E78" s="12" t="inlineStr">
        <is>
          <t>GO 9.4/10 (cierra E1 6/6)</t>
        </is>
      </c>
      <c r="F78" s="12" t="inlineStr">
        <is>
          <t>2026-08-08</t>
        </is>
      </c>
    </row>
    <row r="79" s="13">
      <c r="A79" s="12" t="inlineStr">
        <is>
          <t>GATE-KIMI FIX-I2-II</t>
        </is>
      </c>
      <c r="B79" s="12" t="inlineStr">
        <is>
          <t>Pre-merge PR #75</t>
        </is>
      </c>
      <c r="C79" s="12" t="inlineStr">
        <is>
          <t>Fix del flake dedup F-02 (área crítica: cargas). Gate en 2 rondas: I 7.5 NO-GO (linearizable placebo, causa raíz sin validar e imposible bajo las premisas) → II 9.5 GO (causa raíz DEMOSTRADA: timestamps openpyxl + sha256 de bytes; fix del test determinista con crear=False; linearizable revertido → service.py = main). Prueba de hash doblemente verificada (dev + auditor). service.py ausente del PR. CI 8/8 verde. Recuperación del NO-GO citada por Kimi como el manual de depuración del proyecto.</t>
        </is>
      </c>
      <c r="D79" s="12" t="inlineStr">
        <is>
          <t>Kimi (arquitecto) + CEO (Andrés)</t>
        </is>
      </c>
      <c r="E79" s="12" t="inlineStr">
        <is>
          <t>GO 9.5/10 (I 7.5 NO-GO → II 9.5)</t>
        </is>
      </c>
      <c r="F79" s="12" t="inlineStr">
        <is>
          <t>2026-08-08</t>
        </is>
      </c>
    </row>
    <row r="80" s="13">
      <c r="A80" s="12" t="inlineStr">
        <is>
          <t>GATE-KIMI UX-I</t>
        </is>
      </c>
      <c r="B80" s="12" t="inlineStr">
        <is>
          <t>Pre-merge PR #76</t>
        </is>
      </c>
      <c r="C80" s="12" t="inlineStr">
        <is>
          <t>Copys UX: español de negocio en el texto visible (solo frontend, cero lógica/variables/backend). Gate del arquitecto 9.5/10 GO (checkpoint previo 9.1 con 1 precisión obligatoria: 'umbral' = 2 sentidos, clasificar no reemplazar a ciegas). Precisión verificada por Kimi en los píxeles: Cierre→«margen» (no 'mínimo de caja'; bug semántico evitado), Proyecciones→«mínimo de caja» en sus 5 lugares + «Autonomía de caja». Perímetro probado vs API (33 archivos, 0 backend/libs; etiqueta cambia, clave conc.umbral intacta). 3 puntos de lupa OK (clasificación completa incl. 3er sentido DIAN; fidelidad R5 «Reverso: no se borra nada»/«Provisión… no afecta la caja»; alcance puro-texto). 3 decisiones de criterio declaradas y aprobadas (Autonomía→ReportesPage, margen→ReporteCajaCard, tooltip NIIF). vitest 248 · build+biome · CI todo verde.</t>
        </is>
      </c>
      <c r="D80" s="12" t="inlineStr">
        <is>
          <t>Kimi (arquitecto) + CEO (Andrés)</t>
        </is>
      </c>
      <c r="E80" s="12" t="inlineStr">
        <is>
          <t>GO 9.5/10</t>
        </is>
      </c>
      <c r="F80" s="12" t="inlineStr">
        <is>
          <t>2026-08-09</t>
        </is>
      </c>
    </row>
    <row r="81" s="13">
      <c r="A81" s="12" t="inlineStr">
        <is>
          <t>GATE-KIMI DEPB-LOTE</t>
        </is>
      </c>
      <c r="B81" s="12" t="inlineStr">
        <is>
          <t>Retrospectivo (lote #10-19)</t>
        </is>
      </c>
      <c r="C81" s="12" t="inlineStr">
        <is>
          <t>Lote Dependabot cerrado (8 merged + 4 cerrados; 2 PR manuales #77/#78). Gate único del arquitecto 9.5/10 GO, verificado contra main (requirements.txt/package.json/tsconfig confirman cada versión). 4 decisiones de cierre aprobadas: cryptography #11 obsoleto (main ya 50 por CVE, mergear 49 = downgrade); jsdom manual a 29.1.1 (jsdom30 exige Node≥22 vs CI Node20, causa raíz demostrada); TS7 quita baseUrl (paths relativo resuelve @/); biome saltado (migrate bug recommended→preset:none apaga el linter; dev-only, se queda 1.9.4). fastapi 0.137 router.routes→árbol no nos afecta (no iteramos .routes). Backlog post-G1: subir CI a Node 22 LTS (Node20 deprecado).</t>
        </is>
      </c>
      <c r="D81" s="12" t="inlineStr">
        <is>
          <t>Kimi (arquitecto) + CEO (Andrés)</t>
        </is>
      </c>
      <c r="E81" s="12" t="inlineStr">
        <is>
          <t>GO 9.5/10 (lote cerrado)</t>
        </is>
      </c>
      <c r="F81" s="12" t="inlineStr">
        <is>
          <t>2026-08-09</t>
        </is>
      </c>
    </row>
    <row r="82">
      <c r="A82" s="12" t="inlineStr">
        <is>
          <t>C2P-EXCEL-DIAN</t>
        </is>
      </c>
      <c r="B82" s="12" t="inlineStr">
        <is>
          <t>PR #90 import Excel DIAN (parser de cargas = critico)</t>
        </is>
      </c>
      <c r="C82" s="12" t="inlineStr">
        <is>
          <t>GATE-WAIVER</t>
        </is>
      </c>
      <c r="D82" s="12" t="inlineStr">
        <is>
          <t>GO explicito del CEO 2026-08-11 (chat); auditoria Kimi RETROACTIVA pendiente. Evidencia: 932 passed backend + 257 frontend + dry-run 528/528 filas del export real.</t>
        </is>
      </c>
      <c r="E82" s="12" t="inlineStr">
        <is>
          <t>2026-08-11</t>
        </is>
      </c>
    </row>
    <row r="83">
      <c r="A83" s="12" t="inlineStr">
        <is>
          <t>AUTECO-2NITS</t>
        </is>
      </c>
      <c r="B83" s="12" t="inlineStr">
        <is>
          <t>PR #91 dos NITs Auteco en auto-deduccion (modulo facturas = critico)</t>
        </is>
      </c>
      <c r="C83" s="12" t="inlineStr">
        <is>
          <t>GATE-WAIVER</t>
        </is>
      </c>
      <c r="D83" s="12" t="inlineStr">
        <is>
          <t>GO explicito del CEO 2026-08-11 (chat: 'corrijamos eso'); auditoria Kimi RETROACTIVA pendiente. Evidencia: 934 passed + cruce al peso de las 9 facturas Auteco vs Excel DIAN.</t>
        </is>
      </c>
      <c r="E83" s="12" t="inlineStr">
        <is>
          <t>GO (waiver)</t>
        </is>
      </c>
      <c r="F83" s="12" t="inlineStr">
        <is>
          <t>2026-08-11</t>
        </is>
      </c>
    </row>
    <row r="84">
      <c r="A84" s="12" t="inlineStr">
        <is>
          <t>SALDO-FAVOR-DECLARADO</t>
        </is>
      </c>
      <c r="B84" s="12" t="inlineStr">
        <is>
          <t>PR saldo a favor declarado en la liquidacion (modulo IVA = critico)</t>
        </is>
      </c>
      <c r="C84" s="12" t="inlineStr">
        <is>
          <t>GATE-WAIVER</t>
        </is>
      </c>
      <c r="D84" s="12" t="inlineStr">
        <is>
          <t>GO explicito del CEO 2026-08-11 (eligio la opcion A en el chat); auditoria Kimi RETROACTIVA pendiente. Evidencia: suite completa verde + verificacion en prod con el liquidador nuevo.</t>
        </is>
      </c>
      <c r="E84" s="12" t="inlineStr">
        <is>
          <t>GO (waiver)</t>
        </is>
      </c>
      <c r="F84" s="12" t="inlineStr">
        <is>
          <t>2026-08-11</t>
        </is>
      </c>
    </row>
    <row r="85">
      <c r="A85" s="12" t="inlineStr">
        <is>
          <t>PLAN-52</t>
        </is>
      </c>
      <c r="B85" s="12" t="inlineStr">
        <is>
          <t>PR segundo plan de pago por modelo (toca puente de proyeccion = critico)</t>
        </is>
      </c>
      <c r="C85" s="12" t="inlineStr">
        <is>
          <t>GATE-WAIVER</t>
        </is>
      </c>
      <c r="D85" s="12" t="inlineStr">
        <is>
          <t>GO explicito del CEO 2026-08-11 (dio los datos y pidio construir); auditoria Kimi RETROACTIVA pendiente. Evidencia: suite backend completa + golden master + candado de particion.</t>
        </is>
      </c>
      <c r="E85" s="12" t="inlineStr">
        <is>
          <t>GO (waiver)</t>
        </is>
      </c>
      <c r="F85" s="12" t="inlineStr">
        <is>
          <t>2026-08-11</t>
        </is>
      </c>
    </row>
    <row r="86">
      <c r="A86" s="12" t="inlineStr">
        <is>
          <t>FIX-TORNADO</t>
        </is>
      </c>
      <c r="B86" s="12" t="inlineStr">
        <is>
          <t>PR #94 tornado por la tuberia completa (proyeccion = critico)</t>
        </is>
      </c>
      <c r="C86" s="12" t="inlineStr">
        <is>
          <t>GATE-WAIVER</t>
        </is>
      </c>
      <c r="D86" s="12" t="inlineStr">
        <is>
          <t>GO explicito del CEO 2026-08-11 ('Debemos corregirlo'); auditoria Kimi RETROACTIVA pendiente. Evidencia: test de consistencia tornado==pantalla + verificacion en prod con deltas reales.</t>
        </is>
      </c>
      <c r="E86" s="12" t="inlineStr">
        <is>
          <t>GO (waiver)</t>
        </is>
      </c>
      <c r="F86" s="12" t="inlineStr">
        <is>
          <t>2026-08-11</t>
        </is>
      </c>
    </row>
    <row r="87">
      <c r="A87" s="12" t="inlineStr">
        <is>
          <t>GATE-KIMI-RETRO-IVA-PLANES</t>
        </is>
      </c>
      <c r="B87" s="12" t="inlineStr">
        <is>
          <t>Auditoria RETROACTIVA iva-planes-ago26 PR1-I (PRs #90/#91/#92/#93/#94)</t>
        </is>
      </c>
      <c r="C87" s="12" t="inlineStr">
        <is>
          <t>AUDITORIA-KIMI &gt;= 9.0</t>
        </is>
      </c>
      <c r="D87" s="12" t="inlineStr">
        <is>
          <t>Kimi 2026-08-13: 9.4/10 GO — LOS 5 GATE-WAIVERS DEL 2026-08-11 QUEDAN SALDADOS (C2P-EXCEL-DIAN, AUTECO-2NITS, SALDO-FAVOR-DECLARADO, PLAN-52, FIX-TORNADO). 5 lupas respondidas; B-1 obligatoria (guard apache_por_mes) aplicada de inmediato; B-2 (validar digitos NIT config) queda en backlog. Respuesta completa en planning/phases/iva-planes-ago26/auditorias/PR1-I/RESPUESTA.md.</t>
        </is>
      </c>
      <c r="E87" s="12" t="inlineStr">
        <is>
          <t>GO 9.4</t>
        </is>
      </c>
      <c r="F87" s="12" t="inlineStr">
        <is>
          <t>2026-08-13</t>
        </is>
      </c>
    </row>
    <row r="88">
      <c r="A88" s="12" t="inlineStr">
        <is>
          <t>GATE-KIMI-RETRO-IVA-PLANES</t>
        </is>
      </c>
      <c r="B88" s="12" t="inlineStr">
        <is>
          <t>Auditoria RETROACTIVA iva-planes-ago26 PR1-I (PRs #90/#91/#92/#93/#94)</t>
        </is>
      </c>
      <c r="C88" s="12" t="inlineStr">
        <is>
          <t>AUDITORIA-KIMI &gt;= 9.0</t>
        </is>
      </c>
      <c r="D88" s="12" t="inlineStr">
        <is>
          <t>Kimi 2026-08-13: 9.4/10 GO — LOS 5 GATE-WAIVERS DEL 2026-08-11 QUEDAN SALDADOS (C2P-EXCEL-DIAN, AUTECO-2NITS, SALDO-FAVOR-DECLARADO, PLAN-52, FIX-TORNADO). 5 lupas respondidas; B-1 obligatoria (guard apache_por_mes) aplicada de inmediato; B-2 (validar digitos NIT config) queda en backlog. Respuesta completa en planning/phases/iva-planes-ago26/auditorias/PR1-I/RESPUESTA.md.</t>
        </is>
      </c>
      <c r="E88" s="12" t="inlineStr">
        <is>
          <t>GO 9.4</t>
        </is>
      </c>
      <c r="F88" s="12" t="inlineStr">
        <is>
          <t>2026-08-13</t>
        </is>
      </c>
    </row>
    <row r="89">
      <c r="A89" s="12" t="inlineStr">
        <is>
          <t>SUP-1</t>
        </is>
      </c>
      <c r="B89" s="12" t="inlineStr">
        <is>
          <t>PR #96 fix mora + tramos de crecimiento (motor y proyeccion = critico)</t>
        </is>
      </c>
      <c r="C89" s="12" t="inlineStr">
        <is>
          <t>GATE-WAIVER</t>
        </is>
      </c>
      <c r="D89" s="12" t="inlineStr">
        <is>
          <t>GO explicito del CEO 2026-08-17 (definio la semantica del delta y pidio las dos capacidades); auditoria Kimi RETROACTIVA pendiente. Evidencia: 991+263 verdes, golden master intacto, efecto medido contra PROD.</t>
        </is>
      </c>
      <c r="E89" s="12" t="inlineStr">
        <is>
          <t>GO (waiver)</t>
        </is>
      </c>
      <c r="F89" s="12" t="inlineStr">
        <is>
          <t>2026-08-17</t>
        </is>
      </c>
    </row>
    <row r="90">
      <c r="A90" s="12" t="inlineStr">
        <is>
          <t>SUP-2</t>
        </is>
      </c>
      <c r="B90" s="12" t="inlineStr">
        <is>
          <t>PR de SUP-2 (motor/proyeccion = critico)</t>
        </is>
      </c>
      <c r="C90" s="12" t="inlineStr">
        <is>
          <t>SIN KIMI (decision CEO)</t>
        </is>
      </c>
      <c r="D90" s="12" t="inlineStr">
        <is>
          <t>El CEO decidio 2026-08-22 no usar a Kimi en este tramo (esta en SISMO). La calidad la respalda la evidencia: TDD rojo-&gt;verde, suite completa, golden master intacto y efecto medido contra PROD antes de cada merge.</t>
        </is>
      </c>
      <c r="E90" s="12" t="inlineStr">
        <is>
          <t>GO CEO</t>
        </is>
      </c>
      <c r="F90" s="12" t="inlineStr">
        <is>
          <t>2026-08-22</t>
        </is>
      </c>
    </row>
    <row r="91">
      <c r="A91" s="12" t="inlineStr">
        <is>
          <t>SUP-3</t>
        </is>
      </c>
      <c r="B91" s="12" t="inlineStr">
        <is>
          <t>PR de SUP-3 (motor/proyeccion = critico)</t>
        </is>
      </c>
      <c r="C91" s="12" t="inlineStr">
        <is>
          <t>SIN KIMI (decision CEO)</t>
        </is>
      </c>
      <c r="D91" s="12" t="inlineStr">
        <is>
          <t>El CEO decidio 2026-08-22 no usar a Kimi en este tramo (esta en SISMO). La calidad la respalda la evidencia: TDD rojo-&gt;verde, suite completa, golden master intacto y efecto medido contra PROD antes de cada merge.</t>
        </is>
      </c>
      <c r="E91" s="12" t="inlineStr">
        <is>
          <t>GO CEO</t>
        </is>
      </c>
      <c r="F91" s="12" t="inlineStr">
        <is>
          <t>2026-08-22</t>
        </is>
      </c>
    </row>
    <row r="92">
      <c r="A92" s="12" t="inlineStr">
        <is>
          <t>SUP-4</t>
        </is>
      </c>
      <c r="B92" s="12" t="inlineStr">
        <is>
          <t>PR de SUP-4 (motor/proyeccion = critico)</t>
        </is>
      </c>
      <c r="C92" s="12" t="inlineStr">
        <is>
          <t>SIN KIMI (decision CEO)</t>
        </is>
      </c>
      <c r="D92" s="12" t="inlineStr">
        <is>
          <t>El CEO decidio 2026-08-22 no usar a Kimi en este tramo (esta en SISMO). La calidad la respalda la evidencia: TDD rojo-&gt;verde, suite completa, golden master intacto y efecto medido contra PROD antes de cada merge.</t>
        </is>
      </c>
      <c r="E92" s="12" t="inlineStr">
        <is>
          <t>GO CEO</t>
        </is>
      </c>
      <c r="F92" s="12" t="inlineStr">
        <is>
          <t>2026-08-22</t>
        </is>
      </c>
    </row>
    <row r="93">
      <c r="A93" s="12" t="inlineStr">
        <is>
          <t>CICLO-MENSUAL</t>
        </is>
      </c>
      <c r="B93" s="12" t="inlineStr">
        <is>
          <t>PR #100 — SUP-5 + las 8 piezas del ciclo mensual (motor/proyeccion = critico)</t>
        </is>
      </c>
      <c r="C93" s="12" t="inlineStr">
        <is>
          <t>SIN KIMI (decision CEO)</t>
        </is>
      </c>
      <c r="D93" s="12" t="inlineStr">
        <is>
          <t>El CEO decidio 2026-08-22 no usar a Kimi en este tramo (esta en SISMO); auditoria RETROACTIVA pendiente. La calidad la respalda la evidencia: contrato escrito y aprobado ANTES de construir (docs/COMPAS_Ciclo_Mensual.md), TDD rojo-&gt;verde en las 8 piezas, candado aritmetico sobre 144 meses x 3 escenarios x 3 capas, backend 1220 + frontend 286 verdes, golden master intacto (cada cambio del motor entra como parametro con default = artefacto) y los 3 deltas de agosto verificados al peso contra PROD read-only.</t>
        </is>
      </c>
      <c r="E93" s="12" t="inlineStr">
        <is>
          <t>GO CEO</t>
        </is>
      </c>
      <c r="F93" s="12" t="inlineStr">
        <is>
          <t>2026-08-23</t>
        </is>
      </c>
    </row>
    <row r="94">
      <c r="A94" s="12" t="inlineStr">
        <is>
          <t>RETRO-SUP2-CICLO</t>
        </is>
      </c>
      <c r="B94" s="12" t="inlineStr">
        <is>
          <t>Auditoria retroactiva Kimi de SUP-2..SUP-6 + ciclo P1-P7 (paga los waivers acumulados)</t>
        </is>
      </c>
      <c r="C94" s="12" t="inlineStr">
        <is>
          <t>KIMI &gt;= 9.0</t>
        </is>
      </c>
      <c r="D94" s="12" t="inlineStr">
        <is>
          <t>Paquete RETRO-I generado 2026-08-24; pendiente subir a Kimi y su nota. Hasta el gate: ninguna evolucion nueva del motor (criterio Kimi etapa75, aceptado).</t>
        </is>
      </c>
      <c r="E94" s="12" t="inlineStr">
        <is>
          <t>PENDIENTE</t>
        </is>
      </c>
    </row>
    <row r="95">
      <c r="A95" s="12" t="inlineStr">
        <is>
          <t>FABS-INC4-R2</t>
        </is>
      </c>
      <c r="B95" s="12" t="inlineStr">
        <is>
          <t>Merge de FABS inc4 rebanada 2 (what-if de palancas) + salvedad de plazo — cfo/agente (produce cifras de decision)</t>
        </is>
      </c>
      <c r="C95" s="12" t="inlineStr">
        <is>
          <t>GATE-WAIVER (Kimi no disponible ~semanas)</t>
        </is>
      </c>
      <c r="D95" s="12" t="inlineStr">
        <is>
          <t>Kimi fuera unas semanas (instruccion CEO 2026-08-26): merge con gate-waiver + GO del CEO, auditoria RETROACTIVA pendiente (armar paquete INC4-R2), NUNCA simulado. Calidad que respalda: SDD 5 tareas TDD rojo-&gt;verde + review por tarea + review final en Opus sin hallazgos Critical (atajo una colision REAL de conceptos con rebanada 1 en un mismo turno antes del merge, via namespacing); suite cfo 180 verde, golden real del pipeline, motor.py 0 diffs, S1 intacto, flag CFO_ENABLED. Mergeado d299011; caveat de plazo 7c03d57.</t>
        </is>
      </c>
      <c r="E95" s="12" t="inlineStr">
        <is>
          <t>GO CEO</t>
        </is>
      </c>
      <c r="F95" s="12" t="inlineStr">
        <is>
          <t>2026-08-29</t>
        </is>
      </c>
    </row>
    <row r="96">
      <c r="A96" s="12" t="inlineStr">
        <is>
          <t>FABS-INC4-R3</t>
        </is>
      </c>
      <c r="B96" s="12" t="inlineStr">
        <is>
          <t>Merge de FABS inc4 rebanada 3 (tendencias, 3 tools sobre data real) — cfo/agente (produce cifras de decision)</t>
        </is>
      </c>
      <c r="C96" s="12" t="inlineStr">
        <is>
          <t>GATE-WAIVER (Kimi no disponible ~semanas)</t>
        </is>
      </c>
      <c r="D96" s="12" t="inlineStr">
        <is>
          <t>Kimi fuera muchas semanas (instruccion CEO REFORZADA 2026-08-29: NADA de Kimi): merge con gate-waiver + GO del CEO, NUNCA simulado, sin perseguir paquetes retroactivos. Calidad que respalda: SDD 9 tareas TDD rojo-&gt;verde (todas aprobadas a la primera) + review por tarea + review final Opus sin Critical/Important (verifico namespacing de conceptos anti-colision, Decimal sobre money-strings, motor.py 0 diffs, S1); suite 230 verde. Sin % (va en rebanada 4). Mergeado 5e4f5d0.</t>
        </is>
      </c>
      <c r="E96" s="12" t="inlineStr">
        <is>
          <t>GO CEO</t>
        </is>
      </c>
      <c r="F96" s="12" t="inlineStr">
        <is>
          <t>2026-08-30</t>
        </is>
      </c>
    </row>
    <row r="97">
      <c r="A97" s="12" t="inlineStr">
        <is>
          <t>FABS-INC4-R4</t>
        </is>
      </c>
      <c r="B97" s="12" t="inlineStr">
        <is>
          <t>Merge de FABS inc4 rebanada 4 (ratios/% + mix, ABRE el %) — cfo/agente + verificador (control anti-alucinacion)</t>
        </is>
      </c>
      <c r="C97" s="12" t="inlineStr">
        <is>
          <t>GATE-WAIVER (Kimi no disponible ~semanas)</t>
        </is>
      </c>
      <c r="D97" s="12" t="inlineStr">
        <is>
          <t>Kimi fuera muchas semanas (NADA de Kimi, CEO): merge con gate-waiver + GO del CEO, NUNCA simulado. Punto critico auditado en la review final Opus: el unlock del % NO debilita el verificador — su logica quedo BYTE-IDENTICA (solo docstring), el modelo cita el % por token y un % crudo sigue bloqueado (test explicito). SDD 8 tareas TDD rojo-&gt;verde + review por tarea; suite 260 verde, motor.py 0 diffs, S1. Mergeado a7d241b.</t>
        </is>
      </c>
      <c r="E97" s="12" t="inlineStr">
        <is>
          <t>GO CEO</t>
        </is>
      </c>
      <c r="F97" s="12" t="inlineStr">
        <is>
          <t>2026-08-30</t>
        </is>
      </c>
    </row>
    <row r="98">
      <c r="A98" s="12" t="inlineStr">
        <is>
          <t>FABS-VIGILANTE-1</t>
        </is>
      </c>
      <c r="B98" s="12" t="inlineStr">
        <is>
          <t>Merge del vigilante (paquete del lunes) — FABS PROACTIVO: scheduler + Telegram broadcast + audit (toca dinero/auditoria/anti-alucinacion por la ruta proactiva)</t>
        </is>
      </c>
      <c r="C98" s="12" t="inlineStr">
        <is>
          <t>Kimi fuera muchas semanas (NADA de Kimi, CEO): merge con gate-waiver + GO del CEO, NUNCA simulado. Puntos criticos auditados en la review final Opus (LIMPIA en todos los criticos): la garantia anti-alucinacion se sostiene por la ruta proactiva (solo se difunde el texto YA verificado/sustituido; publicar NO re-llama al LLM ni re-verifica); soft-audit no revienta el job ni el webhook; catalogo cerrado +2 (66-&gt;68); idempotente por semana; scheduler solo en el worker y no-op con flag off; Q&amp;A intacto. 1 hallazgo Important resuelto con fix wave + test: dedup del comando publicar a la par del Q&amp;A. SDD 5 tareas TDD + review por tarea; suite cfo+audit+jobs 265 verde, motor.py 0 diffs, S1. Mergeado df3b0b1. Go-live pendiente (Paso 0: worker compas-jobs + VIGILANTE_REVISOR_TELEGRAM_ID).</t>
        </is>
      </c>
      <c r="D98" s="12" t="inlineStr">
        <is>
          <t>Kimi fuera muchas semanas (NADA de Kimi, CEO): merge con gate-waiver + GO del CEO, NUNCA simulado. Puntos criticos auditados en la review final Opus (LIMPIA en todos los criticos): la garantia anti-alucinacion se sostiene por la ruta proactiva (solo se difunde el texto YA verificado/sustituido; publicar NO re-llama al LLM ni re-verifica); soft-audit no revienta el job ni el webhook; catalogo cerrado +2 (66-&gt;68); idempotente por semana; scheduler solo en el worker y no-op con flag off; Q&amp;A intacto. 1 hallazgo Important resuelto con fix wave + test: dedup del comando publicar a la par del Q&amp;A. SDD 5 tareas TDD + review por tarea; suite cfo+audit+jobs 265 verde, motor.py 0 diffs, S1. Mergeado df3b0b1. Go-live pendiente (Paso 0: worker compas-jobs + VIGILANTE_REVISOR_TELEGRAM_ID).</t>
        </is>
      </c>
      <c r="E98" s="12" t="inlineStr">
        <is>
          <t>GO CEO</t>
        </is>
      </c>
      <c r="F98" s="12" t="inlineStr">
        <is>
          <t>2026-08-30</t>
        </is>
      </c>
    </row>
    <row r="99">
      <c r="A99" s="12" t="inlineStr">
        <is>
          <t>FABS-VIGILANTE-2</t>
        </is>
      </c>
      <c r="B99" s="12" t="inlineStr">
        <is>
          <t>Merge de la alerta por umbral de caja (vigilante pieza 2) — job proactivo + Telegram + audit; toca dinero/auditoria/anti-alucinacion por la ruta proactiva</t>
        </is>
      </c>
      <c r="C99" s="12" t="inlineStr">
        <is>
          <t>GATE-WAIVER (Kimi no disponible ~semanas)</t>
        </is>
      </c>
      <c r="D99" s="12" t="inlineStr">
        <is>
          <t>Kimi fuera muchas semanas (NADA de Kimi, CEO): merge con gate-waiver + GO del CEO, NUNCA simulado. Review final Opus LIMPIA en TODOS los criticos (0 Important): anti-alucinacion no puede filtrar cifra cruda (verificar y sustituir usan predicado byte-identico; texto determinista sin digitos crudos); el disparador REAL sobrevive a ProyeccionError (umbrales de params, no de la proyeccion) — 1 Critical cazado en Task 3 y resuelto en ronda 1; publicar nunca re-llama al LLM; catalogo cerrado +2 (68-&gt;70) soft-audit; scheduler solo worker + no-op con flag/alerta off; umbrales reusados editables; generalizacion AvisoVigilante completa. SDD 8 tareas TDD + review por tarea; suite 285 pass, motor.py 0 diffs, S1. Mergeado fe98962. Go-live pendiente (worker compas-jobs + ALERTA_CAJA_ACTIVA, default OFF).</t>
        </is>
      </c>
      <c r="E99" s="12" t="inlineStr">
        <is>
          <t>GO CEO</t>
        </is>
      </c>
      <c r="F99" s="12" t="inlineStr">
        <is>
          <t>2026-08-30</t>
        </is>
      </c>
    </row>
    <row r="100">
      <c r="A100" s="12" t="inlineStr">
        <is>
          <t>FABS-VIGILANTE-3</t>
        </is>
      </c>
      <c r="B100" s="12" t="inlineStr">
        <is>
          <t>Merge del cierre mensual comentado (vigilante pieza 3, CIERRA el vigilante) — job narrado + Telegram + audit</t>
        </is>
      </c>
      <c r="C100" s="12" t="inlineStr">
        <is>
          <t>GATE-WAIVER (Kimi no disponible ~semanas)</t>
        </is>
      </c>
      <c r="D100" s="12" t="inlineStr">
        <is>
          <t>Kimi fuera muchas semanas (NADA de Kimi, CEO): merge con gate-waiver + GO del CEO, NUNCA simulado. Review final Opus LIMPIA en criticos (0 Important): anti-alucinacion por la ruta NARRADA (consultar verifica antes de sustituir; publicar cierre no re-llama al LLM); detector del ULTIMO mes cerrado + idempotencia ANTES de consultar + sin backfill; routing por comando completo (mapa 3-way); catalogo cerrado +2 (70-&gt;72) soft; scheduler 3er job gated solo por CFO_ENABLED; CERO cambios de modelo. Fix wave de docs (4 minors) + se limpiaron 13 archivos untracked ajenos barridos por error (reset+recommit de solo 3). Rebaseado sobre main sin conflictos (catalogo 72 post-rebase). SDD 5 tareas TDD; suite 291 pass, motor 0 diffs, S1. Mergeado 54ef02f. VIGILANTE COMPLETO (3 piezas).</t>
        </is>
      </c>
      <c r="E100" s="12" t="inlineStr">
        <is>
          <t>GO CEO</t>
        </is>
      </c>
      <c r="F100" s="12" t="inlineStr">
        <is>
          <t>2026-08-30</t>
        </is>
      </c>
    </row>
    <row r="101">
      <c r="A101" s="12" t="inlineStr">
        <is>
          <t>FABS-CHAT-EMBEBIDO</t>
        </is>
      </c>
      <c r="B101" s="12" t="inlineStr">
        <is>
          <t>Merge del chat embebido de FABS (inc5/6, full-stack) — endpoint conversacional + panel; toca RBAC/anti-alucinacion/frontend</t>
        </is>
      </c>
      <c r="C101" s="12" t="inlineStr">
        <is>
          <t>GATE-WAIVER (Kimi no disponible ~semanas)</t>
        </is>
      </c>
      <c r="D101" s="12" t="inlineStr">
        <is>
          <t>Kimi fuera muchas semanas (NADA de Kimi, CEO): merge con gate-waiver + GO del CEO, NUNCA simulado. Review final Opus LIMPIA en criticos (0 Important), verificada end-to-end full-stack: anti-alucinacion por la ruta web (persiste resp.texto verificado NO crudo; scrollback=mostrado ya verificado; legacy enmascarado sin tokens; el LLM re-alimenta CRUDO); dedup de Telegram PRESERVADO por el turno web (set_dedup=False); RBAC en POST+GET+boton+panel (el gate envuelve ambos); sin Number sobre montos; hilo por str(user.id)=cross-canal real; motor 0 diffs; strict; build frontend verde. Fixes: header Content-Type (T3), gating RBAC (T4), 4 tests HTTP RBAC/404 GET /historial (fix wave). 3 minors diferidos con ruling (texto_crudo=tokens de concepto no valores/pre-existente inc2; check-then-set=limitacion aceptada de Telegram; no fail-soft=consistente con webhook). Rebaseado sobre main (PR#136) sin conflictos. SDD 5 tareas; suite cfo 288 pass. Mergeado fa5547d. 1a pieza FABS full-stack.</t>
        </is>
      </c>
      <c r="E101" s="12" t="inlineStr">
        <is>
          <t>GO CEO</t>
        </is>
      </c>
      <c r="F101" s="12" t="inlineStr">
        <is>
          <t>2026-08-31</t>
        </is>
      </c>
    </row>
    <row r="102">
      <c r="A102" t="inlineStr">
        <is>
          <t>FABS-IVA-TESORERIA</t>
        </is>
      </c>
      <c r="B102" t="inlineStr">
        <is>
          <t>Merge de la provision de IVA como tesoreria (inc6 #1, full-stack) — tool + endpoint/barra + 4o job vigilante; toca money/RBAC/anti-alucinacion/frontend</t>
        </is>
      </c>
      <c r="C102" t="inlineStr">
        <is>
          <t>GATE-WAIVER (Kimi no disponible ~semanas)</t>
        </is>
      </c>
      <c r="D102" t="inlineStr">
        <is>
          <t>Kimi fuera muchas semanas (NADA de Kimi, CEO): gate-waiver + GO del CEO, NUNCA simulado. Review final Opus LIMPIA en criticos (0 Important, GO recomendado): anti-alucinacion end-to-end (verificador byte-intacto, tool cita por token, texto proactivo determinista verify-before-substitute, formatear solo display); S1 (cfo/agente tambien en el candado -&gt; se resolvio con cierre.service.mes_en_ejecucion); objetivo de reserva CONSISTENTE en las 3 superficies (mismo ancla fondo_provision mes calendario); money Decimal/string sin float ni Number; triggers correctos; catalogo cerrado +2 (72-&gt;74) soft; wiring 4o job 2-gates + publicar iva exact-match + RBAC dashboard:leer reusado; motor 0 diffs; build frontend verde. Fixes: T6 tests directos de helpers Mongo, T8 roadmap corregido (alucinacion del implementer). 3 minors diferidos (sin_dato en la barra=Cowork; dian_cerca suprimido en bimestral=fast-follow cuando la DIAN cambie; neto advisory-vs-endpoint=split intencional). SDD 8 tareas; suite 349 pass, front 4/4. Mergeado c0f9bfe. 1a pieza de inc6.</t>
        </is>
      </c>
      <c r="E102" t="inlineStr">
        <is>
          <t>GO CEO</t>
        </is>
      </c>
      <c r="F102" t="inlineStr">
        <is>
          <t>2026-08-31</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inlineStr">
        <is>
          <t>Módulo IVA construido (PR-2/C11, main c162b85..b2acc74): entidad Factura + liquidación por período con arrastre + egreso IVA en la caja en la fecha DIAN real + período configurable (cuatri/bimestral) + fondo de provisión + vista IVA. FALTA cargar las facturas reales de May-Ago 2026 para REPRODUCIR el cuatrimestre.</t>
        </is>
      </c>
    </row>
    <row r="7" ht="15" customHeight="1" s="13">
      <c r="A7" s="18" t="n">
        <v>6</v>
      </c>
      <c r="B7" s="22" t="inlineStr">
        <is>
          <t>Audit log con los 30 eventos (29 + extracto.cargado de CR-001) + test CI de inmutabilidad</t>
        </is>
      </c>
      <c r="C7" s="18" t="inlineStr">
        <is>
          <t>Cumplido</t>
        </is>
      </c>
      <c r="D7" s="18" t="inlineStr">
        <is>
          <t>Catálogo vivo: 47 eventos (29 Spec + extracto.cargado CR-001 + transaccion.creada CR-S2 + rubro.creado/editado CR-S4 + regla x3 CR-S5 + saldo_banco.reportado CR-S6 + pago_planeado x3 CR-S7 + modelo_moto x3 + parametros_proyeccion.actualizado CR-COCK + cartera_previa.cargada Fidelidad PR-1 + factura.anulada PR-2a + loantape.cargado aging) + test de inmutabilidad del audit_log (update/remove FALLA) verde en CI.</t>
        </is>
      </c>
    </row>
    <row r="8" ht="15" customHeight="1" s="13">
      <c r="A8" s="18" t="n">
        <v>7</v>
      </c>
      <c r="B8" s="22" t="inlineStr">
        <is>
          <t>Dashboard replica la hoja Inicio con cifras idénticas, incluido ingreso proyectado (M10)</t>
        </is>
      </c>
      <c r="C8" s="18" t="inlineStr">
        <is>
          <t>Pendiente</t>
        </is>
      </c>
      <c r="D8" s="18" t="inlineStr">
        <is>
          <t>Cockpit Inicio (pulso) + Dashboards construidos (COCK-05/07): KPIs y series del motor, cobranza, colocación, cartera por añada, mora por tramo (aging LoanTape SISMO-V3) y Realidad vs proyección (actuals + rolling forecast, COCK-09). FALTA M10 ingreso modo Excel + cifras idénticas a la hoja Inicio con datos reales.</t>
        </is>
      </c>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row r="11">
      <c r="A11" s="12" t="inlineStr">
        <is>
          <t>CR-E2-EDITAR</t>
        </is>
      </c>
      <c r="B11" s="12" t="inlineStr">
        <is>
          <t>Evento factura.actualizada (catálogo 58-&gt;59) para PATCH /facturas/{id} {deducible?,origen?} + PATCH /facturas/deducibilidad (lote); fail-closed POR FACTURA. Marcar deducibilidad cambia el IVA -&gt; requiere autor (R3).</t>
        </is>
      </c>
      <c r="C11" s="12" t="inlineStr">
        <is>
          <t>CEO (PR2) / Claude</t>
        </is>
      </c>
      <c r="D11" s="12" t="inlineStr">
        <is>
          <t>2026-07-30</t>
        </is>
      </c>
      <c r="E11" s="12" t="inlineStr">
        <is>
          <t>APROBADO (GO CEO 2026-07-30) — se codifica en PR2 tras merge de #46</t>
        </is>
      </c>
      <c r="F11" s="12" t="inlineStr">
        <is>
          <t>E2 / PR2</t>
        </is>
      </c>
      <c r="G11" s="12" t="inlineStr">
        <is>
          <t>Solo audita ediciones de deducible/origen; la factura sigue inmutable en lo fiscal. motor.py sin cambios.</t>
        </is>
      </c>
    </row>
    <row r="12">
      <c r="A12" s="12" t="inlineStr">
        <is>
          <t>CR-WAVA</t>
        </is>
      </c>
      <c r="B12" s="12" t="inlineStr">
        <is>
          <t>Dinero en tránsito (Wava) en el cierre y apertura de mes: capa aditiva declarada (Opción B). Campo transito_wava en confirmar_cierre + dos líneas de caja (Bancos/En tránsito/Total) + rubro de sistema Tránsito Wava mes anterior (fuera del recaudo) + remanente derivado + aviso al siguiente cierre. Matemática certificada del cierre intacta. Evento plegado en mes.cerrado (alternativa transito.declarado para Kimi). Julio se cierra SIN esto (nota de ajuste conocido).</t>
        </is>
      </c>
      <c r="C12" s="12" t="inlineStr">
        <is>
          <t>CEO</t>
        </is>
      </c>
      <c r="D12" s="12" t="inlineStr">
        <is>
          <t>2026-08-01</t>
        </is>
      </c>
      <c r="E12" s="12" t="inlineStr">
        <is>
          <t>Aprobado por el CEO (GO 3 puntos); construcción DESPUÉS de E1; gate Kimi obligatorio (toca cierre)</t>
        </is>
      </c>
      <c r="F12" s="12" t="inlineStr">
        <is>
          <t>Post-E1</t>
        </is>
      </c>
      <c r="G12" s="12" t="inlineStr">
        <is>
          <t>Toca superficie certificada del cierre (input + metadata mes.cerrado + hash idempotencia); NO cambia la matemática (R_M/C_M/ajuste). motor.py cero diffs. Est. ~2-4 días + ronda Kimi. Ver docs/COMPAS_CR-Wava_Transito_Cierre.md</t>
        </is>
      </c>
    </row>
    <row r="13">
      <c r="A13" s="12" t="inlineStr">
        <is>
          <t>CR-AUTECO-CIERRE</t>
        </is>
      </c>
      <c r="B13" s="12" t="inlineStr">
        <is>
          <t>Derivar el pago real a Auteco al registrar cada factura Auteco-&gt;RODDOS (el documento de la factura = entra inventario disponible; dispara el reloj de 150 dias). Pago proyectado = fecha_factura + 150d (+5 meses); interes 1,6% mensual desde el mes 4 (meses 1-3 de gracia). MECANICA EXACTA (simple vs compuesto, pago unico en mes 5) PENDIENTE de confirmar con ejemplo del CEO. A medida que cierran meses, el calendario real de Auteco se extiende solo hacia adelante y el motor solo proyecta el horizonte lejano. 100% D2 (obligaciones/reconciliacion): E1 NO toca pago_inventario/fondeo. Convive con FIX-K (9 facturas sep-dic sembradas con tasa 0): dedup por numero de factura; PENDIENTE reconciliar si el interes 1,6% aplica a esas 9. Patron: hook estado-dependiente como CR-WAVA-2. Reusa FacturaObligacion + registrar_factura (D2-S7) y la reconciliacion D2.</t>
        </is>
      </c>
      <c r="C13" s="12" t="inlineStr">
        <is>
          <t>CEO</t>
        </is>
      </c>
      <c r="D13" s="12" t="inlineStr">
        <is>
          <t>2026-08-05</t>
        </is>
      </c>
      <c r="E13" s="12" t="inlineStr">
        <is>
          <t>Declarado (enfoque aprobado por el CEO 2026-08-05); diseno del CR pendiente (Q2 interes exacto + Q3 convivencia FIX-K por confirmar). No inicia hasta cerrar E1.</t>
        </is>
      </c>
      <c r="F13" s="12" t="inlineStr">
        <is>
          <t>Post-E1 (extension D2)</t>
        </is>
      </c>
      <c r="G13" s="12" t="inlineStr">
        <is>
          <t>Nuevo hook en D2 (registro de factura / cierre) + posible reconciliacion del interes en las 9 facturas de FIX-K. NO cambia E1/P2 (Auteco sigue 100% en D2). Costo/plazo: CR aparte con su plan y gate Kimi.</t>
        </is>
      </c>
    </row>
    <row r="14">
      <c r="A14" s="12" t="inlineStr">
        <is>
          <t>CR-PTS6F</t>
        </is>
      </c>
      <c r="B14" s="12" t="inlineStr">
        <is>
          <t>Cartera de apertura: refresco mensual de la serie de recaudo desde el LoanTape (cierra el hueco estructural del motor sin estado de apertura; capa aditiva, motor cero diffs). docs/COMPAS_CR-PTS6F_Cartera_Apertura.md</t>
        </is>
      </c>
      <c r="C14" s="12" t="inlineStr">
        <is>
          <t>CEO / Claude</t>
        </is>
      </c>
      <c r="D14" s="12" t="inlineStr">
        <is>
          <t>2026-08-10</t>
        </is>
      </c>
      <c r="E14" s="12" t="inlineStr">
        <is>
          <t>Borrador — espera GO del CEO (4 decisiones Q1-Q4)</t>
        </is>
      </c>
      <c r="F14" s="12" t="inlineStr">
        <is>
          <t>Cola 6-puntos (post-FABS fundación)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2026-08-31T22:57:48Z</dcterms:modified>
  <cp:revision>0</cp:revision>
</cp:coreProperties>
</file>