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Dashboard" sheetId="1" state="visible" r:id="rId1"/>
    <sheet xmlns:r="http://schemas.openxmlformats.org/officeDocument/2006/relationships" name="Tareas" sheetId="2" state="visible" r:id="rId2"/>
    <sheet xmlns:r="http://schemas.openxmlformats.org/officeDocument/2006/relationships" name="Gates" sheetId="3" state="visible" r:id="rId3"/>
    <sheet xmlns:r="http://schemas.openxmlformats.org/officeDocument/2006/relationships" name="DoD" sheetId="4" state="visible" r:id="rId4"/>
    <sheet xmlns:r="http://schemas.openxmlformats.org/officeDocument/2006/relationships" name="CRs" sheetId="5" state="visible" r:id="rId5"/>
    <sheet xmlns:r="http://schemas.openxmlformats.org/officeDocument/2006/relationships" name="Leyenda" sheetId="6" state="visible" r:id="rId6"/>
  </sheets>
  <definedNames>
    <definedName name="_xlnm._FilterDatabase" localSheetId="1" hidden="1">'Tareas'!$A$1:$I$37</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1F4E79"/>
      <sz val="16"/>
    </font>
    <font>
      <name val="Arial"/>
      <charset val="1"/>
      <family val="0"/>
      <i val="1"/>
      <sz val="10"/>
    </font>
    <font>
      <name val="Arial"/>
      <charset val="1"/>
      <family val="0"/>
      <b val="1"/>
      <sz val="11"/>
    </font>
    <font>
      <name val="Arial"/>
      <charset val="1"/>
      <family val="0"/>
      <b val="1"/>
      <color rgb="FFFFFFFF"/>
      <sz val="10"/>
    </font>
    <font>
      <name val="Arial"/>
      <charset val="1"/>
      <family val="0"/>
      <sz val="10"/>
    </font>
    <font>
      <name val="Arial"/>
      <charset val="1"/>
      <family val="0"/>
      <b val="1"/>
      <color rgb="FF1F4E79"/>
      <sz val="13"/>
    </font>
  </fonts>
  <fills count="4">
    <fill>
      <patternFill/>
    </fill>
    <fill>
      <patternFill patternType="gray125"/>
    </fill>
    <fill>
      <patternFill patternType="solid">
        <fgColor rgb="FF1F4E79"/>
        <bgColor rgb="FF003366"/>
      </patternFill>
    </fill>
    <fill>
      <patternFill patternType="solid">
        <fgColor rgb="FFFFF2CC"/>
        <bgColor rgb="FFFFFFFF"/>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0" applyAlignment="1" pivotButton="0" quotePrefix="0" xfId="0">
      <alignment horizontal="general" vertical="center" wrapText="1"/>
    </xf>
    <xf numFmtId="0" fontId="8" fillId="0" borderId="1" applyAlignment="1" pivotButton="0" quotePrefix="0" xfId="0">
      <alignment horizontal="general" vertical="bottom"/>
    </xf>
    <xf numFmtId="9" fontId="8" fillId="0" borderId="1" applyAlignment="1" pivotButton="0" quotePrefix="0" xfId="0">
      <alignment horizontal="general" vertical="bottom"/>
    </xf>
    <xf numFmtId="0" fontId="8" fillId="3" borderId="1" applyAlignment="1" pivotButton="0" quotePrefix="0" xfId="0">
      <alignment horizontal="general" vertical="bottom"/>
    </xf>
    <xf numFmtId="9" fontId="8" fillId="3" borderId="1" applyAlignment="1" pivotButton="0" quotePrefix="0" xfId="0">
      <alignment horizontal="general" vertical="bottom"/>
    </xf>
    <xf numFmtId="0" fontId="8" fillId="0" borderId="1" applyAlignment="1" pivotButton="0" quotePrefix="0" xfId="0">
      <alignment horizontal="general" vertical="top" wrapText="1"/>
    </xf>
    <xf numFmtId="0" fontId="9" fillId="0" borderId="0" applyAlignment="1" pivotButton="0" quotePrefix="0" xfId="0">
      <alignment horizontal="general" vertical="bottom"/>
    </xf>
    <xf numFmtId="0" fontId="8"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0" applyAlignment="1" pivotButton="0" quotePrefix="0" xfId="0">
      <alignment horizontal="general" vertical="center" wrapText="1"/>
    </xf>
    <xf numFmtId="0" fontId="8" fillId="0" borderId="1" applyAlignment="1" pivotButton="0" quotePrefix="0" xfId="0">
      <alignment horizontal="general" vertical="bottom"/>
    </xf>
    <xf numFmtId="9" fontId="8" fillId="0" borderId="1" applyAlignment="1" pivotButton="0" quotePrefix="0" xfId="0">
      <alignment horizontal="general" vertical="bottom"/>
    </xf>
    <xf numFmtId="0" fontId="8" fillId="3" borderId="1" applyAlignment="1" pivotButton="0" quotePrefix="0" xfId="0">
      <alignment horizontal="general" vertical="bottom"/>
    </xf>
    <xf numFmtId="9" fontId="8" fillId="3" borderId="1" applyAlignment="1" pivotButton="0" quotePrefix="0" xfId="0">
      <alignment horizontal="general" vertical="bottom"/>
    </xf>
    <xf numFmtId="0" fontId="8" fillId="0" borderId="1" applyAlignment="1" pivotButton="0" quotePrefix="0" xfId="0">
      <alignment horizontal="general" vertical="top" wrapText="1"/>
    </xf>
    <xf numFmtId="0" fontId="9" fillId="0" borderId="0" applyAlignment="1" pivotButton="0" quotePrefix="0" xfId="0">
      <alignment horizontal="general" vertical="bottom"/>
    </xf>
    <xf numFmtId="0" fontId="8"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patternType="solid">
          <fgColor rgb="FF1F4E79"/>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D2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12" min="1" max="1"/>
    <col width="10" customWidth="1" style="12" min="2" max="2"/>
    <col width="26" customWidth="1" style="12" min="3" max="3"/>
    <col width="10" customWidth="1" style="12" min="4" max="4"/>
  </cols>
  <sheetData>
    <row r="1" ht="19.7" customHeight="1" s="13">
      <c r="A1" s="14" t="inlineStr">
        <is>
          <t>COMPAS — Control de Desarrollo</t>
        </is>
      </c>
    </row>
    <row r="2" ht="15" customHeight="1" s="13">
      <c r="A2" s="15" t="inlineStr">
        <is>
          <t>Baseline v1.1.2 + CR-001 · Certificado GO 9.3/10 · Go-live: 10 semanas</t>
        </is>
      </c>
    </row>
    <row r="4" ht="15" customHeight="1" s="13">
      <c r="A4" s="16" t="inlineStr">
        <is>
          <t>Avance por sprint (se actualiza solo al cambiar Estado en la hoja Tareas)</t>
        </is>
      </c>
    </row>
    <row r="6" ht="15" customHeight="1" s="13">
      <c r="A6" s="17" t="inlineStr">
        <is>
          <t>Sprint</t>
        </is>
      </c>
      <c r="B6" s="17" t="inlineStr">
        <is>
          <t>Tareas</t>
        </is>
      </c>
      <c r="C6" s="17" t="inlineStr">
        <is>
          <t>Cerradas (Hecha+Verificada)</t>
        </is>
      </c>
      <c r="D6" s="17" t="inlineStr">
        <is>
          <t>% Avance</t>
        </is>
      </c>
    </row>
    <row r="7" ht="15" customHeight="1" s="13">
      <c r="A7" s="18" t="inlineStr">
        <is>
          <t>Sprint 0</t>
        </is>
      </c>
      <c r="B7" s="18">
        <f>COUNTIF(Tareas!B:B,A7)</f>
        <v/>
      </c>
      <c r="C7" s="18">
        <f>COUNTIFS(Tareas!B:B,A7,Tareas!F:F,"Hecha")+COUNTIFS(Tareas!B:B,A7,Tareas!F:F,"Verificada")</f>
        <v/>
      </c>
      <c r="D7" s="19">
        <f>IF(B7=0,0,C7/B7)</f>
        <v/>
      </c>
    </row>
    <row r="8" ht="15" customHeight="1" s="13">
      <c r="A8" s="18" t="inlineStr">
        <is>
          <t>Sprint 0b</t>
        </is>
      </c>
      <c r="B8" s="18">
        <f>COUNTIF(Tareas!B:B,A8)</f>
        <v/>
      </c>
      <c r="C8" s="18">
        <f>COUNTIFS(Tareas!B:B,A8,Tareas!F:F,"Hecha")+COUNTIFS(Tareas!B:B,A8,Tareas!F:F,"Verificada")</f>
        <v/>
      </c>
      <c r="D8" s="19">
        <f>IF(B8=0,0,C8/B8)</f>
        <v/>
      </c>
    </row>
    <row r="9" ht="15" customHeight="1" s="13">
      <c r="A9" s="18" t="inlineStr">
        <is>
          <t>Sprint 1</t>
        </is>
      </c>
      <c r="B9" s="18">
        <f>COUNTIF(Tareas!B:B,A9)</f>
        <v/>
      </c>
      <c r="C9" s="18">
        <f>COUNTIFS(Tareas!B:B,A9,Tareas!F:F,"Hecha")+COUNTIFS(Tareas!B:B,A9,Tareas!F:F,"Verificada")</f>
        <v/>
      </c>
      <c r="D9" s="19">
        <f>IF(B9=0,0,C9/B9)</f>
        <v/>
      </c>
    </row>
    <row r="10" ht="15" customHeight="1" s="13">
      <c r="A10" s="18" t="inlineStr">
        <is>
          <t>Sprint 2</t>
        </is>
      </c>
      <c r="B10" s="18">
        <f>COUNTIF(Tareas!B:B,A10)</f>
        <v/>
      </c>
      <c r="C10" s="18">
        <f>COUNTIFS(Tareas!B:B,A10,Tareas!F:F,"Hecha")+COUNTIFS(Tareas!B:B,A10,Tareas!F:F,"Verificada")</f>
        <v/>
      </c>
      <c r="D10" s="19">
        <f>IF(B10=0,0,C10/B10)</f>
        <v/>
      </c>
    </row>
    <row r="11" ht="15" customHeight="1" s="13">
      <c r="A11" s="18" t="inlineStr">
        <is>
          <t>Sprint 3</t>
        </is>
      </c>
      <c r="B11" s="18">
        <f>COUNTIF(Tareas!B:B,A11)</f>
        <v/>
      </c>
      <c r="C11" s="18">
        <f>COUNTIFS(Tareas!B:B,A11,Tareas!F:F,"Hecha")+COUNTIFS(Tareas!B:B,A11,Tareas!F:F,"Verificada")</f>
        <v/>
      </c>
      <c r="D11" s="19">
        <f>IF(B11=0,0,C11/B11)</f>
        <v/>
      </c>
    </row>
    <row r="12" ht="15" customHeight="1" s="13">
      <c r="A12" s="18" t="inlineStr">
        <is>
          <t>Sprint 4</t>
        </is>
      </c>
      <c r="B12" s="18">
        <f>COUNTIF(Tareas!B:B,A12)</f>
        <v/>
      </c>
      <c r="C12" s="18">
        <f>COUNTIFS(Tareas!B:B,A12,Tareas!F:F,"Hecha")+COUNTIFS(Tareas!B:B,A12,Tareas!F:F,"Verificada")</f>
        <v/>
      </c>
      <c r="D12" s="19">
        <f>IF(B12=0,0,C12/B12)</f>
        <v/>
      </c>
    </row>
    <row r="13" ht="15" customHeight="1" s="13">
      <c r="A13" s="18" t="inlineStr">
        <is>
          <t>Sprint 5</t>
        </is>
      </c>
      <c r="B13" s="18">
        <f>COUNTIF(Tareas!B:B,A13)</f>
        <v/>
      </c>
      <c r="C13" s="18">
        <f>COUNTIFS(Tareas!B:B,A13,Tareas!F:F,"Hecha")+COUNTIFS(Tareas!B:B,A13,Tareas!F:F,"Verificada")</f>
        <v/>
      </c>
      <c r="D13" s="19">
        <f>IF(B13=0,0,C13/B13)</f>
        <v/>
      </c>
    </row>
    <row r="14" ht="15" customHeight="1" s="13">
      <c r="A14" s="18" t="inlineStr">
        <is>
          <t>Sprint 6a</t>
        </is>
      </c>
      <c r="B14" s="18">
        <f>COUNTIF(Tareas!B:B,A14)</f>
        <v/>
      </c>
      <c r="C14" s="18">
        <f>COUNTIFS(Tareas!B:B,A14,Tareas!F:F,"Hecha")+COUNTIFS(Tareas!B:B,A14,Tareas!F:F,"Verificada")</f>
        <v/>
      </c>
      <c r="D14" s="19">
        <f>IF(B14=0,0,C14/B14)</f>
        <v/>
      </c>
    </row>
    <row r="15" ht="15" customHeight="1" s="13">
      <c r="A15" s="18" t="inlineStr">
        <is>
          <t>Sprint 6b</t>
        </is>
      </c>
      <c r="B15" s="18">
        <f>COUNTIF(Tareas!B:B,A15)</f>
        <v/>
      </c>
      <c r="C15" s="18">
        <f>COUNTIFS(Tareas!B:B,A15,Tareas!F:F,"Hecha")+COUNTIFS(Tareas!B:B,A15,Tareas!F:F,"Verificada")</f>
        <v/>
      </c>
      <c r="D15" s="19">
        <f>IF(B15=0,0,C15/B15)</f>
        <v/>
      </c>
    </row>
    <row r="16" ht="15" customHeight="1" s="13">
      <c r="A16" s="18" t="inlineStr">
        <is>
          <t>Sprint 7</t>
        </is>
      </c>
      <c r="B16" s="18">
        <f>COUNTIF(Tareas!B:B,A16)</f>
        <v/>
      </c>
      <c r="C16" s="18">
        <f>COUNTIFS(Tareas!B:B,A16,Tareas!F:F,"Hecha")+COUNTIFS(Tareas!B:B,A16,Tareas!F:F,"Verificada")</f>
        <v/>
      </c>
      <c r="D16" s="19">
        <f>IF(B16=0,0,C16/B16)</f>
        <v/>
      </c>
    </row>
    <row r="17" ht="15" customHeight="1" s="13">
      <c r="A17" s="18" t="inlineStr">
        <is>
          <t>Sprint 8</t>
        </is>
      </c>
      <c r="B17" s="18">
        <f>COUNTIF(Tareas!B:B,A17)</f>
        <v/>
      </c>
      <c r="C17" s="18">
        <f>COUNTIFS(Tareas!B:B,A17,Tareas!F:F,"Hecha")+COUNTIFS(Tareas!B:B,A17,Tareas!F:F,"Verificada")</f>
        <v/>
      </c>
      <c r="D17" s="19">
        <f>IF(B17=0,0,C17/B17)</f>
        <v/>
      </c>
    </row>
    <row r="18" ht="15" customHeight="1" s="13">
      <c r="A18" s="18" t="inlineStr">
        <is>
          <t>Post-plan</t>
        </is>
      </c>
      <c r="B18" s="18">
        <f>COUNTIF(Tareas!B:B,A18)</f>
        <v/>
      </c>
      <c r="C18" s="18">
        <f>COUNTIFS(Tareas!B:B,A18,Tareas!F:F,"Hecha")+COUNTIFS(Tareas!B:B,A18,Tareas!F:F,"Verificada")</f>
        <v/>
      </c>
      <c r="D18" s="19">
        <f>IF(B18=0,0,C18/B18)</f>
        <v/>
      </c>
    </row>
    <row r="19" ht="15" customHeight="1" s="13">
      <c r="A19" s="18" t="inlineStr">
        <is>
          <t>Externos</t>
        </is>
      </c>
      <c r="B19" s="18">
        <f>COUNTIF(Tareas!B:B,A19)</f>
        <v/>
      </c>
      <c r="C19" s="18">
        <f>COUNTIFS(Tareas!B:B,A19,Tareas!F:F,"Hecha")+COUNTIFS(Tareas!B:B,A19,Tareas!F:F,"Verificada")</f>
        <v/>
      </c>
      <c r="D19" s="19">
        <f>IF(B19=0,0,C19/B19)</f>
        <v/>
      </c>
    </row>
    <row r="20" ht="15" customHeight="1" s="13">
      <c r="A20" s="18" t="inlineStr">
        <is>
          <t>2.0 · Fase 0</t>
        </is>
      </c>
      <c r="B20" s="18">
        <f>COUNTIF(Tareas!B:B,A20)</f>
        <v/>
      </c>
      <c r="C20" s="18">
        <f>COUNTIFS(Tareas!B:B,A20,Tareas!F:F,"Hecha")+COUNTIFS(Tareas!B:B,A20,Tareas!F:F,"Verificada")</f>
        <v/>
      </c>
      <c r="D20" s="19">
        <f>IF(B20=0,0,C20/B20)</f>
        <v/>
      </c>
    </row>
    <row r="21">
      <c r="A21" s="18" t="inlineStr">
        <is>
          <t>2.0 · Funcional</t>
        </is>
      </c>
      <c r="B21" s="18">
        <f>COUNTIF(Tareas!B:B,A21)</f>
        <v/>
      </c>
      <c r="C21" s="18">
        <f>COUNTIFS(Tareas!B:B,A21,Tareas!F:F,"Hecha")+COUNTIFS(Tareas!B:B,A21,Tareas!F:F,"Verificada")</f>
        <v/>
      </c>
      <c r="D21" s="19">
        <f>IF(B21=0,0,C21/B21)</f>
        <v/>
      </c>
    </row>
    <row r="22">
      <c r="A22" s="18" t="inlineStr">
        <is>
          <t>2.0 · Visual</t>
        </is>
      </c>
      <c r="B22" s="18">
        <f>COUNTIF(Tareas!B:B,A22)</f>
        <v/>
      </c>
      <c r="C22" s="18">
        <f>COUNTIFS(Tareas!B:B,A22,Tareas!F:F,"Hecha")+COUNTIFS(Tareas!B:B,A22,Tareas!F:F,"Verificada")</f>
        <v/>
      </c>
      <c r="D22" s="19">
        <f>IF(B22=0,0,C22/B22)</f>
        <v/>
      </c>
    </row>
    <row r="23">
      <c r="A23" s="18" t="inlineStr">
        <is>
          <t>2.0 · Gates</t>
        </is>
      </c>
      <c r="B23" s="18">
        <f>COUNTIF(Tareas!B:B,A23)</f>
        <v/>
      </c>
      <c r="C23" s="18">
        <f>COUNTIFS(Tareas!B:B,A23,Tareas!F:F,"Hecha")+COUNTIFS(Tareas!B:B,A23,Tareas!F:F,"Verificada")</f>
        <v/>
      </c>
      <c r="D23" s="19">
        <f>IF(B23=0,0,C23/B23)</f>
        <v/>
      </c>
    </row>
    <row r="24">
      <c r="A24" s="18" t="inlineStr">
        <is>
          <t>2.0 · Backlog</t>
        </is>
      </c>
      <c r="B24" s="18">
        <f>COUNTIF(Tareas!B:B,A24)</f>
        <v/>
      </c>
      <c r="C24" s="18">
        <f>COUNTIFS(Tareas!B:B,A24,Tareas!F:F,"Hecha")+COUNTIFS(Tareas!B:B,A24,Tareas!F:F,"Verificada")</f>
        <v/>
      </c>
      <c r="D24" s="19">
        <f>IF(B24=0,0,C24/B24)</f>
        <v/>
      </c>
    </row>
    <row r="25">
      <c r="A25" s="18" t="inlineStr">
        <is>
          <t>TOTAL</t>
        </is>
      </c>
      <c r="B25" s="18">
        <f>SUM(B7:B24)</f>
        <v/>
      </c>
      <c r="C25" s="18">
        <f>SUM(C7:C24)</f>
        <v/>
      </c>
      <c r="D25" s="19">
        <f>IF(B25=0,0,C25/B25)</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I19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2" min="1" max="1"/>
    <col width="10" customWidth="1" style="12" min="2" max="2"/>
    <col width="8" customWidth="1" style="12" min="3" max="3"/>
    <col width="62" customWidth="1" style="12" min="4" max="4"/>
    <col width="18" customWidth="1" style="12" min="5" max="5"/>
    <col width="12" customWidth="1" style="12" min="6" max="7"/>
    <col width="30" customWidth="1" style="12" min="8" max="8"/>
    <col width="9" customWidth="1" style="12" min="9" max="9"/>
  </cols>
  <sheetData>
    <row r="1" ht="23.85" customHeight="1" s="13">
      <c r="A1" s="17" t="inlineStr">
        <is>
          <t>ID</t>
        </is>
      </c>
      <c r="B1" s="17" t="inlineStr">
        <is>
          <t>Sprint</t>
        </is>
      </c>
      <c r="C1" s="17" t="inlineStr">
        <is>
          <t>Semana</t>
        </is>
      </c>
      <c r="D1" s="17" t="inlineStr">
        <is>
          <t>Tarea / Entregable</t>
        </is>
      </c>
      <c r="E1" s="17" t="inlineStr">
        <is>
          <t>Responsable</t>
        </is>
      </c>
      <c r="F1" s="17" t="inlineStr">
        <is>
          <t>Estado</t>
        </is>
      </c>
      <c r="G1" s="17" t="inlineStr">
        <is>
          <t>Fecha cierre</t>
        </is>
      </c>
      <c r="H1" s="17" t="inlineStr">
        <is>
          <t>Evidencia / Nota</t>
        </is>
      </c>
      <c r="I1" s="17" t="inlineStr">
        <is>
          <t>Gate-DoD</t>
        </is>
      </c>
    </row>
    <row r="2" ht="23.85" customHeight="1" s="13">
      <c r="A2" s="18" t="inlineStr">
        <is>
          <t>S0-01</t>
        </is>
      </c>
      <c r="B2" s="18" t="inlineStr">
        <is>
          <t>Sprint 0</t>
        </is>
      </c>
      <c r="C2" s="18" t="inlineStr">
        <is>
          <t>1</t>
        </is>
      </c>
      <c r="D2" s="22" t="inlineStr">
        <is>
          <t>Repo GitHub creado (RoddosCol/compas, rama main) con baseline documental v1.1.2 + CR-001</t>
        </is>
      </c>
      <c r="E2" s="18" t="inlineStr">
        <is>
          <t>Andrés</t>
        </is>
      </c>
      <c r="F2" s="18" t="inlineStr">
        <is>
          <t>Hecha</t>
        </is>
      </c>
      <c r="G2" s="18" t="inlineStr">
        <is>
          <t>2026-07-18</t>
        </is>
      </c>
      <c r="H2" s="22" t="inlineStr">
        <is>
          <t>Commit eb34afe pushed</t>
        </is>
      </c>
      <c r="I2" s="18" t="n"/>
    </row>
    <row r="3" ht="15" customHeight="1" s="13">
      <c r="A3" s="18" t="inlineStr">
        <is>
          <t>S0-02</t>
        </is>
      </c>
      <c r="B3" s="18" t="inlineStr">
        <is>
          <t>Sprint 0</t>
        </is>
      </c>
      <c r="C3" s="18" t="inlineStr">
        <is>
          <t>1</t>
        </is>
      </c>
      <c r="D3" s="22" t="inlineStr">
        <is>
          <t>Claude Code instalado y autenticado (v2.1.214)</t>
        </is>
      </c>
      <c r="E3" s="18" t="inlineStr">
        <is>
          <t>Andrés</t>
        </is>
      </c>
      <c r="F3" s="18" t="inlineStr">
        <is>
          <t>Hecha</t>
        </is>
      </c>
      <c r="G3" s="18" t="inlineStr">
        <is>
          <t>2026-07-18</t>
        </is>
      </c>
      <c r="H3" s="22" t="inlineStr">
        <is>
          <t>install.ps1 nativo Windows</t>
        </is>
      </c>
      <c r="I3" s="18" t="n"/>
    </row>
    <row r="4" ht="35.05" customHeight="1" s="13">
      <c r="A4" s="18" t="inlineStr">
        <is>
          <t>S0-03</t>
        </is>
      </c>
      <c r="B4" s="18" t="inlineStr">
        <is>
          <t>Sprint 0</t>
        </is>
      </c>
      <c r="C4" s="18" t="inlineStr">
        <is>
          <t>1</t>
        </is>
      </c>
      <c r="D4" s="22" t="inlineStr">
        <is>
          <t>Sesión 1: esqueleto backend FastAPI (app/, Settings, /health, Beanie, RUN_SCHEDULER condicional) + esqueleto frontend (Vite+React+TS+Tailwind+shadcn) con tests verdes</t>
        </is>
      </c>
      <c r="E4" s="18" t="inlineStr">
        <is>
          <t>Claude Code + Andrés</t>
        </is>
      </c>
      <c r="F4" s="18" t="inlineStr">
        <is>
          <t>Hecha</t>
        </is>
      </c>
      <c r="G4" s="18" t="inlineStr">
        <is>
          <t>2026-07-18</t>
        </is>
      </c>
      <c r="H4" s="22" t="inlineStr">
        <is>
          <t>Commit 61048ac — esqueleto backend+frontend verde (pytest 9/1skip, build+vitest 3/3, npm audit 0 vulns)</t>
        </is>
      </c>
      <c r="I4" s="18" t="n"/>
    </row>
    <row r="5" ht="35.05" customHeight="1" s="13">
      <c r="A5" s="18" t="inlineStr">
        <is>
          <t>S0-04</t>
        </is>
      </c>
      <c r="B5" s="18" t="inlineStr">
        <is>
          <t>Sprint 0</t>
        </is>
      </c>
      <c r="C5" s="18" t="inlineStr">
        <is>
          <t>1</t>
        </is>
      </c>
      <c r="D5" s="22" t="inlineStr">
        <is>
          <t>Sesión 2: portar de SISMO auth JWT (token_version, logout/denylist, rotación refresh), RBAC 4 roles, audit_log append-only + test CI de inmutabilidad + docs/PORTADO_DE_SISMO.md</t>
        </is>
      </c>
      <c r="E5" s="18" t="inlineStr">
        <is>
          <t>Claude Code + Andrés</t>
        </is>
      </c>
      <c r="F5" s="18" t="inlineStr">
        <is>
          <t>Hecha</t>
        </is>
      </c>
      <c r="G5" s="18" t="inlineStr">
        <is>
          <t>2026-07-19</t>
        </is>
      </c>
      <c r="H5" s="22" t="inlineStr">
        <is>
          <t>SESIÓN 2 COMPLETA (audit→auth→RBAC), 3/3 PRs GO por Kimi: PR-1 9.2, PR-2 9.3, PR-3 9.5 (+ gate PLAN 9.1). Commit 6a6ef63. pytest 80/6skip, ruff limpio.</t>
        </is>
      </c>
      <c r="I5" s="18" t="inlineStr">
        <is>
          <t>G1</t>
        </is>
      </c>
    </row>
    <row r="6" ht="23.85" customHeight="1" s="13">
      <c r="A6" s="18" t="inlineStr">
        <is>
          <t>S0-05</t>
        </is>
      </c>
      <c r="B6" s="18" t="inlineStr">
        <is>
          <t>Sprint 0</t>
        </is>
      </c>
      <c r="C6" s="18" t="inlineStr">
        <is>
          <t>1</t>
        </is>
      </c>
      <c r="D6" s="22" t="inlineStr">
        <is>
          <t>Sesión 3: CI/CD GitHub Actions (lint+tests+build+pip-audit+gitleaks bloqueantes; main→staging; tag→production con reviewer) + Dependabot</t>
        </is>
      </c>
      <c r="E6" s="18" t="inlineStr">
        <is>
          <t>Claude Code + Andrés</t>
        </is>
      </c>
      <c r="F6" s="18" t="inlineStr">
        <is>
          <t>Hecha</t>
        </is>
      </c>
      <c r="G6" s="18" t="inlineStr">
        <is>
          <t>2026-07-20</t>
        </is>
      </c>
      <c r="H6" s="22" t="inlineStr">
        <is>
          <t>PR #6 merge 3a1536d; CI 5 jobs verdes (run 29771391813); Kimi PR-I GO 9.5; DoD #8</t>
        </is>
      </c>
      <c r="I6" s="18" t="inlineStr">
        <is>
          <t>G1</t>
        </is>
      </c>
    </row>
    <row r="7" ht="35.05" customHeight="1" s="13">
      <c r="A7" s="18" t="inlineStr">
        <is>
          <t>S0-06</t>
        </is>
      </c>
      <c r="B7" s="18" t="inlineStr">
        <is>
          <t>Sprint 0</t>
        </is>
      </c>
      <c r="C7" s="18" t="inlineStr">
        <is>
          <t>1</t>
        </is>
      </c>
      <c r="D7" s="22" t="inlineStr">
        <is>
          <t>Aprovisionamiento manual (RUNBOOK §1-§7): Atlas database compas + usuario, render.yaml aplicado, Vercel, Cloudflare DNS, S3 IAM + bucket compas-archivo (Object Lock) + CRR, Sentry, Better Stack + 8 heartbeats</t>
        </is>
      </c>
      <c r="E7" s="18" t="inlineStr">
        <is>
          <t>Andrés</t>
        </is>
      </c>
      <c r="F7" s="18" t="inlineStr">
        <is>
          <t>Hecha</t>
        </is>
      </c>
      <c r="G7" s="18" t="inlineStr">
        <is>
          <t>2026-07-20</t>
        </is>
      </c>
      <c r="H7" s="22" t="inlineStr">
        <is>
          <t>Atlas aprovisionado: compas en cluster SISMO-V3, compas_app + audit_writer/compas_audit (UI; driver bloqueado por Atlas), índices+semillas verificados. Render/S3: pendientes aparte.</t>
        </is>
      </c>
      <c r="I7" s="18" t="n"/>
    </row>
    <row r="8" ht="23.85" customHeight="1" s="13">
      <c r="A8" s="18" t="inlineStr">
        <is>
          <t>S0-07</t>
        </is>
      </c>
      <c r="B8" s="18" t="inlineStr">
        <is>
          <t>Sprint 0</t>
        </is>
      </c>
      <c r="C8" s="18" t="inlineStr">
        <is>
          <t>1</t>
        </is>
      </c>
      <c r="D8" s="22" t="inlineStr">
        <is>
          <t>Secretos cargados por entorno (RUNBOOK §8) — acceso solo Andrés + Iván</t>
        </is>
      </c>
      <c r="E8" s="18" t="inlineStr">
        <is>
          <t>Andrés</t>
        </is>
      </c>
      <c r="F8" s="18" t="inlineStr">
        <is>
          <t>Hecha</t>
        </is>
      </c>
      <c r="G8" s="18" t="inlineStr">
        <is>
          <t>2026-07-20</t>
        </is>
      </c>
      <c r="H8" s="22" t="inlineStr">
        <is>
          <t>4 secretos cargados en Render (URI_COMPAS/URI_AUDIT/JWT/MFA_ENC_KEY). API LIVE: https://compas-api-von1.onrender.com — /health/ready 200 {ready, mongo up, beanie ready}; cabeceras DoD #12 verificadas.</t>
        </is>
      </c>
      <c r="I8" s="18" t="n"/>
    </row>
    <row r="9" ht="35.05" customHeight="1" s="13">
      <c r="A9" s="18" t="inlineStr">
        <is>
          <t>S0B-01</t>
        </is>
      </c>
      <c r="B9" s="18" t="inlineStr">
        <is>
          <t>Sprint 0b</t>
        </is>
      </c>
      <c r="C9" s="18" t="inlineStr">
        <is>
          <t>1</t>
        </is>
      </c>
      <c r="D9" s="22" t="inlineStr">
        <is>
          <t>Sesión 4: Rubro (semilla 5 grupos del Excel), MesControl, Configuracion (CALENDARIO_DIAN cargado: 13-may-26 / 10-sep-26 / 14-ene-27), audit log 30 eventos</t>
        </is>
      </c>
      <c r="E9" s="18" t="inlineStr">
        <is>
          <t>Claude Code + Andrés</t>
        </is>
      </c>
      <c r="F9" s="18" t="inlineStr">
        <is>
          <t>Hecha</t>
        </is>
      </c>
      <c r="G9" s="18" t="inlineStr">
        <is>
          <t>2026-07-19</t>
        </is>
      </c>
      <c r="H9" s="22" t="inlineStr">
        <is>
          <t>PR-1 GO Kimi 9.4 (commit 203e23f). Dominio Rubro+semilla real 32 rubros, MesControl, Configuracion tipada, init_beanie no-fatal. 133 tests verdes, ruff limpio. B-2 aplicada.</t>
        </is>
      </c>
      <c r="I9" s="18" t="n"/>
    </row>
    <row r="10" ht="15" customHeight="1" s="13">
      <c r="A10" s="18" t="inlineStr">
        <is>
          <t>S0B-02</t>
        </is>
      </c>
      <c r="B10" s="18" t="inlineStr">
        <is>
          <t>Sprint 0b</t>
        </is>
      </c>
      <c r="C10" s="18" t="inlineStr">
        <is>
          <t>1</t>
        </is>
      </c>
      <c r="D10" s="22" t="inlineStr">
        <is>
          <t>MFA TOTP para admin (movida de S0, nit 4)</t>
        </is>
      </c>
      <c r="E10" s="18" t="inlineStr">
        <is>
          <t>Claude Code + Andrés</t>
        </is>
      </c>
      <c r="F10" s="18" t="inlineStr">
        <is>
          <t>Hecha</t>
        </is>
      </c>
      <c r="G10" s="18" t="inlineStr">
        <is>
          <t>2026-07-19</t>
        </is>
      </c>
      <c r="H10" s="22" t="inlineStr">
        <is>
          <t>PR-2 GO Kimi R-PR2 (fix f625f65). MFA TOTP+step-up+respaldo+HIBP+reset, login 2 pasos, challenge un-solo-uso, cifrado en reposo. Cierra DoD #11. 166 tests verdes.</t>
        </is>
      </c>
      <c r="I10" s="18" t="inlineStr">
        <is>
          <t>G1</t>
        </is>
      </c>
    </row>
    <row r="11" ht="15" customHeight="1" s="13">
      <c r="A11" s="18" t="inlineStr">
        <is>
          <t>S0B-03</t>
        </is>
      </c>
      <c r="B11" s="18" t="inlineStr">
        <is>
          <t>Sprint 0b</t>
        </is>
      </c>
      <c r="C11" s="18" t="inlineStr">
        <is>
          <t>1</t>
        </is>
      </c>
      <c r="D11" s="22" t="inlineStr">
        <is>
          <t>Checklist §9 del RUNBOOK completo con evidencias</t>
        </is>
      </c>
      <c r="E11" s="18" t="inlineStr">
        <is>
          <t>Andrés</t>
        </is>
      </c>
      <c r="F11" s="18" t="inlineStr">
        <is>
          <t>Hecha</t>
        </is>
      </c>
      <c r="G11" s="18" t="inlineStr">
        <is>
          <t>2026-07-20</t>
        </is>
      </c>
      <c r="H11" s="22" t="inlineStr">
        <is>
          <t>Bloque C ejecutado: C1/C3/C4/C6/C7 con evidencia; C2 sustituido (entorno único, decisión CEO); C5 diferido a pre-carga-real (guardrail M-04). Paquete G1-R generado.</t>
        </is>
      </c>
      <c r="I11" s="18" t="n"/>
    </row>
    <row r="12" ht="23.85" customHeight="1" s="13">
      <c r="A12" s="18" t="inlineStr">
        <is>
          <t>S0B-04</t>
        </is>
      </c>
      <c r="B12" s="18" t="inlineStr">
        <is>
          <t>Sprint 0b</t>
        </is>
      </c>
      <c r="C12" s="18" t="inlineStr">
        <is>
          <t>1</t>
        </is>
      </c>
      <c r="D12" s="22" t="inlineStr">
        <is>
          <t>GATE G1 (BLOQUEANTE): checklist de seguridad aprobado por CEO Andres + evidencia adversarial Kimi &gt;=9.0 (aprobador != ejecutor via CR-003; Ivan derogado)</t>
        </is>
      </c>
      <c r="E12" s="18" t="inlineStr">
        <is>
          <t>CEO Andres</t>
        </is>
      </c>
      <c r="F12" s="18" t="inlineStr">
        <is>
          <t>Hecha</t>
        </is>
      </c>
      <c r="G12" s="18" t="inlineStr">
        <is>
          <t>2026-07-20</t>
        </is>
      </c>
      <c r="H12" s="22" t="inlineStr">
        <is>
          <t>GATE G1 GO 9.4 (G1-R) + aprobación CEO. SPRINT 0 CERRADO. Certificado en planning/phases/gate-g1/auditorias/G1-R/.</t>
        </is>
      </c>
      <c r="I12" s="18" t="inlineStr">
        <is>
          <t>G1</t>
        </is>
      </c>
    </row>
    <row r="13" ht="23.85" customHeight="1" s="13">
      <c r="A13" s="18" t="inlineStr">
        <is>
          <t>S1-01</t>
        </is>
      </c>
      <c r="B13" s="18" t="inlineStr">
        <is>
          <t>Sprint 1</t>
        </is>
      </c>
      <c r="C13" s="18" t="inlineStr">
        <is>
          <t>2</t>
        </is>
      </c>
      <c r="D13" s="22" t="inlineStr">
        <is>
          <t>Fixtures reales entregados y anonimizados (Bancolombia, BBVA, Global66 — los del proyecto + SISMO v2); layouts congelados (primer entregable)</t>
        </is>
      </c>
      <c r="E13" s="18" t="inlineStr">
        <is>
          <t>Andrés + Financiero</t>
        </is>
      </c>
      <c r="F13" s="18" t="inlineStr">
        <is>
          <t>Hecha</t>
        </is>
      </c>
      <c r="G13" s="18" t="inlineStr">
        <is>
          <t>2026-07-26</t>
        </is>
      </c>
      <c r="H13" s="22" t="inlineStr">
        <is>
          <t>Parsers validados contra archivos REALES: Global66 (2039 movs, 0 errores), Bancolombia CUADRA AL PESO vs saldos del extracto (dif 0.00), BBVA 0 errores. Layouts congelados. Decision CEO 2026-07-26: mar-jul solo Global66 tuvo movimiento (Ban/BBVA en 0) -&gt; se trabaja solo Global66 por ahora. .gitignore blinda extractos reales.</t>
        </is>
      </c>
      <c r="I13" s="18" t="n"/>
    </row>
    <row r="14" ht="35.05" customHeight="1" s="13">
      <c r="A14" s="18" t="inlineStr">
        <is>
          <t>S1-02</t>
        </is>
      </c>
      <c r="B14" s="18" t="inlineStr">
        <is>
          <t>Sprint 1</t>
        </is>
      </c>
      <c r="C14" s="18" t="inlineStr">
        <is>
          <t>2</t>
        </is>
      </c>
      <c r="D14" s="22" t="inlineStr">
        <is>
          <t>Parser Bancolombia → esquema canónico + deduplicación (índice parcial, manuales MAN-) + pantalla de cargas con ciclo de vida (fallida/reaper/reproceso) + POST manual (US-03, US-09)</t>
        </is>
      </c>
      <c r="E14" s="18" t="inlineStr">
        <is>
          <t>Claude Code + Andrés</t>
        </is>
      </c>
      <c r="F14" s="18" t="inlineStr">
        <is>
          <t>Hecha</t>
        </is>
      </c>
      <c r="G14" s="18" t="inlineStr">
        <is>
          <t>2026-07-20</t>
        </is>
      </c>
      <c r="H14" s="22" t="inlineStr">
        <is>
          <t>GO Kimi R-PR1 9.3; merge 72034a0. Parser Bancolombia (esquema canónico, 16 tests).</t>
        </is>
      </c>
      <c r="I14" s="18" t="n"/>
    </row>
    <row r="15" ht="23.85" customHeight="1" s="13">
      <c r="A15" s="18" t="inlineStr">
        <is>
          <t>S2-01</t>
        </is>
      </c>
      <c r="B15" s="18" t="inlineStr">
        <is>
          <t>Sprint 2</t>
        </is>
      </c>
      <c r="C15" s="18" t="inlineStr">
        <is>
          <t>3</t>
        </is>
      </c>
      <c r="D15" s="22" t="inlineStr">
        <is>
          <t>Parsers BBVA y Global66 (moneda original + tasa) + reglas de clasificación + pantalla Por clasificar</t>
        </is>
      </c>
      <c r="E15" s="18" t="inlineStr">
        <is>
          <t>Claude Code + Andrés</t>
        </is>
      </c>
      <c r="F15" s="18" t="inlineStr">
        <is>
          <t>Hecha</t>
        </is>
      </c>
      <c r="G15" s="18" t="inlineStr">
        <is>
          <t>2026-07-20</t>
        </is>
      </c>
      <c r="H15" s="22" t="inlineStr">
        <is>
          <t>GO Kimi R-PR1 9.3; merge 72034a0. Parsers BBVA+Global66 (moneda/tasa/FX).</t>
        </is>
      </c>
      <c r="I15" s="18" t="inlineStr">
        <is>
          <t>G2</t>
        </is>
      </c>
    </row>
    <row r="16" ht="23.85" customHeight="1" s="13">
      <c r="A16" s="18" t="inlineStr">
        <is>
          <t>S2-02</t>
        </is>
      </c>
      <c r="B16" s="18" t="inlineStr">
        <is>
          <t>Sprint 2</t>
        </is>
      </c>
      <c r="C16" s="18" t="inlineStr">
        <is>
          <t>3</t>
        </is>
      </c>
      <c r="D16" s="22" t="inlineStr">
        <is>
          <t>MINI-MIGRACIÓN: bases reales mar–jul del Excel congelado, cargadas y clasificadas, cuadradas</t>
        </is>
      </c>
      <c r="E16" s="18" t="inlineStr">
        <is>
          <t>Claude Code + Financiero</t>
        </is>
      </c>
      <c r="F16" s="18" t="inlineStr">
        <is>
          <t>Hecha</t>
        </is>
      </c>
      <c r="G16" s="18" t="inlineStr">
        <is>
          <t>2026-07-26</t>
        </is>
      </c>
      <c r="H16" s="22" t="inlineStr">
        <is>
          <t>Carga curada mar-jul desde Excel CEO Flujo de pagos deudas (Base real egresos/ingresos, clasificacion a mano alineada al Plan de Cuentas). 1270 movs: 193 ing 1.430M + 1077 egr 725M, neto +704.7M, 0 errores. La carga cruda Global66 + auto-clasif se revirtio. Commit 821026e.</t>
        </is>
      </c>
      <c r="I16" s="18" t="inlineStr">
        <is>
          <t>G2</t>
        </is>
      </c>
    </row>
    <row r="17" ht="15" customHeight="1" s="13">
      <c r="A17" s="18" t="inlineStr">
        <is>
          <t>S2-03</t>
        </is>
      </c>
      <c r="B17" s="18" t="inlineStr">
        <is>
          <t>Sprint 2</t>
        </is>
      </c>
      <c r="C17" s="18" t="inlineStr">
        <is>
          <t>3</t>
        </is>
      </c>
      <c r="D17" s="22" t="inlineStr">
        <is>
          <t>Wireframes navbar + vista Presupuesto (elabora Tech Lead, aprueba CEO)</t>
        </is>
      </c>
      <c r="E17" s="18" t="inlineStr">
        <is>
          <t>Andrés</t>
        </is>
      </c>
      <c r="F17" s="18" t="inlineStr">
        <is>
          <t>Hecha</t>
        </is>
      </c>
      <c r="G17" s="18" t="inlineStr">
        <is>
          <t>2026-07-23</t>
        </is>
      </c>
      <c r="H17" s="22" t="inlineStr">
        <is>
          <t>Superada por el producto vivo: navbar (derivado de capabilities) + pantallas Meses (S3-04), Cargas (S2-07), Categorias (S4-08), Reglas (S5-03) y Control construidas, aprobadas por el CEO en uso. El wireframe como artefacto previo quedó absorbido por las pantallas reales</t>
        </is>
      </c>
      <c r="I17" s="18" t="inlineStr">
        <is>
          <t>G2</t>
        </is>
      </c>
    </row>
    <row r="18" ht="15" customHeight="1" s="13">
      <c r="A18" s="18" t="inlineStr">
        <is>
          <t>S2-04</t>
        </is>
      </c>
      <c r="B18" s="18" t="inlineStr">
        <is>
          <t>Sprint 2</t>
        </is>
      </c>
      <c r="C18" s="18" t="inlineStr">
        <is>
          <t>3</t>
        </is>
      </c>
      <c r="D18" s="22" t="inlineStr">
        <is>
          <t>GATE G2: parsers + dedup + mini-migración cuadrada</t>
        </is>
      </c>
      <c r="E18" s="18" t="inlineStr">
        <is>
          <t>Financiero + Andrés</t>
        </is>
      </c>
      <c r="F18" s="18" t="inlineStr">
        <is>
          <t>Hecha</t>
        </is>
      </c>
      <c r="G18" s="18" t="inlineStr">
        <is>
          <t>2026-07-26</t>
        </is>
      </c>
      <c r="H18" s="22" t="inlineStr">
        <is>
          <t>GATE G2 cuadrado con Global66 (unico banco con movimiento mar-jul, decision CEO): parser 0 errores + dedup por ID nativo+ordinal (idempotente, 0 duplicados en recarga) + mini-migracion cuadrada al peso. Gate-waiver CEO en hoja Gates. Ban/BBVA se validaran cuando tengan movimiento.</t>
        </is>
      </c>
      <c r="I18" s="18" t="inlineStr">
        <is>
          <t>G2</t>
        </is>
      </c>
    </row>
    <row r="19" ht="35.05" customHeight="1" s="13">
      <c r="A19" s="18" t="inlineStr">
        <is>
          <t>S3-01</t>
        </is>
      </c>
      <c r="B19" s="18" t="inlineStr">
        <is>
          <t>Sprint 3</t>
        </is>
      </c>
      <c r="C19" s="18" t="inlineStr">
        <is>
          <t>4</t>
        </is>
      </c>
      <c r="D19" s="22" t="inlineStr">
        <is>
          <t>Motor del sugerido (fórmula Spec §1.4.1, ejemplo numérico como test) + fila compromisos programados + ciclo de estados + versionado + aprobación (tabla de autoridad)</t>
        </is>
      </c>
      <c r="E19" s="18" t="inlineStr">
        <is>
          <t>Claude Code + Andrés</t>
        </is>
      </c>
      <c r="F19" s="18" t="inlineStr">
        <is>
          <t>Hecha</t>
        </is>
      </c>
      <c r="G19" s="18" t="inlineStr">
        <is>
          <t>2026-07-21</t>
        </is>
      </c>
      <c r="H19" s="22" t="inlineStr">
        <is>
          <t>GO Kimi I-PR1 9.2; merge 7f835be (PR motor). Fórmula §1.4.1 + PresupuestoLinea + generación; dorado 48/61/75M→84.033.333,33 end-to-end.</t>
        </is>
      </c>
      <c r="I19" s="18" t="n"/>
    </row>
    <row r="20" ht="23.85" customHeight="1" s="13">
      <c r="A20" s="18" t="inlineStr">
        <is>
          <t>S3-02</t>
        </is>
      </c>
      <c r="B20" s="18" t="inlineStr">
        <is>
          <t>Sprint 3</t>
        </is>
      </c>
      <c r="C20" s="18" t="inlineStr">
        <is>
          <t>4</t>
        </is>
      </c>
      <c r="D20" s="22" t="inlineStr">
        <is>
          <t>DEMO nota CEO #1 en modo histórico: agosto-2026, 4 columnas vs Excel, % global manual</t>
        </is>
      </c>
      <c r="E20" s="18" t="inlineStr">
        <is>
          <t>Andrés</t>
        </is>
      </c>
      <c r="F20" s="18" t="inlineStr">
        <is>
          <t>Pendiente</t>
        </is>
      </c>
      <c r="G20" s="18" t="n"/>
      <c r="H20" s="22" t="inlineStr">
        <is>
          <t>TOLERANCIA_CUADRE $1</t>
        </is>
      </c>
      <c r="I20" s="18" t="inlineStr">
        <is>
          <t>G3</t>
        </is>
      </c>
    </row>
    <row r="21" ht="23.85" customHeight="1" s="13">
      <c r="A21" s="18" t="inlineStr">
        <is>
          <t>S4-01</t>
        </is>
      </c>
      <c r="B21" s="18" t="inlineStr">
        <is>
          <t>Sprint 4</t>
        </is>
      </c>
      <c r="C21" s="18" t="inlineStr">
        <is>
          <t>5</t>
        </is>
      </c>
      <c r="D21" s="22" t="inlineStr">
        <is>
          <t>Vista Control + caja + conciliación por banco + semáforos + transacciones multi-documento + política de tardías</t>
        </is>
      </c>
      <c r="E21" s="18" t="inlineStr">
        <is>
          <t>Claude Code + Andrés</t>
        </is>
      </c>
      <c r="F21" s="18" t="inlineStr">
        <is>
          <t>Hecha</t>
        </is>
      </c>
      <c r="G21" s="18" t="inlineStr">
        <is>
          <t>2026-07-22</t>
        </is>
      </c>
      <c r="H21" s="22" t="inlineStr">
        <is>
          <t>Backend GO Kimi I-PR1 9.4 (merge 7a1eb46) + frontend (sin gate, como S3-04): pantalla /control con tabla por grupo, semáforos y tarjetas de caja/total. build+lint+7 tests verdes.</t>
        </is>
      </c>
      <c r="I21" s="18" t="n"/>
    </row>
    <row r="22" ht="23.85" customHeight="1" s="13">
      <c r="A22" s="18" t="inlineStr">
        <is>
          <t>S4-02</t>
        </is>
      </c>
      <c r="B22" s="18" t="inlineStr">
        <is>
          <t>Sprint 4</t>
        </is>
      </c>
      <c r="C22" s="18" t="inlineStr">
        <is>
          <t>5</t>
        </is>
      </c>
      <c r="D22" s="22" t="inlineStr">
        <is>
          <t>CR-001: ExtractoMensual (PDF Global66 como fixture) + verificación automática + regla de cierre</t>
        </is>
      </c>
      <c r="E22" s="18" t="inlineStr">
        <is>
          <t>Claude Code + Andrés</t>
        </is>
      </c>
      <c r="F22" s="18" t="inlineStr">
        <is>
          <t>Pendiente</t>
        </is>
      </c>
      <c r="G22" s="18" t="n"/>
      <c r="H22" s="22" t="inlineStr">
        <is>
          <t>CR-001 firmado 18-jul</t>
        </is>
      </c>
      <c r="I22" s="18" t="inlineStr">
        <is>
          <t>G3</t>
        </is>
      </c>
    </row>
    <row r="23" ht="15" customHeight="1" s="13">
      <c r="A23" s="18" t="inlineStr">
        <is>
          <t>S4-03</t>
        </is>
      </c>
      <c r="B23" s="18" t="inlineStr">
        <is>
          <t>Sprint 4</t>
        </is>
      </c>
      <c r="C23" s="18" t="inlineStr">
        <is>
          <t>5</t>
        </is>
      </c>
      <c r="D23" s="22" t="inlineStr">
        <is>
          <t>GATE G3 (Directivo): ciclo presupuestal + control con julio real</t>
        </is>
      </c>
      <c r="E23" s="18" t="inlineStr">
        <is>
          <t>Andrés</t>
        </is>
      </c>
      <c r="F23" s="18" t="inlineStr">
        <is>
          <t>Pendiente</t>
        </is>
      </c>
      <c r="G23" s="18" t="n"/>
      <c r="H23" s="22" t="n"/>
      <c r="I23" s="18" t="inlineStr">
        <is>
          <t>G3</t>
        </is>
      </c>
    </row>
    <row r="24" ht="35.05" customHeight="1" s="13">
      <c r="A24" s="18" t="inlineStr">
        <is>
          <t>S5-01</t>
        </is>
      </c>
      <c r="B24" s="18" t="inlineStr">
        <is>
          <t>Sprint 5</t>
        </is>
      </c>
      <c r="C24" s="18" t="inlineStr">
        <is>
          <t>6</t>
        </is>
      </c>
      <c r="D24" s="22" t="inlineStr">
        <is>
          <t>C9/Pagos de la semana (ACOTADO): PagoPlaneado + CRUD + veredicto GET /meses/{mes}/pagos-semana (¿alcanza la caja?) reusando _caja_libro. CR-S7. (Matriz de deudas→C10; matching auto, SnapshotCaja/dashboard→fases aparte)</t>
        </is>
      </c>
      <c r="E24" s="18" t="inlineStr">
        <is>
          <t>Claude Code + Andrés</t>
        </is>
      </c>
      <c r="F24" s="18" t="inlineStr">
        <is>
          <t>Hecha</t>
        </is>
      </c>
      <c r="G24" s="18" t="inlineStr">
        <is>
          <t>2026-07-23</t>
        </is>
      </c>
      <c r="H24" s="22" t="inlineStr">
        <is>
          <t>C9/Pagos de la semana. PR #29 merge be9512b, CI 6/6 (backend-real-mongo verde: marcar-pagado multi-doc, O1, regla 4). Suite 439 passed. Construido/mergeado bajo GO del CEO (gate-waiver 2026-07-23); auditoría Kimi PLAN+código pendiente</t>
        </is>
      </c>
      <c r="I24" s="18" t="n"/>
    </row>
    <row r="25" ht="23.85" customHeight="1" s="13">
      <c r="A25" s="18" t="inlineStr">
        <is>
          <t>S6A-01</t>
        </is>
      </c>
      <c r="B25" s="18" t="inlineStr">
        <is>
          <t>Sprint 6a</t>
        </is>
      </c>
      <c r="C25" s="18" t="inlineStr">
        <is>
          <t>7</t>
        </is>
      </c>
      <c r="D25" s="22" t="inlineStr">
        <is>
          <t>Facturas recibidas Y emitidas (tarifa/exentas, eventos) + IVA cuatrimestral completo</t>
        </is>
      </c>
      <c r="E25" s="18" t="inlineStr">
        <is>
          <t>Claude Code + Andrés</t>
        </is>
      </c>
      <c r="F25" s="18" t="inlineStr">
        <is>
          <t>Pendiente</t>
        </is>
      </c>
      <c r="G25" s="18" t="n"/>
      <c r="H25" s="22" t="n"/>
      <c r="I25" s="18" t="n"/>
    </row>
    <row r="26" ht="15" customHeight="1" s="13">
      <c r="A26" s="18" t="inlineStr">
        <is>
          <t>S6A-02</t>
        </is>
      </c>
      <c r="B26" s="18" t="inlineStr">
        <is>
          <t>Sprint 6a</t>
        </is>
      </c>
      <c r="C26" s="18" t="inlineStr">
        <is>
          <t>7</t>
        </is>
      </c>
      <c r="D26" s="22" t="inlineStr">
        <is>
          <t>Taller de limpieza del histórico con el Financiero</t>
        </is>
      </c>
      <c r="E26" s="18" t="inlineStr">
        <is>
          <t>Financiero</t>
        </is>
      </c>
      <c r="F26" s="18" t="inlineStr">
        <is>
          <t>Pendiente</t>
        </is>
      </c>
      <c r="G26" s="18" t="n"/>
      <c r="H26" s="22" t="inlineStr">
        <is>
          <t>Riesgo 2</t>
        </is>
      </c>
      <c r="I26" s="18" t="n"/>
    </row>
    <row r="27" ht="35.05" customHeight="1" s="13">
      <c r="A27" s="18" t="inlineStr">
        <is>
          <t>S6B-01</t>
        </is>
      </c>
      <c r="B27" s="18" t="inlineStr">
        <is>
          <t>Sprint 6b</t>
        </is>
      </c>
      <c r="C27" s="18" t="inlineStr">
        <is>
          <t>8</t>
        </is>
      </c>
      <c r="D27" s="22" t="inlineStr">
        <is>
          <t>M10 ingresos modo Excel (+ pre-llenado % global operativo) + vista Capacidad de pago + dashboard Inicio completo + job de archivado (Object Lock)</t>
        </is>
      </c>
      <c r="E27" s="18" t="inlineStr">
        <is>
          <t>Claude Code + Andrés</t>
        </is>
      </c>
      <c r="F27" s="18" t="inlineStr">
        <is>
          <t>Pendiente</t>
        </is>
      </c>
      <c r="G27" s="18" t="n"/>
      <c r="H27" s="22" t="n"/>
      <c r="I27" s="18" t="inlineStr">
        <is>
          <t>G4</t>
        </is>
      </c>
    </row>
    <row r="28" ht="23.85" customHeight="1" s="13">
      <c r="A28" s="18" t="inlineStr">
        <is>
          <t>S6B-02</t>
        </is>
      </c>
      <c r="B28" s="18" t="inlineStr">
        <is>
          <t>Sprint 6b</t>
        </is>
      </c>
      <c r="C28" s="18" t="inlineStr">
        <is>
          <t>8</t>
        </is>
      </c>
      <c r="D28" s="22" t="inlineStr">
        <is>
          <t>GATE G4 (Financiero): facturas ambos lados + IVA May–Ago reproducido + M10 + Capacidad de pago + dashboard</t>
        </is>
      </c>
      <c r="E28" s="18" t="inlineStr">
        <is>
          <t>Financiero</t>
        </is>
      </c>
      <c r="F28" s="18" t="inlineStr">
        <is>
          <t>Pendiente</t>
        </is>
      </c>
      <c r="G28" s="18" t="n"/>
      <c r="H28" s="22" t="n"/>
      <c r="I28" s="18" t="inlineStr">
        <is>
          <t>G4</t>
        </is>
      </c>
    </row>
    <row r="29" ht="23.85" customHeight="1" s="13">
      <c r="A29" s="18" t="inlineStr">
        <is>
          <t>S7-01</t>
        </is>
      </c>
      <c r="B29" s="18" t="inlineStr">
        <is>
          <t>Sprint 7</t>
        </is>
      </c>
      <c r="C29" s="18" t="inlineStr">
        <is>
          <t>9</t>
        </is>
      </c>
      <c r="D29" s="22" t="inlineStr">
        <is>
          <t>Migración restante (deudas, facturas Auteco, presupuestos históricos) + conciliación formal con acta firmada</t>
        </is>
      </c>
      <c r="E29" s="18" t="inlineStr">
        <is>
          <t>Claude Code + Financiero</t>
        </is>
      </c>
      <c r="F29" s="18" t="inlineStr">
        <is>
          <t>Pendiente</t>
        </is>
      </c>
      <c r="G29" s="18" t="n"/>
      <c r="H29" s="22" t="inlineStr">
        <is>
          <t>TOLERANCIA_CUADRE $1</t>
        </is>
      </c>
      <c r="I29" s="18" t="inlineStr">
        <is>
          <t>G5</t>
        </is>
      </c>
    </row>
    <row r="30" ht="23.85" customHeight="1" s="13">
      <c r="A30" s="18" t="inlineStr">
        <is>
          <t>S7-02</t>
        </is>
      </c>
      <c r="B30" s="18" t="inlineStr">
        <is>
          <t>Sprint 7</t>
        </is>
      </c>
      <c r="C30" s="18" t="inlineStr">
        <is>
          <t>9</t>
        </is>
      </c>
      <c r="D30" s="22" t="inlineStr">
        <is>
          <t>Reporte de cierre + prueba de restauración cronometrada (DoD-10) + capacitación</t>
        </is>
      </c>
      <c r="E30" s="18" t="inlineStr">
        <is>
          <t>Claude Code + Andrés</t>
        </is>
      </c>
      <c r="F30" s="18" t="inlineStr">
        <is>
          <t>Pendiente</t>
        </is>
      </c>
      <c r="G30" s="18" t="n"/>
      <c r="H30" s="22" t="n"/>
      <c r="I30" s="18" t="inlineStr">
        <is>
          <t>G5</t>
        </is>
      </c>
    </row>
    <row r="31" ht="15" customHeight="1" s="13">
      <c r="A31" s="18" t="inlineStr">
        <is>
          <t>S7-03</t>
        </is>
      </c>
      <c r="B31" s="18" t="inlineStr">
        <is>
          <t>Sprint 7</t>
        </is>
      </c>
      <c r="C31" s="18" t="inlineStr">
        <is>
          <t>9</t>
        </is>
      </c>
      <c r="D31" s="22" t="inlineStr">
        <is>
          <t>UAT con guion (US-01..10, 100% críticos ✓)</t>
        </is>
      </c>
      <c r="E31" s="18" t="inlineStr">
        <is>
          <t>Andrés + Iván</t>
        </is>
      </c>
      <c r="F31" s="18" t="inlineStr">
        <is>
          <t>Pendiente</t>
        </is>
      </c>
      <c r="G31" s="18" t="n"/>
      <c r="H31" s="22" t="n"/>
      <c r="I31" s="18" t="inlineStr">
        <is>
          <t>G5</t>
        </is>
      </c>
    </row>
    <row r="32" ht="15" customHeight="1" s="13">
      <c r="A32" s="18" t="inlineStr">
        <is>
          <t>S7-04</t>
        </is>
      </c>
      <c r="B32" s="18" t="inlineStr">
        <is>
          <t>Sprint 7</t>
        </is>
      </c>
      <c r="C32" s="18" t="inlineStr">
        <is>
          <t>9</t>
        </is>
      </c>
      <c r="D32" s="22" t="inlineStr">
        <is>
          <t>GATE G5 (CEO, BLOQUEANTE ABSOLUTO — ventana 48h)</t>
        </is>
      </c>
      <c r="E32" s="18" t="inlineStr">
        <is>
          <t>Andrés</t>
        </is>
      </c>
      <c r="F32" s="18" t="inlineStr">
        <is>
          <t>Pendiente</t>
        </is>
      </c>
      <c r="G32" s="18" t="n"/>
      <c r="H32" s="22" t="n"/>
      <c r="I32" s="18" t="inlineStr">
        <is>
          <t>G5</t>
        </is>
      </c>
    </row>
    <row r="33" ht="23.85" customHeight="1" s="13">
      <c r="A33" s="18" t="inlineStr">
        <is>
          <t>S8-01</t>
        </is>
      </c>
      <c r="B33" s="18" t="inlineStr">
        <is>
          <t>Sprint 8</t>
        </is>
      </c>
      <c r="C33" s="18" t="inlineStr">
        <is>
          <t>10</t>
        </is>
      </c>
      <c r="D33" s="22" t="inlineStr">
        <is>
          <t>Deploy a producción (tag v1.0.0 + reviewer Iván) + monitoreo SLOs + inicio double-run</t>
        </is>
      </c>
      <c r="E33" s="18" t="inlineStr">
        <is>
          <t>Andrés + Iván</t>
        </is>
      </c>
      <c r="F33" s="18" t="inlineStr">
        <is>
          <t>Pendiente</t>
        </is>
      </c>
      <c r="G33" s="18" t="n"/>
      <c r="H33" s="22" t="n"/>
      <c r="I33" s="18" t="n"/>
    </row>
    <row r="34" ht="23.85" customHeight="1" s="13">
      <c r="A34" s="18" t="inlineStr">
        <is>
          <t>S8-02</t>
        </is>
      </c>
      <c r="B34" s="18" t="inlineStr">
        <is>
          <t>Post-plan</t>
        </is>
      </c>
      <c r="C34" s="18" t="inlineStr">
        <is>
          <t>10+</t>
        </is>
      </c>
      <c r="D34" s="22" t="inlineStr">
        <is>
          <t>Double-run: 4 conciliaciones semanales cuadradas + 1 cierre mensual → Excel a solo-lectura</t>
        </is>
      </c>
      <c r="E34" s="18" t="inlineStr">
        <is>
          <t>Financiero</t>
        </is>
      </c>
      <c r="F34" s="18" t="inlineStr">
        <is>
          <t>Pendiente</t>
        </is>
      </c>
      <c r="G34" s="18" t="n"/>
      <c r="H34" s="22" t="inlineStr">
        <is>
          <t>Criterio de apagado §7 del PLAN</t>
        </is>
      </c>
      <c r="I34" s="18" t="n"/>
    </row>
    <row r="35" ht="23.85" customHeight="1" s="13">
      <c r="A35" s="18" t="inlineStr">
        <is>
          <t>EXT-01</t>
        </is>
      </c>
      <c r="B35" s="18" t="inlineStr">
        <is>
          <t>Externos</t>
        </is>
      </c>
      <c r="C35" s="18" t="inlineStr">
        <is>
          <t>—</t>
        </is>
      </c>
      <c r="D35" s="22" t="inlineStr">
        <is>
          <t>Memo RNBD firmado con el contador (prerrequisito del go-live, no del código)</t>
        </is>
      </c>
      <c r="E35" s="18" t="inlineStr">
        <is>
          <t>Andrés + Contador</t>
        </is>
      </c>
      <c r="F35" s="18" t="inlineStr">
        <is>
          <t>Pendiente</t>
        </is>
      </c>
      <c r="G35" s="18" t="n"/>
      <c r="H35" s="22" t="n"/>
      <c r="I35" s="18" t="n"/>
    </row>
    <row r="36" ht="15" customHeight="1" s="13">
      <c r="A36" s="18" t="inlineStr">
        <is>
          <t>EXT-02</t>
        </is>
      </c>
      <c r="B36" s="18" t="inlineStr">
        <is>
          <t>Externos</t>
        </is>
      </c>
      <c r="C36" s="18" t="inlineStr">
        <is>
          <t>—</t>
        </is>
      </c>
      <c r="D36" s="22" t="inlineStr">
        <is>
          <t>Extracto reciente Bancolombia y BBVA para validar layouts de SISMO v2</t>
        </is>
      </c>
      <c r="E36" s="18" t="inlineStr">
        <is>
          <t>Andrés</t>
        </is>
      </c>
      <c r="F36" s="18" t="inlineStr">
        <is>
          <t>Pendiente</t>
        </is>
      </c>
      <c r="G36" s="18" t="n"/>
      <c r="H36" s="22" t="n"/>
      <c r="I36" s="18" t="n"/>
    </row>
    <row r="37" ht="23.85" customHeight="1" s="13">
      <c r="A37" s="18" t="inlineStr">
        <is>
          <t>EXT-03</t>
        </is>
      </c>
      <c r="B37" s="18" t="inlineStr">
        <is>
          <t>Externos</t>
        </is>
      </c>
      <c r="C37" s="18" t="inlineStr">
        <is>
          <t>—</t>
        </is>
      </c>
      <c r="D37" s="22" t="inlineStr">
        <is>
          <t>Cuenta de Iván creada y agregado como colaborador del repo + required reviewer de production</t>
        </is>
      </c>
      <c r="E37" s="18" t="inlineStr">
        <is>
          <t>Andrés</t>
        </is>
      </c>
      <c r="F37" s="18" t="inlineStr">
        <is>
          <t>Pendiente</t>
        </is>
      </c>
      <c r="G37" s="18" t="n"/>
      <c r="H37" s="22" t="n"/>
      <c r="I37" s="18" t="n"/>
    </row>
    <row r="38">
      <c r="A38" s="12" t="inlineStr">
        <is>
          <t>S0-08</t>
        </is>
      </c>
      <c r="B38" s="12" t="inlineStr">
        <is>
          <t>Sprint 0</t>
        </is>
      </c>
      <c r="C38" s="12" t="inlineStr">
        <is>
          <t>1</t>
        </is>
      </c>
      <c r="D38" s="12" t="inlineStr">
        <is>
          <t>Procedimiento de auditoría adversarial con Kimi estipulado (.planning/, templates, generador PDF, regla en CLAUDE.md)</t>
        </is>
      </c>
      <c r="E38" s="12" t="inlineStr">
        <is>
          <t>Claude Code + Andrés</t>
        </is>
      </c>
      <c r="F38" s="12" t="inlineStr">
        <is>
          <t>Hecha</t>
        </is>
      </c>
      <c r="G38" s="12" t="inlineStr">
        <is>
          <t>2026-07-18</t>
        </is>
      </c>
      <c r="H38" s="12" t="inlineStr">
        <is>
          <t>Commit 3dc2424 — portado de SISMO-V3; umbral &gt;=9.0, alcance crítico+plan</t>
        </is>
      </c>
      <c r="I38" s="12" t="inlineStr"/>
    </row>
    <row r="39">
      <c r="A39" s="12" t="inlineStr">
        <is>
          <t>S0B-05</t>
        </is>
      </c>
      <c r="B39" s="12" t="inlineStr">
        <is>
          <t>Sprint 0b</t>
        </is>
      </c>
      <c r="C39" s="12" t="inlineStr">
        <is>
          <t>1</t>
        </is>
      </c>
      <c r="D39" s="12" t="inlineStr">
        <is>
          <t>Seguimiento Kimi B-1: rubro destino de INGRESO para la regla PRD M7 (Abono-&gt;recaudo). Decidir ANTES de Sprint 2: anadir rubro Recaudo (tipo ingreso) a la semilla vs crearlo el Admin. Ambiguedad: los 5 grupos son de egreso.</t>
        </is>
      </c>
      <c r="E39" s="12" t="inlineStr">
        <is>
          <t>Claude Code + Andres</t>
        </is>
      </c>
      <c r="F39" s="12" t="inlineStr">
        <is>
          <t>Hecha</t>
        </is>
      </c>
      <c r="G39" s="12" t="inlineStr">
        <is>
          <t>2026-07-20</t>
        </is>
      </c>
      <c r="H39" s="12" t="inlineStr">
        <is>
          <t>3673e25 — rubro sistema 'Recaudo' (ingreso) en semilla (33) + sembrado en base viva.</t>
        </is>
      </c>
      <c r="I39" s="12" t="n"/>
    </row>
    <row r="40">
      <c r="A40" s="12" t="inlineStr">
        <is>
          <t>S0B-06</t>
        </is>
      </c>
      <c r="B40" s="12" t="inlineStr">
        <is>
          <t>Sprint 0b</t>
        </is>
      </c>
      <c r="C40" s="12" t="inlineStr">
        <is>
          <t>1</t>
        </is>
      </c>
      <c r="D40" s="12" t="inlineStr">
        <is>
          <t>PR-3: cabeceras de seguridad (CSP estricta/HSTS/nosniff/Referrer-Policy/frame-ancestors) en API (middleware) + SPA (vercel.json) + test CI. Cierra DoD #12.</t>
        </is>
      </c>
      <c r="E40" s="12" t="inlineStr">
        <is>
          <t>Claude Code + Andres</t>
        </is>
      </c>
      <c r="F40" s="12" t="inlineStr">
        <is>
          <t>Hecha</t>
        </is>
      </c>
      <c r="G40" s="12" t="inlineStr">
        <is>
          <t>2026-07-19</t>
        </is>
      </c>
      <c r="H40" s="12" t="inlineStr">
        <is>
          <t>PR-3 GO Kimi 9.2 (commit 40e760f + ajustes B-1/B-2). Cabeceras API+SPA, 6 tests CI. Cierra DoD #12.</t>
        </is>
      </c>
      <c r="I40" s="12" t="inlineStr">
        <is>
          <t>G1</t>
        </is>
      </c>
    </row>
    <row r="41">
      <c r="A41" s="12" t="inlineStr">
        <is>
          <t>S2-05</t>
        </is>
      </c>
      <c r="B41" s="12" t="inlineStr">
        <is>
          <t>Sprint 2</t>
        </is>
      </c>
      <c r="C41" s="12" t="inlineStr">
        <is>
          <t>3</t>
        </is>
      </c>
      <c r="D41" s="12" t="inlineStr">
        <is>
          <t>Transaccion §1.5 + dedup (banco,id_banco) + servicio de carga §1.6 (insertMany ordered=False, F-02)</t>
        </is>
      </c>
      <c r="E41" s="12" t="inlineStr">
        <is>
          <t>Claude Code + Andrés</t>
        </is>
      </c>
      <c r="F41" s="12" t="inlineStr">
        <is>
          <t>Hecha</t>
        </is>
      </c>
      <c r="G41" s="12" t="inlineStr">
        <is>
          <t>2026-07-20</t>
        </is>
      </c>
      <c r="H41" s="12" t="inlineStr">
        <is>
          <t>GO Kimi R-PR1 9.3; merge 72034a0. Transaccion §1.5 + dedup + carga §1.6 (A-01 ordinal, transacción).</t>
        </is>
      </c>
      <c r="I41" s="12" t="inlineStr">
        <is>
          <t>G2 / DoD #2</t>
        </is>
      </c>
    </row>
    <row r="42">
      <c r="A42" s="12" t="inlineStr">
        <is>
          <t>DISP-01</t>
        </is>
      </c>
      <c r="B42" s="12" t="inlineStr">
        <is>
          <t>Go-live</t>
        </is>
      </c>
      <c r="C42" s="12" t="inlineStr">
        <is>
          <t>—</t>
        </is>
      </c>
      <c r="D42" s="12" t="inlineStr">
        <is>
          <t>DISPARADOR G1 (no negociable): ANTES del 1er deploy con datos reales — autoDeploy:false + tag v* + required reviewer + prueba adversarial del bloqueo</t>
        </is>
      </c>
      <c r="E42" s="12" t="inlineStr">
        <is>
          <t>Andrés + Claude Code</t>
        </is>
      </c>
      <c r="F42" s="12" t="inlineStr">
        <is>
          <t>Pendiente</t>
        </is>
      </c>
      <c r="G42" s="12" t="inlineStr"/>
      <c r="H42" s="12" t="inlineStr">
        <is>
          <t>Registrado por Kimi en veredicto G1 9.4</t>
        </is>
      </c>
      <c r="I42" s="12" t="inlineStr">
        <is>
          <t>G1</t>
        </is>
      </c>
    </row>
    <row r="43">
      <c r="A43" s="12" t="inlineStr">
        <is>
          <t>DISP-02</t>
        </is>
      </c>
      <c r="B43" s="12" t="inlineStr">
        <is>
          <t>Pre-carga real</t>
        </is>
      </c>
      <c r="C43" s="12" t="inlineStr">
        <is>
          <t>—</t>
        </is>
      </c>
      <c r="D43" s="12" t="inlineStr">
        <is>
          <t>DISPARADOR G1: S3 + Object Lock + CRR ANTES de la primera carga real (fixtures/mini-migración, gate G2)</t>
        </is>
      </c>
      <c r="E43" s="12" t="inlineStr">
        <is>
          <t>Andrés + Claude Code</t>
        </is>
      </c>
      <c r="F43" s="12" t="inlineStr">
        <is>
          <t>Pendiente</t>
        </is>
      </c>
      <c r="G43" s="12" t="inlineStr"/>
      <c r="H43" s="12" t="inlineStr">
        <is>
          <t>Guardrail M-04 vigente mientras tanto</t>
        </is>
      </c>
      <c r="I43" s="12" t="inlineStr">
        <is>
          <t>G2</t>
        </is>
      </c>
    </row>
    <row r="44">
      <c r="A44" s="12" t="inlineStr">
        <is>
          <t>DISP-03</t>
        </is>
      </c>
      <c r="B44" s="12" t="inlineStr">
        <is>
          <t>Go-live</t>
        </is>
      </c>
      <c r="C44" s="12" t="inlineStr">
        <is>
          <t>—</t>
        </is>
      </c>
      <c r="D44" s="12" t="inlineStr">
        <is>
          <t>DISPARADOR G1: re-verificar cabeceras (C4) al cablear Cloudflare/compas.roddos.com</t>
        </is>
      </c>
      <c r="E44" s="12" t="inlineStr">
        <is>
          <t>Claude Code</t>
        </is>
      </c>
      <c r="F44" s="12" t="inlineStr">
        <is>
          <t>Hecha</t>
        </is>
      </c>
      <c r="G44" s="12" t="inlineStr">
        <is>
          <t>2026-07-20</t>
        </is>
      </c>
      <c r="H44" s="12" t="inlineStr">
        <is>
          <t>Cabeceras verificadas en https://api.compas.roddos.com (CSP/HSTS/nosniff/DENY/no-referrer). DNS real: GoDaddy (corrección RUNBOOK §5, 45c26cf).</t>
        </is>
      </c>
      <c r="I44" s="12" t="inlineStr">
        <is>
          <t>G1</t>
        </is>
      </c>
    </row>
    <row r="45">
      <c r="A45" s="12" t="inlineStr">
        <is>
          <t>S2-06</t>
        </is>
      </c>
      <c r="B45" s="12" t="inlineStr">
        <is>
          <t>Sprint 2</t>
        </is>
      </c>
      <c r="C45" s="12" t="inlineStr">
        <is>
          <t>3</t>
        </is>
      </c>
      <c r="D45" s="12" t="inlineStr">
        <is>
          <t>API de cargas (upload F-22 + listado) y POST /transacciones manual (MAN-+ULID, Idempotency-Key §1.12)</t>
        </is>
      </c>
      <c r="E45" s="12" t="inlineStr">
        <is>
          <t>Claude Code + Andrés</t>
        </is>
      </c>
      <c r="F45" s="12" t="inlineStr">
        <is>
          <t>Hecha</t>
        </is>
      </c>
      <c r="G45" s="12" t="inlineStr">
        <is>
          <t>2026-07-20</t>
        </is>
      </c>
      <c r="H45" s="12" t="inlineStr">
        <is>
          <t>GO Kimi R-PR1 9.2 (condicionado CR-S3); merge c1566dc. 54f12d6 en rama feat/cargas-endpoints-manual — 232 tests, ruff limpio. Gate Kimi</t>
        </is>
      </c>
      <c r="I45" s="12" t="inlineStr">
        <is>
          <t>G2 / DoD #1-#2</t>
        </is>
      </c>
    </row>
    <row r="46">
      <c r="A46" s="12" t="inlineStr">
        <is>
          <t>S2-07</t>
        </is>
      </c>
      <c r="B46" s="12" t="inlineStr">
        <is>
          <t>Sprint 2</t>
        </is>
      </c>
      <c r="C46" s="12" t="inlineStr">
        <is>
          <t>3</t>
        </is>
      </c>
      <c r="D46" s="12" t="inlineStr">
        <is>
          <t>Pantalla de cargas (upload F-22 + historial + errores por fila + transacción manual) + login MFA + shell auth</t>
        </is>
      </c>
      <c r="E46" s="12" t="inlineStr">
        <is>
          <t>Claude Code</t>
        </is>
      </c>
      <c r="F46" s="12" t="inlineStr">
        <is>
          <t>Hecha</t>
        </is>
      </c>
      <c r="G46" s="12" t="inlineStr">
        <is>
          <t>2026-07-20</t>
        </is>
      </c>
      <c r="H46" s="12" t="inlineStr">
        <is>
          <t>GO Kimi R-PR1 9.2 (condicionado CR-S3); merge c1566dc. En rama feat/cargas-endpoints-manual — vitest 7/7, biome limpio, build OK. Merge</t>
        </is>
      </c>
      <c r="I46" s="12" t="inlineStr">
        <is>
          <t>G2</t>
        </is>
      </c>
    </row>
    <row r="47">
      <c r="A47" s="12" t="inlineStr">
        <is>
          <t>S2-08</t>
        </is>
      </c>
      <c r="B47" s="12" t="inlineStr">
        <is>
          <t>Sprint 2</t>
        </is>
      </c>
      <c r="C47" s="12" t="inlineStr">
        <is>
          <t>3</t>
        </is>
      </c>
      <c r="D47" s="12" t="inlineStr">
        <is>
          <t>Frontend en Vercel + dominios compas.roddos.com / api.compas.roddos.com (GoDaddy) + superadmin inicial</t>
        </is>
      </c>
      <c r="E47" s="12" t="inlineStr">
        <is>
          <t>Andrés + Claude Code</t>
        </is>
      </c>
      <c r="F47" s="12" t="inlineStr">
        <is>
          <t>Hecha</t>
        </is>
      </c>
      <c r="G47" s="12" t="inlineStr">
        <is>
          <t>2026-07-20</t>
        </is>
      </c>
      <c r="H47" s="12" t="inlineStr">
        <is>
          <t>compas.roddos.com 200 · api ready en dominio · CORS/cookie same-site OK · superadmin andres@roddos.com creado</t>
        </is>
      </c>
      <c r="I47" s="12" t="inlineStr">
        <is>
          <t>G2</t>
        </is>
      </c>
    </row>
    <row r="48">
      <c r="A48" s="12" t="inlineStr">
        <is>
          <t>S3-03</t>
        </is>
      </c>
      <c r="B48" s="12" t="inlineStr">
        <is>
          <t>Sprint 3</t>
        </is>
      </c>
      <c r="C48" s="12" t="inlineStr">
        <is>
          <t>4</t>
        </is>
      </c>
      <c r="D48" s="12" t="inlineStr">
        <is>
          <t>Apertura del mes (US-01): POST /meses + mes.creado con compensación O1 + GET /meses</t>
        </is>
      </c>
      <c r="E48" s="12" t="inlineStr">
        <is>
          <t>Claude Code</t>
        </is>
      </c>
      <c r="F48" s="12" t="inlineStr">
        <is>
          <t>Hecha</t>
        </is>
      </c>
      <c r="G48" s="12" t="inlineStr">
        <is>
          <t>2026-07-21</t>
        </is>
      </c>
      <c r="H48" s="12" t="inlineStr">
        <is>
          <t>GO Kimi R-PR1 9.4; merge a main. Apertura US-01 con arrastre F-14 + contigüidad + runtime-imports CI.</t>
        </is>
      </c>
      <c r="I48" s="12" t="inlineStr">
        <is>
          <t>G3</t>
        </is>
      </c>
    </row>
    <row r="49">
      <c r="A49" s="12" t="inlineStr">
        <is>
          <t>S2-09</t>
        </is>
      </c>
      <c r="B49" s="12" t="inlineStr">
        <is>
          <t>Sprint 2</t>
        </is>
      </c>
      <c r="C49" s="12" t="inlineStr">
        <is>
          <t>3</t>
        </is>
      </c>
      <c r="D49" s="12" t="inlineStr">
        <is>
          <t>CI reparado: replica set 1-nodo (regla 8 en CI), ruff format, CVEs python-multipart (pip-audit)</t>
        </is>
      </c>
      <c r="E49" s="12" t="inlineStr">
        <is>
          <t>Claude Code</t>
        </is>
      </c>
      <c r="F49" s="12" t="inlineStr">
        <is>
          <t>Hecha</t>
        </is>
      </c>
      <c r="G49" s="12" t="inlineStr">
        <is>
          <t>2026-07-21</t>
        </is>
      </c>
      <c r="H49" s="12" t="inlineStr">
        <is>
          <t>6ccea46 — CI main verde (run 29861083363). Incidente deploy: multipart ausente → pin 0.0.31.</t>
        </is>
      </c>
      <c r="I49" s="12" t="inlineStr">
        <is>
          <t>DoD #8</t>
        </is>
      </c>
    </row>
    <row r="50">
      <c r="A50" s="12" t="inlineStr">
        <is>
          <t>S3-04</t>
        </is>
      </c>
      <c r="B50" s="12" t="inlineStr">
        <is>
          <t>Sprint 3</t>
        </is>
      </c>
      <c r="C50" s="12" t="inlineStr">
        <is>
          <t>4</t>
        </is>
      </c>
      <c r="D50" s="12" t="inlineStr">
        <is>
          <t>Frontend: tema claro RODDOS + pantalla Meses (diálogo Abrir mes, US-01)</t>
        </is>
      </c>
      <c r="E50" s="12" t="inlineStr">
        <is>
          <t>Claude Code</t>
        </is>
      </c>
      <c r="F50" s="12" t="inlineStr">
        <is>
          <t>Hecha</t>
        </is>
      </c>
      <c r="G50" s="12" t="inlineStr">
        <is>
          <t>2026-07-21</t>
        </is>
      </c>
      <c r="H50" s="12" t="inlineStr">
        <is>
          <t>Frontend (sin gate): build+lint+vitest verdes. Deploy Vercel automático desde main.</t>
        </is>
      </c>
      <c r="I50" s="12" t="inlineStr">
        <is>
          <t>—</t>
        </is>
      </c>
    </row>
    <row r="51">
      <c r="A51" s="12" t="inlineStr">
        <is>
          <t>S3-05</t>
        </is>
      </c>
      <c r="B51" s="12" t="inlineStr">
        <is>
          <t>Sprint 3</t>
        </is>
      </c>
      <c r="C51" s="12" t="inlineStr">
        <is>
          <t>4</t>
        </is>
      </c>
      <c r="D51" s="12" t="inlineStr">
        <is>
          <t>Acotamiento + aprobación del presupuesto (§2.4; monto_definido + ajustes; aprobar → definido, transacción multi-doc regla 8)</t>
        </is>
      </c>
      <c r="E51" s="12" t="inlineStr">
        <is>
          <t>Claude Code</t>
        </is>
      </c>
      <c r="F51" s="12" t="inlineStr">
        <is>
          <t>Hecha</t>
        </is>
      </c>
      <c r="G51" s="12" t="inlineStr">
        <is>
          <t>2026-07-21</t>
        </is>
      </c>
      <c r="H51" s="12" t="inlineStr">
        <is>
          <t>GO Kimi I-PR1 9.5 (gate código); merge 885d32e (PR #21) a main. Transacción multi-doc regla 8 + saga O1 probadas en real-mongo.</t>
        </is>
      </c>
      <c r="I51" s="12" t="inlineStr">
        <is>
          <t>Gate Kimi PLAN</t>
        </is>
      </c>
    </row>
    <row r="52">
      <c r="A52" s="12" t="inlineStr">
        <is>
          <t>S4-00</t>
        </is>
      </c>
      <c r="B52" s="12" t="inlineStr">
        <is>
          <t>Sprint 4</t>
        </is>
      </c>
      <c r="C52" s="12" t="inlineStr">
        <is>
          <t>5</t>
        </is>
      </c>
      <c r="D52" s="12" t="inlineStr">
        <is>
          <t>Higiene: dar a acotar_linea la misma transacción Mongo que aprobar (evita inconsistencia benigna crash entre ln.save y mc.save) + split de tests</t>
        </is>
      </c>
      <c r="E52" s="12" t="inlineStr">
        <is>
          <t>Claude Code</t>
        </is>
      </c>
      <c r="F52" s="12" t="inlineStr">
        <is>
          <t>Hecha</t>
        </is>
      </c>
      <c r="G52" s="12" t="inlineStr">
        <is>
          <t>2026-07-23</t>
        </is>
      </c>
      <c r="H52" s="12" t="inlineStr">
        <is>
          <t>PR #26 merged dea4a16 — Kimi I-PR1 9.5/10 GO (planning/phases/sprint4-deuda/auditorias/PR1-I). Rollback total probado en real-mongo</t>
        </is>
      </c>
      <c r="I52" s="12" t="inlineStr"/>
    </row>
    <row r="53">
      <c r="A53" s="12" t="inlineStr">
        <is>
          <t>S4-04</t>
        </is>
      </c>
      <c r="B53" s="12" t="inlineStr">
        <is>
          <t>Sprint 4</t>
        </is>
      </c>
      <c r="C53" s="12" t="inlineStr">
        <is>
          <t>5</t>
        </is>
      </c>
      <c r="D53" s="12" t="inlineStr">
        <is>
          <t>Cierre de mes + conciliación por banco + reapertura (transacción multi-doc regla 8; ajuste de conciliación día-1 M+1; F-14)</t>
        </is>
      </c>
      <c r="E53" s="12" t="inlineStr">
        <is>
          <t>Claude Code</t>
        </is>
      </c>
      <c r="F53" s="12" t="inlineStr">
        <is>
          <t>Hecha</t>
        </is>
      </c>
      <c r="G53" s="12" t="inlineStr">
        <is>
          <t>2026-07-21</t>
        </is>
      </c>
      <c r="H53" s="12" t="inlineStr">
        <is>
          <t>GO Kimi I-PR1 9.4 (gate código); merge 9c62966 (PR #22). Transacción multi-doc regla 8 + saga O1 + contra-asiento probados en real-mongo (34 passed).</t>
        </is>
      </c>
      <c r="I53" s="12" t="inlineStr">
        <is>
          <t>Gate Kimi PLAN + G3</t>
        </is>
      </c>
    </row>
    <row r="54">
      <c r="A54" s="12" t="inlineStr">
        <is>
          <t>S4-05</t>
        </is>
      </c>
      <c r="B54" s="12" t="inlineStr">
        <is>
          <t>Sprint 4</t>
        </is>
      </c>
      <c r="C54" s="12" t="inlineStr">
        <is>
          <t>5</t>
        </is>
      </c>
      <c r="D54" s="12" t="inlineStr">
        <is>
          <t>B-1: sembrar rubro 'Ajuste de conciliación' (33→34) + UMBRAL_DIF_BANCO_CIERRE en base viva (migración idempotente, precedente S0B-05)</t>
        </is>
      </c>
      <c r="E54" s="12" t="inlineStr">
        <is>
          <t>Claude Code</t>
        </is>
      </c>
      <c r="F54" s="12" t="inlineStr">
        <is>
          <t>Hecha</t>
        </is>
      </c>
      <c r="G54" s="12" t="inlineStr">
        <is>
          <t>2026-07-21</t>
        </is>
      </c>
      <c r="H54" s="12" t="inlineStr">
        <is>
          <t>Baja B-1 Kimi I-PR1 — PREVIA a la demo G3 con julio real</t>
        </is>
      </c>
      <c r="I54" s="12" t="inlineStr">
        <is>
          <t>G3</t>
        </is>
      </c>
    </row>
    <row r="55">
      <c r="A55" s="12" t="inlineStr">
        <is>
          <t>S4-06</t>
        </is>
      </c>
      <c r="B55" s="12" t="inlineStr">
        <is>
          <t>Sprint 4</t>
        </is>
      </c>
      <c r="C55" s="12" t="inlineStr">
        <is>
          <t>5</t>
        </is>
      </c>
      <c r="D55" s="12" t="inlineStr">
        <is>
          <t>B-2/B-3: releer mc.estado dentro de la sesión (TOCTOU) + test POST /reabrir exige step-up (401). Backport junto a S4-00</t>
        </is>
      </c>
      <c r="E55" s="12" t="inlineStr">
        <is>
          <t>Claude Code</t>
        </is>
      </c>
      <c r="F55" s="12" t="inlineStr">
        <is>
          <t>Hecha</t>
        </is>
      </c>
      <c r="G55" s="12" t="inlineStr">
        <is>
          <t>2026-07-23</t>
        </is>
      </c>
      <c r="H55" s="12" t="inlineStr">
        <is>
          <t>PR #26 merged dea4a16 — Kimi I-PR1 9.5/10 GO. B-2: 2 tests TOCTOU real-mongo (cierre y siguiente-cerrado); B-3: test step-up 403</t>
        </is>
      </c>
      <c r="I55" s="12" t="inlineStr"/>
    </row>
    <row r="56">
      <c r="A56" s="12" t="inlineStr">
        <is>
          <t>S4-07</t>
        </is>
      </c>
      <c r="B56" s="12" t="inlineStr">
        <is>
          <t>Sprint 4</t>
        </is>
      </c>
      <c r="C56" s="12" t="inlineStr">
        <is>
          <t>5</t>
        </is>
      </c>
      <c r="D56" s="12" t="inlineStr">
        <is>
          <t>C1 categorías administrables (CRUD rubros + re-seed taxonomía real) + CR-S4 (2 eventos + permiso rubros:gestionar)</t>
        </is>
      </c>
      <c r="E56" s="12" t="inlineStr">
        <is>
          <t>Claude Code</t>
        </is>
      </c>
      <c r="F56" s="12" t="inlineStr">
        <is>
          <t>Hecha</t>
        </is>
      </c>
      <c r="G56" s="12" t="inlineStr">
        <is>
          <t>2026-07-22</t>
        </is>
      </c>
      <c r="H56" s="12" t="inlineStr">
        <is>
          <t>GO Kimi 9.2/9.4; merge 126ac29 (PR #24). Re-seed corrido en prod 2026-07-22: 39 rubros (solo difs de orden, 0 de tipo_flujo); depurar desde la app: Renting, Garantía cupo, Deudas impuestos, Planillas nuevas, Arriendos(operación). Falta frontend admin (sin gate)</t>
        </is>
      </c>
      <c r="I56" s="12" t="inlineStr">
        <is>
          <t>Gate Kimi PLAN</t>
        </is>
      </c>
    </row>
    <row r="57">
      <c r="A57" s="12" t="inlineStr">
        <is>
          <t>S4-08</t>
        </is>
      </c>
      <c r="B57" s="12" t="inlineStr">
        <is>
          <t>Sprint 4</t>
        </is>
      </c>
      <c r="C57" s="12" t="n">
        <v>5</v>
      </c>
      <c r="D57" s="12" t="inlineStr">
        <is>
          <t>Frontend: pantalla Categorías (C1) — CRUD rubros por grupo, acciones solo con rubros:gestionar</t>
        </is>
      </c>
      <c r="E57" s="12" t="inlineStr">
        <is>
          <t>Claude Code</t>
        </is>
      </c>
      <c r="F57" s="12" t="inlineStr">
        <is>
          <t>Hecha</t>
        </is>
      </c>
      <c r="G57" s="12" t="inlineStr">
        <is>
          <t>2026-07-22</t>
        </is>
      </c>
      <c r="H57" s="12" t="inlineStr">
        <is>
          <t>Commit 73b6877 (sin gate, como las demás pantallas). Vitest 11 passed; biome+tsc+build verdes. Habilita depuración D3 del CEO</t>
        </is>
      </c>
      <c r="I57" s="12" t="inlineStr">
        <is>
          <t>—</t>
        </is>
      </c>
    </row>
    <row r="58">
      <c r="A58" s="12" t="inlineStr">
        <is>
          <t>S5-02</t>
        </is>
      </c>
      <c r="B58" s="12" t="inlineStr">
        <is>
          <t>Sprint 5</t>
        </is>
      </c>
      <c r="C58" s="12" t="n">
        <v>6</v>
      </c>
      <c r="D58" s="12" t="inlineStr">
        <is>
          <t>C3 auto-clasificación: ReglaClasificacion (Spec §1.9) + aplicación en carga + reclasificación manual + semilla sin PII (CR-S5)</t>
        </is>
      </c>
      <c r="E58" s="12" t="inlineStr">
        <is>
          <t>Claude Code + Andrés</t>
        </is>
      </c>
      <c r="F58" s="12" t="inlineStr">
        <is>
          <t>Hecha</t>
        </is>
      </c>
      <c r="G58" s="12" t="inlineStr">
        <is>
          <t>2026-07-22</t>
        </is>
      </c>
      <c r="H58" s="12" t="inlineStr">
        <is>
          <t>GO Kimi PLAN-I 9.3 + I-PR1 9.4; merge 7253bd5 (PR #25). Semilla de reglas corrida en prod (2 ingresos → Recaudo, sin colisiones). Pendientes: pantalla reglas (sin gate) + extensión semilla egresos cuando CEO comparta el mapeo</t>
        </is>
      </c>
      <c r="I58" s="12" t="inlineStr">
        <is>
          <t>Gate Kimi PLAN</t>
        </is>
      </c>
    </row>
    <row r="59">
      <c r="A59" s="12" t="inlineStr">
        <is>
          <t>S5-03</t>
        </is>
      </c>
      <c r="B59" s="12" t="inlineStr">
        <is>
          <t>Sprint 5</t>
        </is>
      </c>
      <c r="C59" s="12" t="n">
        <v>6</v>
      </c>
      <c r="D59" s="12" t="inlineStr">
        <is>
          <t>Frontend: pantalla Reglas de clasificación (C3) — CRUD + aprobar + aplicar-pendientes con reporte D2</t>
        </is>
      </c>
      <c r="E59" s="12" t="inlineStr">
        <is>
          <t>Claude Code</t>
        </is>
      </c>
      <c r="F59" s="12" t="inlineStr">
        <is>
          <t>Hecha</t>
        </is>
      </c>
      <c r="G59" s="12" t="inlineStr">
        <is>
          <t>2026-07-22</t>
        </is>
      </c>
      <c r="H59" s="12" t="inlineStr">
        <is>
          <t>Commit 9815513 (sin gate, como las demás pantallas). Vitest 15 passed; biome+tsc+build verdes</t>
        </is>
      </c>
      <c r="I59" s="12" t="inlineStr">
        <is>
          <t>—</t>
        </is>
      </c>
    </row>
    <row r="60">
      <c r="A60" s="12" t="inlineStr">
        <is>
          <t>S6-01</t>
        </is>
      </c>
      <c r="B60" s="12" t="inlineStr">
        <is>
          <t>Sprint 6</t>
        </is>
      </c>
      <c r="C60" s="12" t="n">
        <v>7</v>
      </c>
      <c r="D60" s="12" t="inlineStr">
        <is>
          <t>C4 ajuste diario de caja: PATCH /meses/{mes}/saldos (upsert saldos_banco) + conciliacion al instante + CR-S6 (+1 evento saldo_banco.reportado, capacidad caja:reportar)</t>
        </is>
      </c>
      <c r="E60" s="12" t="inlineStr">
        <is>
          <t>Claude Code + Andrés</t>
        </is>
      </c>
      <c r="F60" s="12" t="inlineStr">
        <is>
          <t>Hecha</t>
        </is>
      </c>
      <c r="G60" s="12" t="inlineStr">
        <is>
          <t>2026-07-23</t>
        </is>
      </c>
      <c r="H60" s="12" t="inlineStr">
        <is>
          <t>PLAN-I GO Kimi 9.3 (B-1 incorporada). Código: PR #27 merge 670ba4e, CI 6/6 (backend-real-mongo verde: upsert atómico, B-1 concurrencia, O1, D4, D6). Suite 425 passed. Merge autorizado por CEO (gate-waiver 2026-07-23, Kimi ausente hasta 25-jul); auditoría Kimi de CÓDIGO RETROACTIVA pendiente</t>
        </is>
      </c>
    </row>
    <row r="61">
      <c r="A61" s="12" t="inlineStr">
        <is>
          <t>S6-02</t>
        </is>
      </c>
      <c r="B61" s="12" t="inlineStr">
        <is>
          <t>Sprint 6</t>
        </is>
      </c>
      <c r="C61" s="12" t="n">
        <v>7</v>
      </c>
      <c r="D61" s="12" t="inlineStr">
        <is>
          <t>Frontend: pantalla Caja (C4) — reportar saldo por banco del mes en ejecución + conciliación al instante; formulario solo con caja:reportar</t>
        </is>
      </c>
      <c r="E61" s="12" t="inlineStr">
        <is>
          <t>Claude Code</t>
        </is>
      </c>
      <c r="F61" s="12" t="inlineStr">
        <is>
          <t>Hecha</t>
        </is>
      </c>
      <c r="G61" s="12" t="inlineStr">
        <is>
          <t>2026-07-23</t>
        </is>
      </c>
      <c r="H61" s="12" t="inlineStr">
        <is>
          <t>Sin gate (como las demás pantallas). Vitest 2 passed (Caja) + suite 17/17; biome+tsc+build verdes. CajaPage + lib/caja.ts + ruta /caja + link navbar (caja:reportar)</t>
        </is>
      </c>
    </row>
    <row r="62">
      <c r="A62" s="12" t="inlineStr">
        <is>
          <t>COCK-01</t>
        </is>
      </c>
      <c r="B62" s="12" t="inlineStr">
        <is>
          <t>Cockpit</t>
        </is>
      </c>
      <c r="C62" s="12" t="inlineStr">
        <is>
          <t>Fase 1</t>
        </is>
      </c>
      <c r="D62" s="12" t="inlineStr">
        <is>
          <t>C7 — Motor de proyección de caja (BACKEND): recaudo por 2 vías DISCRIMINADO (cuota-a-cuota + iniciales), CAJA VERAZ (provisión NIIF 9 fuera del flujo, decisión CEO), semanas exactas por calendario real, inventario Auteco saldo rodante (anti-doble-conteo), escenarios (Pesimista/Base/Optimista), horizonte CONFIGURABLE a 180 meses (15 años). Motor puro + endpoint GET /proyeccion. Fuente: Dashboard Artefacto (formulación limpia del Simulador 2030).</t>
        </is>
      </c>
      <c r="E62" s="12" t="inlineStr">
        <is>
          <t>Claude Code</t>
        </is>
      </c>
      <c r="F62" s="12" t="inlineStr">
        <is>
          <t>Hecha</t>
        </is>
      </c>
      <c r="G62" s="12" t="inlineStr">
        <is>
          <t>2026-07-23</t>
        </is>
      </c>
      <c r="H62" s="12" t="inlineStr">
        <is>
          <t>commits 0db940b..4cd3f2f (rama cock-01-motor-proyeccion); 18 tests motor + 5 endpoints end-to-end; suite backend 476 verde; ruff limpio</t>
        </is>
      </c>
      <c r="I62" s="12" t="inlineStr">
        <is>
          <t>Gate Kimi</t>
        </is>
      </c>
    </row>
    <row r="63">
      <c r="A63" s="12" t="inlineStr">
        <is>
          <t>COCK-02</t>
        </is>
      </c>
      <c r="B63" s="12" t="inlineStr">
        <is>
          <t>Cockpit</t>
        </is>
      </c>
      <c r="C63" s="12" t="inlineStr">
        <is>
          <t>Fase 1</t>
        </is>
      </c>
      <c r="D63" s="12" t="inlineStr">
        <is>
          <t>Motor de ingresos por modelo + ModeloMoto ADMINISTRABLE (CRUD, baja lógica, saga O1, es_sistema inmutable) + ParametrosProyeccion versionado (drivers del motor) + CR-COCK (catálogo 40→44 eventos + capacidad proyeccion:gestionar).</t>
        </is>
      </c>
      <c r="E63" s="12" t="inlineStr">
        <is>
          <t>Claude Code</t>
        </is>
      </c>
      <c r="F63" s="12" t="inlineStr">
        <is>
          <t>Hecha</t>
        </is>
      </c>
      <c r="G63" s="12" t="inlineStr">
        <is>
          <t>2026-07-23</t>
        </is>
      </c>
      <c r="H63" s="12" t="inlineStr">
        <is>
          <t>commits de78dae, 0ea77cb; entidades registradas en DOMAIN_DOCUMENTS</t>
        </is>
      </c>
      <c r="I63" s="12" t="inlineStr">
        <is>
          <t>Gate Kimi</t>
        </is>
      </c>
    </row>
    <row r="64">
      <c r="A64" s="12" t="inlineStr">
        <is>
          <t>COCK-03</t>
        </is>
      </c>
      <c r="B64" s="12" t="inlineStr">
        <is>
          <t>Cockpit</t>
        </is>
      </c>
      <c r="C64" s="12" t="inlineStr">
        <is>
          <t>Fase 1</t>
        </is>
      </c>
      <c r="D64" s="12" t="inlineStr">
        <is>
          <t>Vista Proyecciones (frontend, el corazón visual): curva de caja SVG vs UMBRAL (caja mínima), KPIs (piso de caja, mes más ajustado, capital requerido, meses bajo mínimo, runway), ingreso DISCRIMINADO (recaudo crédito vs cuota inicial), selector de escenario (Pesimista/Base/Optimista) y horizonte (hasta 15 años). Consume GET /proyeccion; el front solo presenta.</t>
        </is>
      </c>
      <c r="E64" s="12" t="inlineStr">
        <is>
          <t>Claude Code</t>
        </is>
      </c>
      <c r="F64" s="12" t="inlineStr">
        <is>
          <t>Hecha</t>
        </is>
      </c>
      <c r="G64" s="12" t="inlineStr">
        <is>
          <t>2026-07-24</t>
        </is>
      </c>
      <c r="H64" s="12" t="inlineStr">
        <is>
          <t>rama cock-03-frontend-proyecciones; ProyeccionPage + lib/proyeccion; Vitest 21 verde; npm run build OK; biome limpio | Re-skin Fase B-1 al hero del Blueprint (curva cian + umbral rojo + KpiTile + tabla), merge main f9307fa; Vitest 33/33.</t>
        </is>
      </c>
      <c r="I64" s="12" t="inlineStr">
        <is>
          <t>sin gate</t>
        </is>
      </c>
    </row>
    <row r="65">
      <c r="A65" s="12" t="inlineStr">
        <is>
          <t>COCK-04</t>
        </is>
      </c>
      <c r="B65" s="12" t="inlineStr">
        <is>
          <t>Cockpit</t>
        </is>
      </c>
      <c r="C65" s="12" t="inlineStr">
        <is>
          <t>Fase 1</t>
        </is>
      </c>
      <c r="D65" s="12" t="inlineStr">
        <is>
          <t>Escenarios: Conservador/Base/Agresivo (mora/recuperación) superpuestos + tarjetas comparativas</t>
        </is>
      </c>
      <c r="E65" s="12" t="inlineStr">
        <is>
          <t>Claude Code</t>
        </is>
      </c>
      <c r="F65" s="12" t="inlineStr">
        <is>
          <t>Hecha</t>
        </is>
      </c>
      <c r="G65" s="12" t="inlineStr">
        <is>
          <t>2026-07-24</t>
        </is>
      </c>
      <c r="H65" s="12" t="inlineStr">
        <is>
          <t>Fase B-4. Merge a main ebb46c5. ScenariosPage: 3 escenarios (pesimista/base/optimista) superpuestos (ScenariosChart, escala compartida; base cyan/optimista green/pesimista amber; umbral rojo) + tarjetas comparativas (caja final, piso, meses bajo minimo, capital). useQueries; consume /proyeccion por escenario. Vitest 45/45, build+biome verdes. Sin gate (UI). GO del CEO.</t>
        </is>
      </c>
      <c r="I65" s="12" t="inlineStr">
        <is>
          <t>Gate Kimi</t>
        </is>
      </c>
    </row>
    <row r="66">
      <c r="A66" s="12" t="inlineStr">
        <is>
          <t>COCK-05</t>
        </is>
      </c>
      <c r="B66" s="12" t="inlineStr">
        <is>
          <t>Cockpit</t>
        </is>
      </c>
      <c r="C66" s="12" t="inlineStr">
        <is>
          <t>Fase 1</t>
        </is>
      </c>
      <c r="D66" s="12" t="inlineStr">
        <is>
          <t>Vista Inicio (pulso ejecutivo): KPIs caja/runway/motos/cartera/mora + línea de vida de la caja + próximos hitos</t>
        </is>
      </c>
      <c r="E66" s="12" t="inlineStr">
        <is>
          <t>Claude Code</t>
        </is>
      </c>
      <c r="F66" s="12" t="inlineStr">
        <is>
          <t>Hecha</t>
        </is>
      </c>
      <c r="G66" s="12" t="inlineStr">
        <is>
          <t>2026-07-24</t>
        </is>
      </c>
      <c r="H66" s="12" t="inlineStr">
        <is>
          <t>Fase B-2. Merge a main f66424d. InicioPage: KPIs del motor (piso/meses bajo minimo/capital/runway) + AlertBanner de perforacion + trayectoria (CashCurve compartido) + enlace a Proyecciones. Consume /proyeccion base; sin backend nuevo. Vitest 38/38, build+biome verdes. Sin gate (UI). GO del CEO.</t>
        </is>
      </c>
      <c r="I66" s="12" t="inlineStr">
        <is>
          <t>sin gate</t>
        </is>
      </c>
    </row>
    <row r="67">
      <c r="A67" s="12" t="inlineStr">
        <is>
          <t>COCK-06</t>
        </is>
      </c>
      <c r="B67" s="12" t="inlineStr">
        <is>
          <t>Cockpit</t>
        </is>
      </c>
      <c r="C67" s="12" t="inlineStr">
        <is>
          <t>Fase 1</t>
        </is>
      </c>
      <c r="D67" s="12" t="inlineStr">
        <is>
          <t>Datos: caja inicial de hoy + captura MANUAL de supuestos/presupuestos + importar modelo 2030 (opcional)</t>
        </is>
      </c>
      <c r="E67" s="12" t="inlineStr">
        <is>
          <t>Claude Code</t>
        </is>
      </c>
      <c r="F67" s="12" t="inlineStr">
        <is>
          <t>Hecha</t>
        </is>
      </c>
      <c r="G67" s="12" t="inlineStr">
        <is>
          <t>2026-07-24</t>
        </is>
      </c>
      <c r="H67" s="12" t="inlineStr">
        <is>
          <t>Fase B-3. Merge a main 9801fec. DatosPage: form de supuestos del motor (PUT /parametros-proyeccion) + catalogo de modelos (alta/desactivar/reactivar sobre /modelos-moto) + enlaces a capturas existentes. Montos string (regla 1); gated por proyeccion:gestionar; al guardar invalida la proyeccion. PENDIENTE: edicion in-situ de un modelo existente. Vitest 41/41, build+biome verdes. Sin gate (UI). GO del CEO.</t>
        </is>
      </c>
      <c r="I67" s="12" t="inlineStr">
        <is>
          <t>sin gate</t>
        </is>
      </c>
    </row>
    <row r="68">
      <c r="A68" s="12" t="inlineStr">
        <is>
          <t>COCK-07</t>
        </is>
      </c>
      <c r="B68" s="12" t="inlineStr">
        <is>
          <t>Cockpit</t>
        </is>
      </c>
      <c r="C68" s="12" t="inlineStr">
        <is>
          <t>Fase 3</t>
        </is>
      </c>
      <c r="D68" s="12" t="inlineStr">
        <is>
          <t>Dashboards operativos: cartera por añada, mora por tramo, cobranza, colocación</t>
        </is>
      </c>
      <c r="E68" s="12" t="inlineStr">
        <is>
          <t>Claude Code</t>
        </is>
      </c>
      <c r="F68" s="12" t="inlineStr">
        <is>
          <t>Hecha</t>
        </is>
      </c>
      <c r="G68" s="12" t="inlineStr">
        <is>
          <t>2026-07-24</t>
        </is>
      </c>
      <c r="H68" s="12" t="inlineStr">
        <is>
          <t>First-pass en main 41bde32: DashboardsPage con las series que el motor C7 ya proyecta (cobranza, cuotas iniciales, ingreso bruto, cartera activa) + barras de cobranza mensual. Vite | 355dbed: mora por tramo desde LoanTape SISMO-V3. COCK-07 completo.</t>
        </is>
      </c>
      <c r="I68" s="12" t="inlineStr">
        <is>
          <t>Gate Kimi (cálculo)</t>
        </is>
      </c>
    </row>
    <row r="69">
      <c r="A69" s="12" t="inlineStr">
        <is>
          <t>COCK-08</t>
        </is>
      </c>
      <c r="B69" s="12" t="inlineStr">
        <is>
          <t>Cockpit</t>
        </is>
      </c>
      <c r="C69" s="12" t="inlineStr">
        <is>
          <t>Fase 3</t>
        </is>
      </c>
      <c r="D69" s="12" t="inlineStr">
        <is>
          <t>Reportes para junta/inversionistas (board updates, exportables a PDF)</t>
        </is>
      </c>
      <c r="E69" s="12" t="inlineStr">
        <is>
          <t>Claude Code</t>
        </is>
      </c>
      <c r="F69" s="12" t="inlineStr">
        <is>
          <t>Hecha</t>
        </is>
      </c>
      <c r="G69" s="12" t="inlineStr">
        <is>
          <t>2026-07-24</t>
        </is>
      </c>
      <c r="H69" s="12" t="inlineStr">
        <is>
          <t>Merge a main 6491131. ReportesPage: resumen ejecutivo del escenario base (aviso perforacion + KPIs) + trayectoria (CashCurve) + tabla comparativa de los 3 escenarios; export a PDF por window.print con @media print (oculta sidebar/.no-print). Reusa el motor C7; sin backend nuevo. Vitest 47/47, build+biome verdes. Sin gate (UI). GO del CEO.</t>
        </is>
      </c>
      <c r="I69" s="12" t="inlineStr">
        <is>
          <t>sin gate</t>
        </is>
      </c>
    </row>
    <row r="70">
      <c r="A70" s="12" t="inlineStr">
        <is>
          <t>COCK-09</t>
        </is>
      </c>
      <c r="B70" s="12" t="inlineStr">
        <is>
          <t>Cockpit</t>
        </is>
      </c>
      <c r="C70" s="12" t="inlineStr">
        <is>
          <t>Fase 2</t>
        </is>
      </c>
      <c r="D70" s="12" t="inlineStr">
        <is>
          <t>Dato vivo: actuals (bancos ya construidos) vs proyección + rolling forecast; conexión SISMO/Alegra</t>
        </is>
      </c>
      <c r="E70" s="12" t="inlineStr">
        <is>
          <t>Claude Code</t>
        </is>
      </c>
      <c r="F70" s="12" t="inlineStr">
        <is>
          <t>Hecha</t>
        </is>
      </c>
      <c r="G70" s="12" t="inlineStr">
        <is>
          <t>2026-07-25</t>
        </is>
      </c>
      <c r="H70" s="12" t="inlineStr">
        <is>
          <t>main c6149c5: NÚCLEO HECHO - actuals (caja real de libro por mes) vs proyección + rolling forecast (re-ancla caja_inicial al último mes cerrado/con movimientos, configurable). Endpoint /proyeccion/comparar + sección 'Realidad vs proyección' en Inicio. Backend 74 + frontend 53 vitest/build/biome verdes. CONEXIÓN ALEGRA DESCARTADA por CEO 2026-07-26 (no se necesita); actuals vienen de las cargas bancarias. COMPLETO. Gate Kimi retroactivo.</t>
        </is>
      </c>
      <c r="I70" s="12" t="inlineStr">
        <is>
          <t>Gate Kimi</t>
        </is>
      </c>
    </row>
    <row r="71">
      <c r="A71" s="12" t="inlineStr">
        <is>
          <t>S6-03</t>
        </is>
      </c>
      <c r="B71" s="12" t="inlineStr">
        <is>
          <t>Sprint 6</t>
        </is>
      </c>
      <c r="C71" s="12" t="n">
        <v>8</v>
      </c>
      <c r="D71" s="12" t="inlineStr">
        <is>
          <t>C5 vista combinada categoría × cuenta: GET /meses/{mes}/control/por-cuenta (matriz rubro×banco, reconcilia con Vista Control) + pestaña Por cuenta en ControlPage</t>
        </is>
      </c>
      <c r="E71" s="12" t="inlineStr">
        <is>
          <t>Claude Code</t>
        </is>
      </c>
      <c r="F71" s="12" t="inlineStr">
        <is>
          <t>Hecha</t>
        </is>
      </c>
      <c r="G71" s="12" t="inlineStr">
        <is>
          <t>2026-07-23</t>
        </is>
      </c>
      <c r="H71" s="12" t="inlineStr">
        <is>
          <t>Read-only, no crítico (sin gate). Backend 7 tests + reconciliación con control(); frontend Vitest 18/18; ruff+biome+tsc+build verdes. Construido bajo GO del CEO</t>
        </is>
      </c>
    </row>
    <row r="72">
      <c r="A72" s="12" t="inlineStr">
        <is>
          <t>COCK-00</t>
        </is>
      </c>
      <c r="B72" s="12" t="inlineStr">
        <is>
          <t>Cockpit</t>
        </is>
      </c>
      <c r="C72" s="12" t="n">
        <v>8</v>
      </c>
      <c r="D72" s="12" t="inlineStr">
        <is>
          <t>Fundación plan de cuentas (ARQUITECTURA_PRESUPUESTAL): Rubro +codigo +tipo Fijo/Variable, +grupo 0000 Ingresos operativos (6 grupos), semilla 42 rubros cruzando los 2 Excel. Armazón sin datos.</t>
        </is>
      </c>
      <c r="E72" s="12" t="inlineStr">
        <is>
          <t>Claude Code</t>
        </is>
      </c>
      <c r="F72" s="12" t="inlineStr">
        <is>
          <t>Hecha</t>
        </is>
      </c>
      <c r="G72" s="12" t="inlineStr">
        <is>
          <t>2026-07-23</t>
        </is>
      </c>
      <c r="H72" s="12" t="inlineStr">
        <is>
          <t>PR #31 merge c2c0faf, CI 8/8. Cruza Arquitectura Presupuestal Operativa (estructura) + Flujo de pago de deudas (taxonomía real). Recaudo→0110 Recaudo de cartera. Migración re-seed toma la semilla nueva al aplicar (desde cero). Bajo GO del CEO (gate-waiver 2026-07-23; auditoría Kimi pendiente)</t>
        </is>
      </c>
    </row>
    <row r="73">
      <c r="A73" s="12" t="inlineStr">
        <is>
          <t>S4-09</t>
        </is>
      </c>
      <c r="B73" s="12" t="inlineStr">
        <is>
          <t>Sprint 4</t>
        </is>
      </c>
      <c r="C73" s="12" t="n">
        <v>5</v>
      </c>
      <c r="D73" s="12" t="inlineStr">
        <is>
          <t>C1 extensión: exponer codigo + Tipo Fijo/Variable en API /rubros y pantalla Categorías (grupo Ingresos operativos incluido)</t>
        </is>
      </c>
      <c r="E73" s="12" t="inlineStr">
        <is>
          <t>Claude Code</t>
        </is>
      </c>
      <c r="F73" s="12" t="inlineStr">
        <is>
          <t>Hecha</t>
        </is>
      </c>
      <c r="G73" s="12" t="inlineStr">
        <is>
          <t>2026-07-23</t>
        </is>
      </c>
      <c r="H73" s="12" t="inlineStr">
        <is>
          <t>PR #32 merge 737bcb0, CI verde (re-run tras fix de tsc -b en tests). Backend 40 tests; frontend 18/18. Sin gate (extensión C1). Bajo GO del CEO</t>
        </is>
      </c>
    </row>
    <row r="74">
      <c r="A74" s="12" t="inlineStr">
        <is>
          <t>COCK-10</t>
        </is>
      </c>
      <c r="B74" s="12" t="inlineStr">
        <is>
          <t>Cockpit</t>
        </is>
      </c>
      <c r="C74" s="12" t="inlineStr">
        <is>
          <t>Fase 1</t>
        </is>
      </c>
      <c r="D74" s="12" t="inlineStr">
        <is>
          <t>Cockpit UX Fase A: sistema de diseno (tokens RODDOS + fuentes Montserrat/Raleway @fontsource, sin CDN) + app shell (sidebar fijo, arbol 8 vistas capability-gated) + componentes base (Button/Card/KpiTile/AlertBanner/ScenarioChip/PageHeader) + placeholder EnConstruccion</t>
        </is>
      </c>
      <c r="E74" s="12" t="inlineStr">
        <is>
          <t>Claude Code</t>
        </is>
      </c>
      <c r="F74" s="12" t="inlineStr">
        <is>
          <t>Hecha</t>
        </is>
      </c>
      <c r="G74" s="12" t="inlineStr">
        <is>
          <t>2026-07-24</t>
        </is>
      </c>
      <c r="H74" s="12" t="inlineStr">
        <is>
          <t>Merge a main a7b2101 (PR #35). Convierte la hoja en blanco en el cockpit del Blueprint (fondo blanco + acentos RODDOS). TDD 15 tests; Vitest 33/33, npm run build + biome verdes. Sin gate (UI no critica). GO del CEO.</t>
        </is>
      </c>
      <c r="I74" s="12" t="inlineStr">
        <is>
          <t>sin gate</t>
        </is>
      </c>
    </row>
    <row r="75">
      <c r="A75" s="12" t="inlineStr">
        <is>
          <t>IVA-01</t>
        </is>
      </c>
      <c r="B75" s="12" t="inlineStr">
        <is>
          <t>Cockpit</t>
        </is>
      </c>
      <c r="C75" s="12" t="inlineStr">
        <is>
          <t>Fase final</t>
        </is>
      </c>
      <c r="D75" s="12" t="inlineStr">
        <is>
          <t>C11 Motor de liquidacion de IVA cuatrimestral: entidad Factura (compra/venta, tercero+NIT, base, tarifa, IVA, fecha-&gt;cuatrimestre) + generado-descontable con arrastre de saldo a favor, en Decimal (solo backend).</t>
        </is>
      </c>
      <c r="E75" s="12" t="inlineStr">
        <is>
          <t>Claude Code</t>
        </is>
      </c>
      <c r="F75" s="12" t="inlineStr">
        <is>
          <t>Hecha</t>
        </is>
      </c>
      <c r="G75" s="12" t="inlineStr">
        <is>
          <t>2026-07-25</t>
        </is>
      </c>
      <c r="H75" s="12" t="inlineStr">
        <is>
          <t>main c162b85; Factura+CRUD+endpoint /facturas, evento factura.anulada (45-&gt;46), iva:gestionar. 7+5 tests (TDD). GO CEO, gate-waiver.</t>
        </is>
      </c>
      <c r="I75" s="12" t="inlineStr">
        <is>
          <t>Gate Kimi (IVA/calculo)</t>
        </is>
      </c>
    </row>
    <row r="76">
      <c r="A76" s="12" t="inlineStr">
        <is>
          <t>IVA-02</t>
        </is>
      </c>
      <c r="B76" s="12" t="inlineStr">
        <is>
          <t>Cockpit</t>
        </is>
      </c>
      <c r="C76" s="12" t="inlineStr">
        <is>
          <t>Fase final</t>
        </is>
      </c>
      <c r="D76" s="12" t="inlineStr">
        <is>
          <t>Enchufar el IVA neto como egreso en la proyeccion de caja en la fecha DIAN real (CALENDARIO_DIAN, digito 2). CORRIGE omision verificada: el motor C7 hoy NO resta IVA -&gt; caja proyectada sobreestimada.</t>
        </is>
      </c>
      <c r="E76" s="12" t="inlineStr">
        <is>
          <t>Claude Code</t>
        </is>
      </c>
      <c r="F76" s="12" t="inlineStr">
        <is>
          <t>Hecha</t>
        </is>
      </c>
      <c r="G76" s="12" t="inlineStr">
        <is>
          <t>2026-07-25</t>
        </is>
      </c>
      <c r="H76" s="12" t="inlineStr">
        <is>
          <t>main c162b85; motor iva_egreso_por_mes + puente programar_egresos_iva (fecha DIAN real), paridad golden-master intacta. Test caja baja en mes DIAN.</t>
        </is>
      </c>
      <c r="I76" s="12" t="inlineStr">
        <is>
          <t>Gate Kimi (IVA/calculo)</t>
        </is>
      </c>
    </row>
    <row r="77">
      <c r="A77" s="12" t="inlineStr">
        <is>
          <t>IVA-03</t>
        </is>
      </c>
      <c r="B77" s="12" t="inlineStr">
        <is>
          <t>Cockpit</t>
        </is>
      </c>
      <c r="C77" s="12" t="inlineStr">
        <is>
          <t>Fase final</t>
        </is>
      </c>
      <c r="D77" s="12" t="inlineStr">
        <is>
          <t>Descontable de OTRAS compras deducibles (no solo Auteco) para no sobreestimar el IVA a pagar.</t>
        </is>
      </c>
      <c r="E77" s="12" t="inlineStr">
        <is>
          <t>Claude Code</t>
        </is>
      </c>
      <c r="F77" s="12" t="inlineStr">
        <is>
          <t>Hecha</t>
        </is>
      </c>
      <c r="G77" s="12" t="inlineStr">
        <is>
          <t>2026-07-25</t>
        </is>
      </c>
      <c r="H77" s="12" t="inlineStr">
        <is>
          <t>main c162b85; descontable cuenta TODAS las compras deducibles (Auteco + otras), no solo Auteco. Cubierto en liquidar().</t>
        </is>
      </c>
      <c r="I77" s="12" t="inlineStr">
        <is>
          <t>Gate Kimi (IVA/calculo)</t>
        </is>
      </c>
    </row>
    <row r="78">
      <c r="A78" s="12" t="inlineStr">
        <is>
          <t>IVA-04</t>
        </is>
      </c>
      <c r="B78" s="12" t="inlineStr">
        <is>
          <t>Cockpit</t>
        </is>
      </c>
      <c r="C78" s="12" t="inlineStr">
        <is>
          <t>Fase final</t>
        </is>
      </c>
      <c r="D78" s="12" t="inlineStr">
        <is>
          <t>Fondo de provision de IVA (reserva mensual % del neto) como capacidad de tesoreria; aporte del artifact v6.</t>
        </is>
      </c>
      <c r="E78" s="12" t="inlineStr">
        <is>
          <t>Claude Code</t>
        </is>
      </c>
      <c r="F78" s="12" t="inlineStr">
        <is>
          <t>Hecha</t>
        </is>
      </c>
      <c r="G78" s="12" t="inlineStr">
        <is>
          <t>2026-07-25</t>
        </is>
      </c>
      <c r="H78" s="12" t="inlineStr">
        <is>
          <t>main 32b1c1b; plan_fondo_provision (neto/meses-del-periodo, lleno en fecha DIAN) + serie fondo_provision en la proyeccion. 13 tests.</t>
        </is>
      </c>
      <c r="I78" s="12" t="inlineStr">
        <is>
          <t>Gate Kimi (calculo/caja)</t>
        </is>
      </c>
    </row>
    <row r="79">
      <c r="A79" s="12" t="inlineStr">
        <is>
          <t>IVA-05</t>
        </is>
      </c>
      <c r="B79" s="12" t="inlineStr">
        <is>
          <t>Cockpit</t>
        </is>
      </c>
      <c r="C79" s="12" t="inlineStr">
        <is>
          <t>Fase final</t>
        </is>
      </c>
      <c r="D79" s="12" t="inlineStr">
        <is>
          <t>Generado sobre TODAS las ventas gravadas (repuestos/accesorios/servicio) si RODDOS las factura + simulador cuanto-pago-si-vendo-N-motos integrado en Escenarios.</t>
        </is>
      </c>
      <c r="E79" s="12" t="inlineStr">
        <is>
          <t>Claude Code</t>
        </is>
      </c>
      <c r="F79" s="12" t="inlineStr">
        <is>
          <t>Pendiente</t>
        </is>
      </c>
      <c r="H79" s="12" t="inlineStr">
        <is>
          <t>AL FINAL. AUDITORIA-IVA P1-5/6.</t>
        </is>
      </c>
      <c r="I79" s="12" t="inlineStr">
        <is>
          <t>Gate Kimi (calculo)</t>
        </is>
      </c>
    </row>
    <row r="80">
      <c r="A80" s="12" t="inlineStr">
        <is>
          <t>IVA-06</t>
        </is>
      </c>
      <c r="B80" s="12" t="inlineStr">
        <is>
          <t>Cockpit</t>
        </is>
      </c>
      <c r="C80" s="12" t="inlineStr">
        <is>
          <t>Fase final</t>
        </is>
      </c>
      <c r="D80" s="12" t="inlineStr">
        <is>
          <t>Vista IVA del cockpit (curva neto/pago DIAN/fondo de provision, proximo pago) + export Excel + consulta fecha-&gt;cuatrimestre. Reemplaza el placeholder /iva.</t>
        </is>
      </c>
      <c r="E80" s="12" t="inlineStr">
        <is>
          <t>Claude Code</t>
        </is>
      </c>
      <c r="F80" s="12" t="inlineStr">
        <is>
          <t>Hecha</t>
        </is>
      </c>
      <c r="G80" s="12" t="inlineStr">
        <is>
          <t>2026-07-25</t>
        </is>
      </c>
      <c r="H80" s="12" t="inlineStr">
        <is>
          <t>main b2acc74; vista /iva (IvaPage) reemplaza placeholder: KPIs proximo pago DIAN/saldo a favor, tabla liquidacion por periodo, fondo. build+vitest(51)+biome verdes.</t>
        </is>
      </c>
      <c r="I80" s="12" t="inlineStr">
        <is>
          <t>sin gate (UI)</t>
        </is>
      </c>
    </row>
    <row r="81">
      <c r="A81" s="12" t="inlineStr">
        <is>
          <t>DASH-01</t>
        </is>
      </c>
      <c r="B81" s="12" t="inlineStr">
        <is>
          <t>Cockpit</t>
        </is>
      </c>
      <c r="C81" s="12" t="inlineStr">
        <is>
          <t>Fase final</t>
        </is>
      </c>
      <c r="D81" s="12" t="inlineStr">
        <is>
          <t>Motor de agregacion operativa: cartera por AÑADA (cohorte), mora por TRAMO (aging) y colocacion mensual expuesta desde el motor. Completa COCK-07.</t>
        </is>
      </c>
      <c r="E81" s="12" t="inlineStr">
        <is>
          <t>Claude Code</t>
        </is>
      </c>
      <c r="F81" s="12" t="inlineStr">
        <is>
          <t>Hecha</t>
        </is>
      </c>
      <c r="G81" s="12" t="inlineStr">
        <is>
          <t>2026-07-26</t>
        </is>
      </c>
      <c r="H81" s="12" t="inlineStr">
        <is>
          <t>main 355dbed: cartera por añada + colocación + MORA POR TRAMO (aging) completas. El aging sale del LoanTape REAL de SISMO-V3 (contrato + carga CSV/Excel + entidad LoanTapeCredito + derivación aging_por_tramo + vista Dashboards); NO roll-rates inventados. Backend 34 + frontend 53 verdes.</t>
        </is>
      </c>
      <c r="I81" s="12" t="inlineStr">
        <is>
          <t>Gate Kimi (calculo)</t>
        </is>
      </c>
    </row>
    <row r="82">
      <c r="A82" s="12" t="inlineStr">
        <is>
          <t>COCK-11</t>
        </is>
      </c>
      <c r="B82" s="12" t="inlineStr">
        <is>
          <t>Cockpit</t>
        </is>
      </c>
      <c r="C82" s="12" t="inlineStr">
        <is>
          <t>Fase 1</t>
        </is>
      </c>
      <c r="D82" s="12" t="inlineStr">
        <is>
          <t>Re-skin de vistas existentes al Blueprint: Presupuesto (ControlPage) + herramientas de captura (Caja, Cargas, Categorias, Reglas, Meses). Coherencia visual total del cockpit: ninguna pantalla queda en el estilo viejo.</t>
        </is>
      </c>
      <c r="E82" s="12" t="inlineStr">
        <is>
          <t>Claude Code</t>
        </is>
      </c>
      <c r="F82" s="12" t="inlineStr">
        <is>
          <t>Hecha</t>
        </is>
      </c>
      <c r="G82" s="12" t="inlineStr">
        <is>
          <t>2026-07-24</t>
        </is>
      </c>
      <c r="H82" s="12" t="inlineStr">
        <is>
          <t>Presupuesto main 704607e; herramientas main 2f55aa6 (4 por agentes en paralelo + Reglas a mano por caida transitoria de API del agente). Sin cambios de logica ni contrato; textos/roles y tests preservados. Suite 45/45, npm run build + biome verdes. Sin gate (UI). GO del CEO.</t>
        </is>
      </c>
      <c r="I82" s="12" t="inlineStr">
        <is>
          <t>sin gate</t>
        </is>
      </c>
    </row>
    <row r="83">
      <c r="A83" s="12" t="inlineStr">
        <is>
          <t>FID-01</t>
        </is>
      </c>
      <c r="B83" s="12" t="inlineStr">
        <is>
          <t>Cockpit</t>
        </is>
      </c>
      <c r="C83" s="12" t="inlineStr">
        <is>
          <t>Fase 1</t>
        </is>
      </c>
      <c r="D83" s="12" t="inlineStr">
        <is>
          <t>Motor C7 suma recaudo/activos de la cartera previa (PR-1 Fidelidad)</t>
        </is>
      </c>
      <c r="E83" s="12" t="inlineStr">
        <is>
          <t>Claude Code</t>
        </is>
      </c>
      <c r="F83" s="12" t="inlineStr">
        <is>
          <t>Hecha</t>
        </is>
      </c>
      <c r="G83" s="12" t="inlineStr">
        <is>
          <t>2026-07-25</t>
        </is>
      </c>
      <c r="H83" s="12" t="inlineStr">
        <is>
          <t>main 9a133c0; motor 22 tests (TDD)</t>
        </is>
      </c>
      <c r="I83" s="12" t="inlineStr">
        <is>
          <t>Gate Kimi pendiente (GO CEO)</t>
        </is>
      </c>
    </row>
    <row r="84">
      <c r="A84" s="12" t="inlineStr">
        <is>
          <t>FID-02</t>
        </is>
      </c>
      <c r="B84" s="12" t="inlineStr">
        <is>
          <t>Cockpit</t>
        </is>
      </c>
      <c r="C84" s="12" t="inlineStr">
        <is>
          <t>Fase 1</t>
        </is>
      </c>
      <c r="D84" s="12" t="inlineStr">
        <is>
          <t>CarteraPreviaRecaudo + servicio + seed idempotente 97 semanas ($1.095.640.900) + evento cartera_previa.cargada</t>
        </is>
      </c>
      <c r="E84" s="12" t="inlineStr">
        <is>
          <t>Claude Code</t>
        </is>
      </c>
      <c r="F84" s="12" t="inlineStr">
        <is>
          <t>Hecha</t>
        </is>
      </c>
      <c r="G84" s="12" t="inlineStr">
        <is>
          <t>2026-07-25</t>
        </is>
      </c>
      <c r="H84" s="12" t="inlineStr">
        <is>
          <t>main 9a133c0; cartera_previa 5 tests</t>
        </is>
      </c>
      <c r="I84" s="12" t="inlineStr">
        <is>
          <t>Gate Kimi pendiente (GO CEO)</t>
        </is>
      </c>
    </row>
    <row r="85">
      <c r="A85" s="12" t="inlineStr">
        <is>
          <t>FID-03</t>
        </is>
      </c>
      <c r="B85" s="12" t="inlineStr">
        <is>
          <t>Cockpit</t>
        </is>
      </c>
      <c r="C85" s="12" t="inlineStr">
        <is>
          <t>Fase 1</t>
        </is>
      </c>
      <c r="D85" s="12" t="inlineStr">
        <is>
          <t>Golden-master del motor: paridad con simular() del artefacto (176 meses, dif max 0.042 COP). Cierra tarea paridad #21</t>
        </is>
      </c>
      <c r="E85" s="12" t="inlineStr">
        <is>
          <t>Claude Code</t>
        </is>
      </c>
      <c r="F85" s="12" t="inlineStr">
        <is>
          <t>Hecha</t>
        </is>
      </c>
      <c r="G85" s="12" t="inlineStr">
        <is>
          <t>2026-07-25</t>
        </is>
      </c>
      <c r="H85" s="12" t="inlineStr">
        <is>
          <t>main d9cfb69; test_golden_master 2 tests + motor 31</t>
        </is>
      </c>
      <c r="I85" s="12" t="inlineStr">
        <is>
          <t>Gate Kimi pendiente (GO CEO)</t>
        </is>
      </c>
    </row>
    <row r="86">
      <c r="A86" s="12" t="inlineStr">
        <is>
          <t>IVA-07</t>
        </is>
      </c>
      <c r="B86" s="12" t="inlineStr">
        <is>
          <t>Cockpit</t>
        </is>
      </c>
      <c r="C86" s="12" t="inlineStr">
        <is>
          <t>Fase 1</t>
        </is>
      </c>
      <c r="D86" s="12" t="inlineStr">
        <is>
          <t>Periodo de IVA CONFIGURABLE (cuatrimestral/bimestral): clave PERIODICIDAD_IVA (default cuatrimestral), la DIAN puede pasar a RODDOS a bimestral por volumen (decision CEO 2026-07-25). Sin tocar codigo.</t>
        </is>
      </c>
      <c r="E86" s="12" t="inlineStr">
        <is>
          <t>Claude Code</t>
        </is>
      </c>
      <c r="F86" s="12" t="inlineStr">
        <is>
          <t>Hecha</t>
        </is>
      </c>
      <c r="G86" s="12" t="inlineStr">
        <is>
          <t>2026-07-25</t>
        </is>
      </c>
      <c r="H86" s="12" t="inlineStr">
        <is>
          <t>main c162b85; Periodicidad enum + periodo_de + clave_dian, liquidar/programar/plan_fondo parametrizados; obtener_periodicidad(); CLAUDE.md enmendado. Tests bimestral verdes.</t>
        </is>
      </c>
      <c r="I86" s="12" t="inlineStr">
        <is>
          <t>Sin gate adicional (parte del PR-2, GO CEO).</t>
        </is>
      </c>
    </row>
    <row r="87">
      <c r="A87" s="12" t="inlineStr">
        <is>
          <t>DASH-02</t>
        </is>
      </c>
      <c r="B87" s="12" t="inlineStr">
        <is>
          <t>Cockpit</t>
        </is>
      </c>
      <c r="C87" s="12" t="inlineStr">
        <is>
          <t>Fase final</t>
        </is>
      </c>
      <c r="D87" s="12" t="inlineStr">
        <is>
          <t>Proyección de recaudo CRÉDITO A CRÉDITO desde el cronograma restante del LoanTape de SISMO-V3 (reemplaza/afina la serie agregada de cartera previa en el motor). Upgrade de fidelidad del norte predictivo.</t>
        </is>
      </c>
      <c r="E87" s="12" t="inlineStr">
        <is>
          <t>Claude Code</t>
        </is>
      </c>
      <c r="F87" s="12" t="inlineStr">
        <is>
          <t>Pendiente</t>
        </is>
      </c>
      <c r="G87" s="12" t="n"/>
      <c r="H87" s="12" t="inlineStr">
        <is>
          <t>Después. Requiere el LoanTape con cronograma (ya en el contrato SISMO-V3). Gate Kimi (motor).</t>
        </is>
      </c>
      <c r="I87" s="12" t="inlineStr">
        <is>
          <t>Gate Kimi</t>
        </is>
      </c>
    </row>
    <row r="88">
      <c r="A88" s="12" t="inlineStr">
        <is>
          <t>C3-G66</t>
        </is>
      </c>
      <c r="B88" s="12" t="inlineStr">
        <is>
          <t>S2</t>
        </is>
      </c>
      <c r="C88" s="12" t="inlineStr"/>
      <c r="D88" s="12" t="inlineStr">
        <is>
          <t>Ampliar auto-clasificacion C3 con reglas de egreso de Global66 (comercios/conceptos genericos) + reclasificar carga inicial</t>
        </is>
      </c>
      <c r="E88" s="12" t="inlineStr">
        <is>
          <t>Andres</t>
        </is>
      </c>
      <c r="F88" s="12" t="inlineStr">
        <is>
          <t>Descartada</t>
        </is>
      </c>
      <c r="G88" s="12" t="inlineStr">
        <is>
          <t>2026-07-26</t>
        </is>
      </c>
      <c r="H88" s="12" t="inlineStr">
        <is>
          <t>REVERTIDA por CEO: no quería auto-clasificación adivinada. Se borró de prod (reglas+txs). Reemplazada por carga curada del Excel del CEO (ver CARGA-FLUJO). Reglas quedan dormidas en SEMILLA_REGLAS (no aplicadas). Reglas de egreso RETIRADAS tambien del codigo (SEMILLA_REGLAS vuelve a 2 de ingreso, commit 5eb4fb0).</t>
        </is>
      </c>
      <c r="I88" s="12" t="inlineStr"/>
    </row>
    <row r="89">
      <c r="A89" s="12" t="inlineStr">
        <is>
          <t>CARGA-FLUJO</t>
        </is>
      </c>
      <c r="B89" s="12" t="inlineStr">
        <is>
          <t>S2</t>
        </is>
      </c>
      <c r="C89" s="12" t="inlineStr"/>
      <c r="D89" s="12" t="inlineStr">
        <is>
          <t>Carga curada de movimientos mar-jul desde el Excel del CEO (clasificacion manual alineada a la arquitectura presupuestal / Plan de Cuentas), reemplaza carga cruda</t>
        </is>
      </c>
      <c r="E89" s="12" t="inlineStr">
        <is>
          <t>Andres</t>
        </is>
      </c>
      <c r="F89" s="12" t="inlineStr">
        <is>
          <t>Hecha</t>
        </is>
      </c>
      <c r="G89" s="12" t="inlineStr">
        <is>
          <t>2026-07-26</t>
        </is>
      </c>
      <c r="H89" s="12" t="inlineStr">
        <is>
          <t>32/32 categorias mapean al Plan de Cuentas. Grúas/Freelance=rubros propios Operacion; Arriendos=operacion; ingresos=Recaudo neto (desglose en SISMO). Dry-run 0 errores. Idempotente. 1270 movs en prod. Commit 821026e.</t>
        </is>
      </c>
      <c r="I89" s="12" t="inlineStr"/>
    </row>
    <row r="90">
      <c r="A90" s="12" t="inlineStr">
        <is>
          <t>APORTES-CAP</t>
        </is>
      </c>
      <c r="B90" s="12" t="inlineStr">
        <is>
          <t>S2</t>
        </is>
      </c>
      <c r="C90" s="12" t="inlineStr"/>
      <c r="D90" s="12" t="inlineStr">
        <is>
          <t>Separar aportes de capital de inversionistas del Recaudo operativo (rubro nuevo Aportes de capital)</t>
        </is>
      </c>
      <c r="E90" s="12" t="inlineStr">
        <is>
          <t>Andres</t>
        </is>
      </c>
      <c r="F90" s="12" t="inlineStr">
        <is>
          <t>Hecha</t>
        </is>
      </c>
      <c r="G90" s="12" t="inlineStr">
        <is>
          <t>2026-07-26</t>
        </is>
      </c>
      <c r="H90" s="12" t="inlineStr">
        <is>
          <t>CEO detecto distorsion: 1.040M de aportes de inversionistas estaban en Recaudo. Rubro Aportes de capital (ingreso no operativo, grupo otros). 8 movs reclasificados. Recaudo operativo real mar-jul = 390.1M (antes 1.430M). Caja sin cambios. Wava=operativo (se queda). Paula Naranjo = dentro de los 890M de Becerra (esposa, misma cuenta) - resuelto. Sin PII en repo (op de datos).</t>
        </is>
      </c>
      <c r="I90" s="12" t="inlineStr"/>
    </row>
    <row r="91">
      <c r="A91" s="12" t="inlineStr">
        <is>
          <t>ALINEA-PC</t>
        </is>
      </c>
      <c r="B91" s="12" t="inlineStr">
        <is>
          <t>S2</t>
        </is>
      </c>
      <c r="C91" s="12" t="inlineStr"/>
      <c r="D91" s="12" t="inlineStr">
        <is>
          <t>Alinear rubros de prod al Plan de Cuentas de la arquitectura (codigo 3 niveles + grupo + tipo)</t>
        </is>
      </c>
      <c r="E91" s="12" t="inlineStr">
        <is>
          <t>Andres</t>
        </is>
      </c>
      <c r="F91" s="12" t="inlineStr">
        <is>
          <t>Hecha</t>
        </is>
      </c>
      <c r="G91" s="12" t="inlineStr">
        <is>
          <t>2026-07-26</t>
        </is>
      </c>
      <c r="H91" s="12" t="inlineStr">
        <is>
          <t>37 rubros poblados con codigo/grupo/tipo desde el Plan de Cuentas. Recaudo otros-&gt;ingresos_operativos (0110); Dotacion empleados operacion-&gt;nomina; Gruas 2130 + Freelance 2140 (Operacion); Arriendos duplicado (otros, 0 txs) desactivado. No renombra (conserva nombres del flujo). Foto limpia: resultado operativo mar-jul = -335M (la operacion quema; +705M caja lo sostiene el capital). Commit 0502aff.</t>
        </is>
      </c>
      <c r="I91" s="12" t="inlineStr"/>
    </row>
    <row r="92">
      <c r="A92" s="12" t="inlineStr">
        <is>
          <t>CARGA-SEMANAL</t>
        </is>
      </c>
      <c r="B92" s="12" t="inlineStr">
        <is>
          <t>S2</t>
        </is>
      </c>
      <c r="C92" s="12" t="inlineStr"/>
      <c r="D92" s="12" t="inlineStr">
        <is>
          <t>Habilitar carga semanal idempotente desde el Excel curado + runbook + fix loader (2 rubros de ingreso)</t>
        </is>
      </c>
      <c r="E92" s="12" t="inlineStr">
        <is>
          <t>Andres</t>
        </is>
      </c>
      <c r="F92" s="12" t="inlineStr">
        <is>
          <t>Hecha</t>
        </is>
      </c>
      <c r="G92" s="12" t="inlineStr">
        <is>
          <t>2026-07-26</t>
        </is>
      </c>
      <c r="H92" s="12" t="inlineStr">
        <is>
          <t>Re-carga idempotente verificada (0 nuevas/1270 dup). Fix: abonos-&gt;Recaudo explicito (fallaba con Aportes de capital). docs/RUNBOOK-CARGA-SEMANAL.md. Caja mensual coherente (final 704.7M); ingresos separables por grupo (operativo 390M vs capital 1.040M). Fase 2=conexion SISMO. Commit 5eb4fb0.</t>
        </is>
      </c>
      <c r="I92" s="12" t="inlineStr"/>
    </row>
    <row r="93">
      <c r="A93" s="12" t="inlineStr">
        <is>
          <t>QA-AUDIT</t>
        </is>
      </c>
      <c r="B93" s="12" t="inlineStr">
        <is>
          <t>S2</t>
        </is>
      </c>
      <c r="C93" s="12" t="inlineStr"/>
      <c r="D93" s="12" t="inlineStr">
        <is>
          <t>Auditoria QA del cockpit desplegado (Claude Chrome) + prompt + carpeta capturas</t>
        </is>
      </c>
      <c r="E93" s="12" t="inlineStr">
        <is>
          <t>Andres</t>
        </is>
      </c>
      <c r="F93" s="12" t="inlineStr">
        <is>
          <t>Hecha</t>
        </is>
      </c>
      <c r="G93" s="12" t="inlineStr">
        <is>
          <t>2026-07-26</t>
        </is>
      </c>
      <c r="H93" s="12" t="inlineStr">
        <is>
          <t>Auditoria vista por vista. Hallazgo raiz: data SI cargada (1270 txs) pero motor sin configurar (parametros_proyeccion=0, modelos_moto=0) y meses en sugerido -&gt; vistas de proyeccion 409. /cargas vacio por diseno. 2 bugs UX reales. Prompt en docs/PROMPT-AUDITORIA-UI.md, capturas en revision-ui/.</t>
        </is>
      </c>
      <c r="I93" s="12" t="inlineStr"/>
    </row>
    <row r="94">
      <c r="A94" s="12" t="inlineStr">
        <is>
          <t>COCK-FLUJODIA</t>
        </is>
      </c>
      <c r="B94" s="12" t="inlineStr">
        <is>
          <t>S2</t>
        </is>
      </c>
      <c r="C94" s="12" t="inlineStr"/>
      <c r="D94" s="12" t="inlineStr">
        <is>
          <t>Vista Flujo de caja DIARIO (evolucion dia a dia, lee transacciones reales)</t>
        </is>
      </c>
      <c r="E94" s="12" t="inlineStr">
        <is>
          <t>Andres</t>
        </is>
      </c>
      <c r="F94" s="12" t="inlineStr">
        <is>
          <t>Hecha</t>
        </is>
      </c>
      <c r="G94" s="12" t="inlineStr">
        <is>
          <t>2026-07-26</t>
        </is>
      </c>
      <c r="H94" s="12" t="inlineStr">
        <is>
          <t>Backend app/caja/diaria.py (serie_diaria TDD 4 tests) + GET /caja/diaria + frontend FlujoDiarioPage (KPIs+tabla+barra evolucion)+nav. No depende del motor -&gt; muestra la data cargada ya. Commit 2281a3f.</t>
        </is>
      </c>
      <c r="I94" s="12" t="inlineStr"/>
    </row>
    <row r="95">
      <c r="A95" s="12" t="inlineStr">
        <is>
          <t>FIX-UX-01</t>
        </is>
      </c>
      <c r="B95" s="12" t="inlineStr">
        <is>
          <t>S2</t>
        </is>
      </c>
      <c r="C95" s="12" t="inlineStr"/>
      <c r="D95" s="12" t="inlineStr">
        <is>
          <t>Fix 2 bugs UX de la auditoria (Escenarios blanco sin mensaje; Inicio comparar atascado)</t>
        </is>
      </c>
      <c r="E95" s="12" t="inlineStr">
        <is>
          <t>Andres</t>
        </is>
      </c>
      <c r="F95" s="12" t="inlineStr">
        <is>
          <t>Hecha</t>
        </is>
      </c>
      <c r="G95" s="12" t="inlineStr">
        <is>
          <t>2026-07-26</t>
        </is>
      </c>
      <c r="H95" s="12" t="inlineStr">
        <is>
          <t>Escenarios: error si ALGUNA query falla (era every-&gt;blanco en estados mixtos). Inicio: rama isError en tarjeta comparar. Build+10 tests+biome verdes. Commit 2281a3f.</t>
        </is>
      </c>
      <c r="I95" s="12" t="inlineStr"/>
    </row>
    <row r="96">
      <c r="A96" s="12" t="inlineStr">
        <is>
          <t>GUIA-MOTOR</t>
        </is>
      </c>
      <c r="B96" s="12" t="inlineStr">
        <is>
          <t>S2</t>
        </is>
      </c>
      <c r="C96" s="12" t="inlineStr"/>
      <c r="D96" s="12" t="inlineStr">
        <is>
          <t>Guia PDF paso a paso para configurar/encender el motor de proyeccion</t>
        </is>
      </c>
      <c r="E96" s="12" t="inlineStr">
        <is>
          <t>Andres</t>
        </is>
      </c>
      <c r="F96" s="12" t="inlineStr">
        <is>
          <t>Hecha</t>
        </is>
      </c>
      <c r="G96" s="12" t="inlineStr">
        <is>
          <t>2026-07-26</t>
        </is>
      </c>
      <c r="H96" s="12" t="inlineStr">
        <is>
          <t>docs/GUIA-CONFIGURACION-MOTOR.md/.pdf: modelos de moto + parametros/supuestos (origen Excel arquitectura) + arranque ciclo presupuestal. Commit 6c88a3f.</t>
        </is>
      </c>
      <c r="I96" s="12" t="inlineStr"/>
    </row>
    <row r="97">
      <c r="A97" s="12" t="inlineStr">
        <is>
          <t>GASTOS-REC</t>
        </is>
      </c>
      <c r="B97" s="12" t="inlineStr">
        <is>
          <t>S2</t>
        </is>
      </c>
      <c r="D97" s="12" t="inlineStr">
        <is>
          <t>Modulo Gastos recurrentes: plantilla administrable de gastos fijos (cada uno apunta a un rubro; frecuencia-&gt;mensual; dia de pago; hasta; notas). Informativo, no toca el motor.</t>
        </is>
      </c>
      <c r="E97" s="12" t="inlineStr">
        <is>
          <t>Andres</t>
        </is>
      </c>
      <c r="F97" s="12" t="inlineStr">
        <is>
          <t>Hecha</t>
        </is>
      </c>
      <c r="G97" s="12" t="inlineStr">
        <is>
          <t>2026-07-26</t>
        </is>
      </c>
      <c r="H97" s="12" t="inlineStr">
        <is>
          <t>Backend app/gastos_recurrentes (domain+service+router) + frontend GastosRecurrentesPage+lib. TDD 17 tests backend + 3 frontend, ruff+build verdes. RBAC rubros:gestionar, montos string. Semilla 42 lineas reales: pendiente clasificacion CEO.</t>
        </is>
      </c>
    </row>
    <row r="98">
      <c r="A98" s="12" t="inlineStr">
        <is>
          <t>FIX-MOTO-EDIT</t>
        </is>
      </c>
      <c r="B98" s="12" t="inlineStr">
        <is>
          <t>S2</t>
        </is>
      </c>
      <c r="D98" s="12" t="inlineStr">
        <is>
          <t>Fix: los modelos de moto no se podian editar tras crearse (la UI de Datos no exponia editarModelo; backend si lo soportaba)</t>
        </is>
      </c>
      <c r="E98" s="12" t="inlineStr">
        <is>
          <t>Andres</t>
        </is>
      </c>
      <c r="F98" s="12" t="inlineStr">
        <is>
          <t>Hecha</t>
        </is>
      </c>
      <c r="G98" s="12" t="inlineStr">
        <is>
          <t>2026-07-26</t>
        </is>
      </c>
      <c r="H98" s="12" t="inlineStr">
        <is>
          <t>Boton Editar por modelo + dialogo con todos los valores editables. 2 tests de regresion (antes no habia boton). Principio CEO: nada rigido/hardcodeado.</t>
        </is>
      </c>
    </row>
    <row r="99">
      <c r="A99" s="12" t="inlineStr">
        <is>
          <t>NAV-ADMIN</t>
        </is>
      </c>
      <c r="B99" s="12" t="inlineStr">
        <is>
          <t>S2</t>
        </is>
      </c>
      <c r="D99" s="12" t="inlineStr">
        <is>
          <t>Navegacion: grupo Administracion en el sidebar (Gastos recurrentes, Movimientos bancarios, Caja, Meses, Categorias, Reglas) — antes solo alcanzables por URL/Datos</t>
        </is>
      </c>
      <c r="E99" s="12" t="inlineStr">
        <is>
          <t>Andres</t>
        </is>
      </c>
      <c r="F99" s="12" t="inlineStr">
        <is>
          <t>Hecha</t>
        </is>
      </c>
      <c r="G99" s="12" t="inlineStr">
        <is>
          <t>2026-07-26</t>
        </is>
      </c>
      <c r="H99" s="12" t="inlineStr">
        <is>
          <t>src/lib/navegacion.ts. Responde al reporte del CEO no veo modulo para cargar movimientos. Reorden fino queda para Claude Cowork.</t>
        </is>
      </c>
    </row>
    <row r="100">
      <c r="A100" s="12" t="inlineStr">
        <is>
          <t>RUBROS-PARCON</t>
        </is>
      </c>
      <c r="B100" s="12" t="inlineStr">
        <is>
          <t>S2</t>
        </is>
      </c>
      <c r="D100" s="12" t="inlineStr">
        <is>
          <t>Rubros faltantes creados en prod: Parafiscales (3080 Nomina) y Contingencia (2150 Operacion) — decision CEO para la plantilla de gastos</t>
        </is>
      </c>
      <c r="E100" s="12" t="inlineStr">
        <is>
          <t>Andres</t>
        </is>
      </c>
      <c r="F100" s="12" t="inlineStr">
        <is>
          <t>Hecha</t>
        </is>
      </c>
      <c r="G100" s="12" t="inlineStr">
        <is>
          <t>2026-07-26</t>
        </is>
      </c>
      <c r="H100" s="12" t="inlineStr">
        <is>
          <t>migrations/20260726_rubros_parafiscales_contingencia.py idempotente. Corrida en prod (verificado skip en 2a corrida).</t>
        </is>
      </c>
    </row>
    <row r="101">
      <c r="A101" s="12" t="inlineStr">
        <is>
          <t>C1-CICLO-UI</t>
        </is>
      </c>
      <c r="B101" s="12" t="inlineStr">
        <is>
          <t>S2</t>
        </is>
      </c>
      <c r="D101" s="12" t="inlineStr">
        <is>
          <t>Sprint C1 cerrar el ciclo: UI de presupuesto (generar sugerido -&gt; acotar -&gt; aprobar) en /meses/:mes/presupuesto + cableado de vacios (Control, Caja, Meses) + Ciclo mensual en el menu</t>
        </is>
      </c>
      <c r="E101" s="12" t="inlineStr">
        <is>
          <t>Andres</t>
        </is>
      </c>
      <c r="F101" s="12" t="inlineStr">
        <is>
          <t>Hecha</t>
        </is>
      </c>
      <c r="G101" s="12" t="inlineStr">
        <is>
          <t>2026-07-26</t>
        </is>
      </c>
      <c r="H101" s="12" t="inlineStr">
        <is>
          <t>Solo frontend (3 endpoints ya existian). PresupuestoMesPage: stepper del ciclo, crec_pct humano-&gt;fraccion string, tabla por grupo con componentes, acotado sin optimistic UI, totales decimal.js, aprobar con Idempotency-Key reusada por dialogo. 11 tests nuevos; lint+70 tests+build verdes. Commit c4ece36 (rama feat/c1-ciclo-presupuesto-ui).</t>
        </is>
      </c>
    </row>
    <row r="102">
      <c r="A102" s="12" t="inlineStr">
        <is>
          <t>C2-CABINA</t>
        </is>
      </c>
      <c r="B102" s="12" t="inlineStr">
        <is>
          <t>S2</t>
        </is>
      </c>
      <c r="D102" s="12" t="inlineStr">
        <is>
          <t>Sprint C2 Cabina del mes: barra de estado global (MesStatusBar), Cabina /mes (ciclo integrado: presupuesto+caja+desvios+cierre real de 2 pasos), control que prioriza por plata (QueExigeAtencion en Control y Cabina)</t>
        </is>
      </c>
      <c r="E102" s="12" t="inlineStr">
        <is>
          <t>Andres</t>
        </is>
      </c>
      <c r="F102" s="12" t="inlineStr">
        <is>
          <t>Hecha</t>
        </is>
      </c>
      <c r="G102" s="12" t="inlineStr">
        <is>
          <t>2026-07-26</t>
        </is>
      </c>
      <c r="H102" s="12" t="inlineStr">
        <is>
          <t>Solo frontend. Cierre con contrato real verificado (conciliacion compute-only + confirmar con Idempotency-Key). Extracciones sin copy-paste: CicloStepper, EstadoBadge, ReporteCajaCard. 17 tests nuevos, 87/87 verdes, lint+build ok. Commit c6c784d (rama feat/c2-cabina-mes).</t>
        </is>
      </c>
    </row>
    <row r="103">
      <c r="A103" s="12" t="inlineStr">
        <is>
          <t>F1-DISENO</t>
        </is>
      </c>
      <c r="B103" s="12" t="inlineStr">
        <is>
          <t>S2</t>
        </is>
      </c>
      <c r="D103" s="12" t="inlineStr">
        <is>
          <t>Sprint F1 sistema de diseno: tokens tipografia por rol + semanticos AA (positivo/atencion/critico) + formato es-CO compacto (formatCOPCompact/formatDelta) + 5 componentes (KpiTileV2, ChartCard, EstadoVacio, Cargando, ErrorEstado) + CashCurve anotada. PILOTO aplicado solo a /inicio</t>
        </is>
      </c>
      <c r="E103" s="12" t="inlineStr">
        <is>
          <t>Andres</t>
        </is>
      </c>
      <c r="F103" s="12" t="inlineStr">
        <is>
          <t>Hecha</t>
        </is>
      </c>
      <c r="G103" s="12" t="inlineStr">
        <is>
          <t>2026-07-27</t>
        </is>
      </c>
      <c r="H103" s="12" t="inlineStr">
        <is>
          <t>Prueba 10s del CEO OK; decisiones: 18m SI (con juicio a 60m), titular reconciliador, mil M. Horizonte 18m y mil M vs MM pendientes de confirmar. 20 tests nuevos, 107/107 verdes. Commit 43c77ee (rama feat/f1-sistema-diseno). MERGEADO: 49ab23a (PR #39).</t>
        </is>
      </c>
    </row>
    <row r="104">
      <c r="A104" s="12" t="inlineStr">
        <is>
          <t>C3-VARIABLES</t>
        </is>
      </c>
      <c r="B104" s="12" t="inlineStr">
        <is>
          <t>S2</t>
        </is>
      </c>
      <c r="D104" s="12" t="inlineStr">
        <is>
          <t>Sprint C3 variables con impacto: editor de supuestos con borrador + preview compute-only (POST /proyeccion/preview, paridad al peso), tornado de sensibilidad (GET /proyeccion/sensibilidad, 7 variables, &lt;0.5s), CR-002 costos de alistamiento por componente (migracion preserva total 692.005) + unidades humanas + validacion 3 niveles + nota al audit log</t>
        </is>
      </c>
      <c r="E104" s="12" t="inlineStr">
        <is>
          <t>Andres</t>
        </is>
      </c>
      <c r="F104" s="12" t="inlineStr">
        <is>
          <t>Hecha</t>
        </is>
      </c>
      <c r="G104" s="12" t="inlineStr">
        <is>
          <t>2026-07-27</t>
        </is>
      </c>
      <c r="H104" s="12" t="inlineStr">
        <is>
          <t>Backend: motor.py INTACTO, golden-master verde, 585+ tests. Frontend: 20 tests nuevos, 126/126. Rama feat/c3-variables-impacto (encadenada sobre F1 #39, pendiente de merge).  MERGEADO: c84a301 (PR #40) con fix QA cache sensibilidad (cf5618e). Migracion CR-002 corrida en prod (total 692.005 preservado; 2a corrida skip).</t>
        </is>
      </c>
    </row>
    <row r="105">
      <c r="A105" s="12" t="inlineStr">
        <is>
          <t>F11-PROPAGACION</t>
        </is>
      </c>
      <c r="B105" s="12" t="inlineStr">
        <is>
          <t>S2</t>
        </is>
      </c>
      <c r="D105" s="12" t="inlineStr">
        <is>
          <t>Sprint F1.1 propagacion del sistema de diseno pantalla por pantalla: barridos (muere KpiTile v1, tokens, guardian CI), Proyecciones/Escenarios/Dashboards/Control/Cabina/Reportes/IVA/Flujo diario al estandar F1, FiltroBarra formalizada, rendimiento medido con Profiler (2.6x)</t>
        </is>
      </c>
      <c r="E105" s="12" t="inlineStr">
        <is>
          <t>Andres</t>
        </is>
      </c>
      <c r="F105" s="12" t="inlineStr">
        <is>
          <t>Hecha</t>
        </is>
      </c>
      <c r="G105" s="12" t="inlineStr">
        <is>
          <t>2026-07-27</t>
        </is>
      </c>
      <c r="H105" s="12" t="inlineStr">
        <is>
          <t>9 commits (uno por pantalla, cada uno verde). Perf medido: 144.5ms-&gt;56.2ms (Profiler, fixture 180 meses). MERGEADO: 1ae570c (PR #41, GO CEO 2026-07-27). PENDIENTE para cerrar la tarea: prueba de 10 segundos en Proyecciones y Dashboards aplicada por alguien que NO sea Andres (regla 10.5 del doc). | Prueba 10s por un tercero (no Andres) en Proyecciones y Dashboards: PASO (2026-07-27) -&gt; F1.1 CERRADA. 2 nits QA visual pasan a la rama D1 (coma es-CO en conclusion Dashboards; multiplicador -&gt; "de X a Y en 24 meses").</t>
        </is>
      </c>
    </row>
    <row r="106">
      <c r="A106" s="12" t="inlineStr">
        <is>
          <t>D1-DECISIONES</t>
        </is>
      </c>
      <c r="B106" s="12" t="inlineStr">
        <is>
          <t>S3</t>
        </is>
      </c>
      <c r="D106" s="12" t="inlineStr">
        <is>
          <t>Sprint D1 decisiones sobre el motor: capa de impactos (proyeccion/impactos.py, post-proceso puro, motor intocable) con ajustes por rubro/naturaleza y vigencia; valles de caja con causas; endpoints impactos/valles + CRUD de escenarios nombrados auditado (simular nunca escribe); solvers por biseccion (techo de gasto, goal seek, punto de quiebre); pestana Decisiones en Presupuesto (generalizar PanelImpacto); tarjeta de techo; valles en Proyecciones</t>
        </is>
      </c>
      <c r="E106" s="12" t="inlineStr">
        <is>
          <t>Andres</t>
        </is>
      </c>
      <c r="F106" s="12" t="inlineStr">
        <is>
          <t>Hecha</t>
        </is>
      </c>
      <c r="G106" s="12" t="inlineStr">
        <is>
          <t>2026-07-27</t>
        </is>
      </c>
      <c r="H106" s="12" t="inlineStr">
        <is>
          <t>GO CEO 2026-07-27. Rama feat/d1-decisiones. Gate: motor.py cero diffs (verificable en PR) + golden-master verde por commit + TDD. Prueba de terminado: arriendos +3M desde sep-26 -&gt; curva+valle+delta -&gt; guardar escenario -&gt; goal seek de venta. Incluye 2 nits QA visual de F1.1. | PR #42 abierto (rama feat/d1-decisiones, 11 commits d791704..3708edb). motor.py CERO diffs en toda la rama; golden-master + suite verdes; frontend 143/143. Pendiente: prueba del CEO + merge (GO-waiver; Kimi retroactivo opcional). | MERGEADO 95acf9c (PR #42, GO CEO + QA Cowork). Fix pre-merge del rotulo del techo (sostenido). Backend 640 verdes, frontend 143, motor.py cero diffs, golden-master verde. Arrastre a D2/D1.1: cruce techo x gasto ejecutado (§4.7). Pendiente: pasada visual de Cowork en prod.</t>
        </is>
      </c>
    </row>
    <row r="107">
      <c r="A107" s="12" t="inlineStr">
        <is>
          <t>D2-OBLIGACIONES</t>
        </is>
      </c>
      <c r="B107" s="12" t="inlineStr">
        <is>
          <t>S3</t>
        </is>
      </c>
      <c r="D107" s="12" t="inlineStr">
        <is>
          <t>Sprint D2 obligaciones (BACKEND): Pieza 0 (techo x ejecutado), CR-D2 + entidades Obligacion/Factura/MetaIngreso + CRUD auditado, calculadora + candado de paridad con inventario_auteco_mensual, reconciliacion anti-doble-conteo (§4) + fix §0 coherencia concepto-a-concepto, simulador de plazos (§5), metas (§6), prueba de terminado E2E (§1). Frontend §7 en fila propia.</t>
        </is>
      </c>
      <c r="E107" s="12" t="inlineStr">
        <is>
          <t>Andres</t>
        </is>
      </c>
      <c r="F107" s="12" t="inlineStr">
        <is>
          <t>Hecha</t>
        </is>
      </c>
      <c r="G107" s="12" t="inlineStr">
        <is>
          <t>2026-07-28</t>
        </is>
      </c>
      <c r="H107" s="12" t="inlineStr">
        <is>
          <t>Mergeado a main: merge 23e3166 (PR #43). motor.py cero diffs; golden-master verde; candado de paridad al peso; §0 con TDD rojo-&gt;verde. Gate-waiver: CI Actions bloqueado por billing de la org (ajeno a D2); gates locales verdes (pytest 672, ruff check, gitleaks sin leaks, build, runtime import). GO CEO 'Mergea'. Kimi retroactivo pendiente.</t>
        </is>
      </c>
    </row>
    <row r="108">
      <c r="A108" s="12" t="inlineStr">
        <is>
          <t>D2-FRONTEND-§7</t>
        </is>
      </c>
      <c r="B108" s="12" t="inlineStr">
        <is>
          <t>S3</t>
        </is>
      </c>
      <c r="D108" s="12" t="inlineStr">
        <is>
          <t>Pagina Obligaciones (lista+detalle con calendario/facturas, proximos pagos, registro de factura con validacion e interes en vivo) + simulador UI 90/120/150 + bloque de metas de ingreso en Presupuesto + pagos de obligaciones en causas de valles.</t>
        </is>
      </c>
      <c r="E108" s="12" t="inlineStr">
        <is>
          <t>Andres</t>
        </is>
      </c>
      <c r="F108" s="12" t="inlineStr">
        <is>
          <t>Pendiente</t>
        </is>
      </c>
      <c r="H108" s="12" t="inlineStr">
        <is>
          <t>Backend §7 ya expone datos (obligaciones/facturas/metas/simular-plazo). Va despues de V1.</t>
        </is>
      </c>
    </row>
    <row r="109">
      <c r="A109" s="12" t="inlineStr">
        <is>
          <t>V1-VER-EGRESO</t>
        </is>
      </c>
      <c r="B109" s="12" t="inlineStr">
        <is>
          <t>S3</t>
        </is>
      </c>
      <c r="D109" s="12" t="inlineStr">
        <is>
          <t>Sprint V1 'Ver el egreso' (frontend): Proyecciones muestra ingreso/costo/gasto. lib/egreso (buckets + 2 candados: invariante ingreso-(costo+gasto)==flujo y anti-doble-conteo interes==|fondeo|), tabla con 3 totales + desglose + totales, grafico compuesto (barras + caja doble eje + hover Auteco real/proyectado + agregacion trimestral/anual), KPI Compromiso Auteco.</t>
        </is>
      </c>
      <c r="E109" s="12" t="inlineStr">
        <is>
          <t>Andres</t>
        </is>
      </c>
      <c r="F109" s="12" t="inlineStr">
        <is>
          <t>Hecha</t>
        </is>
      </c>
      <c r="G109" s="12" t="inlineStr">
        <is>
          <t>2026-07-28</t>
        </is>
      </c>
      <c r="H109" s="12" t="inlineStr">
        <is>
          <t>Mergeado a main: merge dd86979 (PR #45), GO CEO. Solo frontend, motor.py cero diffs. CI completo verde; Vercel produccion success. 176 tests frontend. QA aplicado: Decimal en agregacion (regla 1), candado en ruta agregada, Auteco 5a baldosa, origen registrado/proyeccion/parcial. Confirmacion visual autenticada pendiente del CEO.</t>
        </is>
      </c>
    </row>
    <row r="110">
      <c r="A110" s="12" t="inlineStr">
        <is>
          <t>E2-PR1</t>
        </is>
      </c>
      <c r="B110" s="12" t="inlineStr">
        <is>
          <t>E2</t>
        </is>
      </c>
      <c r="D110" s="12" t="inlineStr">
        <is>
          <t>E2 backend (captura de facturas DIAN + IVA): ingesta POST /facturas/cargar (parseo fuera del event loop, tope lote, dedup CUFE), precedencia iva_valor, total_bruto vs base_gravable, endurecer tarifa_iva, RBAC PII facturas:ver_detalle + enmascaramiento por tipo_contribuyente, A10 §6 exacto. motor.py cero diffs, compuerta apagada.</t>
        </is>
      </c>
      <c r="E110" s="12" t="inlineStr">
        <is>
          <t>Claude Code + Andrés</t>
        </is>
      </c>
      <c r="F110" s="12" t="inlineStr">
        <is>
          <t>Hecha</t>
        </is>
      </c>
      <c r="G110" s="12" t="inlineStr">
        <is>
          <t>2026-07-30</t>
        </is>
      </c>
      <c r="H110" s="12" t="inlineStr">
        <is>
          <t>PR #46 -&gt; main 7bc8316; A14 prod bit-a-bit idéntico (sha256 18fe9f13, commit 2f5e050); 728 tests, CVE pdfminer cerrado (pdfplumber 0.11.9); gate-waiver GO CEO, Kimi retroactivo pendiente.</t>
        </is>
      </c>
      <c r="I110" s="12" t="inlineStr">
        <is>
          <t>A1-A18 (A9/A15 -&gt; PR2 frontend)</t>
        </is>
      </c>
    </row>
    <row r="111">
      <c r="A111" s="12" t="inlineStr">
        <is>
          <t>E3-TECHO-IVA-AUTECO</t>
        </is>
      </c>
      <c r="B111" s="12" t="inlineStr">
        <is>
          <t>E3</t>
        </is>
      </c>
      <c r="D111" s="12" t="inlineStr">
        <is>
          <t>ENTREGA 3 (3 piezas visibles): (1) Techo de gasto en Proyecciones (tarjeta con cifra grande + frase, solver existente compute-only, honesto si no hay margen). (2) IVA generado mensual: crear_factura acepta iva_valor directo (D-13, base/tarifa opcionales) + POST /facturas/iva-generado (venta VENTAS-YYYY-MM a nombre de RODDOS, NIT de config, dedup NIT+numero) + accion en /iva. (3) Auteco auto-deducible en la ingesta (deducible+decidido=True por NIT de config). motor.py cero diffs, compuerta apagada (O-1).</t>
        </is>
      </c>
      <c r="E111" s="12" t="inlineStr">
        <is>
          <t>Claude Code + Andrés</t>
        </is>
      </c>
      <c r="F111" s="12" t="inlineStr">
        <is>
          <t>Hecha</t>
        </is>
      </c>
      <c r="G111" s="12" t="inlineStr">
        <is>
          <t>2026-07-31</t>
        </is>
      </c>
      <c r="H111" s="12" t="inlineStr">
        <is>
          <t>Mergeado a main: squash 8ec2217 (PR #51). Desplegado: bundle prod index-Cb_GQXvy.js con "Registrar IVA generado del mes"/"¿Cuánto puedo gastar al mes"; POST /facturas/iva-generado vivo (401 sin auth). motor.py cero diffs, compuerta apagada (O-1). 74 tests de facturas + 207 Vitest; ruff/biome/tsc-b limpios; CI todo verde. Gate-waiver GO CEO por fase (Kimi ausente), Kimi retroactivo pendiente.</t>
        </is>
      </c>
    </row>
    <row r="112">
      <c r="A112" s="12" t="inlineStr">
        <is>
          <t>FIX-A-NUCLEO-DINERO</t>
        </is>
      </c>
      <c r="B112" s="12" t="inlineStr">
        <is>
          <t>FIX</t>
        </is>
      </c>
      <c r="D112" s="12" t="inlineStr">
        <is>
          <t>PR-FIX-A nucleo del dinero (Plan Maestro Kimi, Fase 0): 6 hallazgos de dinero/atomicidad en un solo PR tematico. A-1 guard es_sistema deny-by-default; A-2 MANUAL fuera de conciliacion; A-3 rechazo de no-finitos; A-4 saga O1 + idempotencia convergente + marca huerfana; A-6 TOCTOU + updates posicionales atomicos (acotar/aprobar/reportar_saldos/apertura). Todo TDD rojo-&gt;verde, dos capas (mongomock + real-mongo CI).</t>
        </is>
      </c>
      <c r="E112" s="12" t="inlineStr">
        <is>
          <t>Claude Code + Andres</t>
        </is>
      </c>
      <c r="F112" s="12" t="inlineStr">
        <is>
          <t>Hecha</t>
        </is>
      </c>
      <c r="G112" s="12" t="inlineStr">
        <is>
          <t>2026-08-02</t>
        </is>
      </c>
      <c r="H112" s="12" t="inlineStr">
        <is>
          <t>Mergeado a main: squash 08f9732 (PR #53). Gate Kimi (arquitecto) 9.5/10 GO sobre el diff real via API (32 archivos, +1358/-145) + CI 7/7 (gitleaks, pip-audit, backend, backend-real-mongo con los candados de carrera en replica set real, runtime-imports, frontend, Vercel). Piezas: A-1 (P0-1) guard es_sistema; A-2 (P1-5) MANUAL fuera de conciliacion; A-3 (P1-8) no-finitos en money+14 parsers; A-4 (P1-7/9/10) saga O1 + id_banco determinista + marca huerfana; A-6 TOCTOU/posicional (re-read+abort 409 en acotar/aprobar, $push posicional del ajuste + compensacion $pull por at ms-alineado, no-retroceso+estado atomicos en reportar_saldos, dedup banco en apertura). TDD destapo un bug latente (get_motor_collection inexistente -&gt; get_pymongo_collection, 8cb4cec) antes de prod. motor.py cero diffs, golden sin regenerar, compuerta IVA apagada. Post-merge: solo deploy (no toca config ni datos).</t>
        </is>
      </c>
      <c r="I112" s="12" t="inlineStr">
        <is>
          <t>GATE-KIMI FIX-A</t>
        </is>
      </c>
    </row>
    <row r="113">
      <c r="A113" s="12" t="inlineStr">
        <is>
          <t>PR-S3-STORAGE</t>
        </is>
      </c>
      <c r="B113" s="12" t="inlineStr">
        <is>
          <t>FIX</t>
        </is>
      </c>
      <c r="D113" s="12" t="inlineStr">
        <is>
          <t>PR-S3 (reordenado #1 del roadmap v2): storage durable del original de cada carga bancaria en S3 (DISP-02/M-04). cargas/storage.py (boto3 perezoso + inyectable, subir_original-&gt;put_object-&gt;URI s3://); procesar_carga: S3 gana si s3_bucket, dir_originales solo dev, ninguno -&gt; M-04 (regla dura); subida DESPUES del dedup F-02 y ANTES de insertar (fail-closed, no re-sube). boto3==1.43.62.</t>
        </is>
      </c>
      <c r="E113" s="12" t="inlineStr">
        <is>
          <t>Claude Code + Andres</t>
        </is>
      </c>
      <c r="F113" s="12" t="inlineStr">
        <is>
          <t>Hecha</t>
        </is>
      </c>
      <c r="G113" s="12" t="inlineStr">
        <is>
          <t>2026-08-02</t>
        </is>
      </c>
      <c r="H113" s="12" t="inlineStr">
        <is>
          <t>Mergeado a main: squash 98c46a2 (PR #52). Gate Kimi 9.5/10 GO. CI 7/7 (incl. backend-real-mongo). REQUISITO OPERATIVO post-merge (bloquea la subida de julio): configurar en Render S3_BUCKET + AWS_* y el bucket con Object Lock COMPLIANCE + IAM minimo ANTES de subir por /cargas; sin S3_BUCKET la carga da M-04 por diseno. Tests unitarios locales + wiring real-mongo (CI).</t>
        </is>
      </c>
      <c r="I113" s="12" t="inlineStr">
        <is>
          <t>GATE-KIMI PR-S3</t>
        </is>
      </c>
    </row>
    <row r="114">
      <c r="A114" s="12" t="inlineStr">
        <is>
          <t>FIX-B</t>
        </is>
      </c>
      <c r="B114" s="12" t="inlineStr">
        <is>
          <t>FIX</t>
        </is>
      </c>
      <c r="D114" s="12" t="inlineStr">
        <is>
          <t>FIX-B (Item 1 cola agosto): clasificar julio para que muestre gasto real y recaudo limpio. Egresos: 24 reglas C3 (patron -Cat -&gt; rubro homonimo) + Venture 360 -&gt; Prestamos; crea Combustible motos (costo) y Comisiones externas (operacion), reactiva Planillas anteriores; techo residual 1M. Ingresos: 38 reversas/devoluciones/reembolsos -&gt; rubro nuevo Reversas y devoluciones (INGRESO, otros, administrable). CODIGO+TDD: ingreso_real excluye set unico RUBROS_NEUTROS_INGRESO_REAL (nace con Reversas; CR-WAVA lo extendera). motor.py cero diffs, catalogo eventos sin crecer.</t>
        </is>
      </c>
      <c r="E114" s="12" t="inlineStr">
        <is>
          <t>Claude Code + Andres</t>
        </is>
      </c>
      <c r="F114" s="12" t="inlineStr">
        <is>
          <t>Hecha</t>
        </is>
      </c>
      <c r="G114" s="12" t="inlineStr">
        <is>
          <t>2026-08-03</t>
        </is>
      </c>
      <c r="H114" s="12" t="inlineStr">
        <is>
          <t>Mergeado a main: squash 866b61f (PR #54). Gate Kimi (arquitecto) 9.5/10 GO sobre el diff real + numeros contra PROD. CI 7/7 verde (backend, backend-real-mongo, frontend, gitleaks, pip-audit, runtime-imports, Vercel). Aplicado a PROD (julio ABIERTO): egreso total julio 372.200.776,84 (clasif 371.912.776,84 + residual 288.000, 3 tx, &lt;1M); ingresos residual Por clasificar = 0; Reversas y devoluciones 43.410.148,73 (38 tx); ingreso_real(julio) 179.710.080,31 (sin los 43,4M). Tests test_ingreso_real_neutros (rojo-&gt;verde). Disclosure: rubro recaudo en PROD = Recaudo (no Recaudo de cartera del seed) -&gt; alias fallback; saneo en FIX-H.</t>
        </is>
      </c>
      <c r="I114" s="12" t="inlineStr">
        <is>
          <t>GATE-KIMI FIX-B</t>
        </is>
      </c>
    </row>
    <row r="115">
      <c r="A115" s="12" t="inlineStr">
        <is>
          <t>FIX-H</t>
        </is>
      </c>
      <c r="B115" s="12" t="inlineStr">
        <is>
          <t>FIX</t>
        </is>
      </c>
      <c r="D115" s="12" t="inlineStr">
        <is>
          <t>FIX-H (higiene, cola agosto): sanea divergencia semilla&lt;-&gt;PROD del rubro de recaudo. PROD tenia rubro sistema Recaudo (0110) pero whitelist del guard es_sistema + semilla + reglas C3 + tests usan Recaudo de cartera -&gt; es_rubro_clasificable=False -&gt; destino de recaudo BLOQUEADO para clasificar (y seed_reglas rompia en re-seed). Migracion idempotente DRY-RUN/URI env/foto/saga O1: rename Recaudo-&gt;Recaudo de cartera solo si no hay colision; rubro_id intacto (3 reglas por id intactas). Corrige comentario seed.py:114. motor.py cero diffs, catalogo sin crecer.</t>
        </is>
      </c>
      <c r="E115" s="12" t="inlineStr">
        <is>
          <t>Claude Code + Andres</t>
        </is>
      </c>
      <c r="F115" s="12" t="inlineStr">
        <is>
          <t>Hecha</t>
        </is>
      </c>
      <c r="G115" s="12" t="inlineStr">
        <is>
          <t>2026-08-03</t>
        </is>
      </c>
      <c r="H115" s="12" t="inlineStr">
        <is>
          <t>Mergeado a main: squash cf587ad (PR #55). Gate Kimi 9.5/10 GO al diff + GO CEO. Aplicado a PROD (visto CEO): clasificable=True, en whitelist=True, 3 reglas intactas, ingreso_real julio SIN cambio (179.710.080,31; recaudo NO es neutro). CI 7/7 verde (flake pre-existente de test_s3_dedup_no_re_sube re-corrido a success; ajeno al diff). Tests: domain_rubro, domain_persistence, transacciones_guard_sistema, ingreso_real_neutros (36 passed). ruff limpio.</t>
        </is>
      </c>
      <c r="I115" s="12" t="inlineStr">
        <is>
          <t>GATE-KIMI FIX-H</t>
        </is>
      </c>
    </row>
    <row r="116">
      <c r="A116" s="12" t="inlineStr">
        <is>
          <t>FIX-G1</t>
        </is>
      </c>
      <c r="B116" s="12" t="inlineStr">
        <is>
          <t>FIX</t>
        </is>
      </c>
      <c r="D116" s="12" t="inlineStr">
        <is>
          <t>FIX-G1 (cola agosto): re-acotacion del presupuesto en ejecucion. Con el presupuesto ya aprobado (mes en_ejecucion) el CEO corrige un monto_definido desde la pantalla; antes _ACOTABLE lo excluia (409). _ACOTABLE += EN_EJECUCION; en ejecucion comentario OBLIGATORIO (422 sin el), SIN transicion de estado; reusa A-6 (re-read 409, push posicional del ajuste, saga O1) + guarda TOCTOU extra; evento presupuesto.acotado existente; RBAC sin cambio. UI PresupuestoMesPage: edicion en ejecucion + comentario requerido, solo lectura solo cerrado/definido. motor.py cero diffs, catalogo sin crecer.</t>
        </is>
      </c>
      <c r="E116" s="12" t="inlineStr">
        <is>
          <t>Claude Code + Andres</t>
        </is>
      </c>
      <c r="F116" s="12" t="inlineStr">
        <is>
          <t>Hecha</t>
        </is>
      </c>
      <c r="G116" s="12" t="inlineStr">
        <is>
          <t>2026-08-03</t>
        </is>
      </c>
      <c r="H116" s="12" t="inlineStr">
        <is>
          <t>Mergeado a main: squash dbd42b9 (PR #56). Gate Kimi 9.5/10 GO al diff + GO CEO. CI 7/7 verde (backend-real-mongo corrio los tests EN_EJECUCION happy+concurrente). TDD rojo-&gt;verde: 422 mongomock (sin comentario / en blanco) local; happy EN_EJECUCION 200+ajuste+sin-transicion y dos re-acotaciones concurrentes sin perder ajustes en real-mongo (CI); 2 tests UI Vitest (edicion+aviso; Guardar sin comentario avisa sin llamar backend). npm run build (tsc -b)+biome verdes. Desbloquea editar agosto desde la pantalla.</t>
        </is>
      </c>
      <c r="I116" s="12" t="inlineStr">
        <is>
          <t>GATE-KIMI FIX-G1</t>
        </is>
      </c>
    </row>
    <row r="117">
      <c r="A117" s="12" t="inlineStr">
        <is>
          <t>FIX-I</t>
        </is>
      </c>
      <c r="B117" s="12" t="inlineStr">
        <is>
          <t>FIX</t>
        </is>
      </c>
      <c r="D117" s="12" t="inlineStr">
        <is>
          <t>FIX-I (higiene, flake de CI): test_s3_dedup_no_re_sube fallo 1 vez en CI (DID NOT RAISE CargaDuplicadaError) y paso en rerun sin cambios. Causa raiz: la carga previa persiste estado=COMPLETADA dentro de una transaccion (commit w:majority) pero el find_one de dedup F-02 de la carga siguiente leia con read concern local en sesion nueva -&gt; read-after-write causal gap del replica set -&gt; podia saltarse el dedup. Fix: la lectura F-02 usa ReadConcern(majority) (snapshot ya confirmado) -&gt; determinista en CI y prod. Solo la lectura; escritura/logica intactas.</t>
        </is>
      </c>
      <c r="E117" s="12" t="inlineStr">
        <is>
          <t>Claude Code + Andres</t>
        </is>
      </c>
      <c r="F117" s="12" t="inlineStr">
        <is>
          <t>Hecha</t>
        </is>
      </c>
      <c r="G117" s="12" t="inlineStr">
        <is>
          <t>2026-08-03</t>
        </is>
      </c>
      <c r="H117" s="12" t="inlineStr">
        <is>
          <t>Mergeado a main: squash ab4fd77 (PR #57). Gate Kimi 9.5/10 GO al diff + GO CEO. CI 7/7 verde (incl. backend-real-mongo que corre test_s3_dedup_no_re_sube contra replica set real). Ruff+import+storage units (3) verdes local; el flake no se reproduce local (sin replica set). motor.py cero diffs, sin cambios de esquema ni eventos.</t>
        </is>
      </c>
      <c r="I117" s="12" t="inlineStr">
        <is>
          <t>GATE-KIMI FIX-I</t>
        </is>
      </c>
    </row>
    <row r="118">
      <c r="A118" s="12" t="inlineStr">
        <is>
          <t>CR-WAVA</t>
        </is>
      </c>
      <c r="B118" s="12" t="inlineStr">
        <is>
          <t>FIX</t>
        </is>
      </c>
      <c r="D118" s="12" t="inlineStr">
        <is>
          <t>CR-WAVA (Item cola agosto): dinero en transito (Wava) en el cierre y la apertura de mes. I-PLAN etapa53, secciones 1-9, un solo PR. §1 MesControl.transito_wava (strict+forbid, no-op de datos); §2 ingreso_real excluye Transito Wava + Ajuste de conciliacion por rubro_id (mismo set FIX-B); §3 body {transito_wava} al request_hash canonico + persistencia _cerrar + metadata mes.cerrado + saga O1 (cierre y reapertura-&gt;0, candado F841); §4 cierre/transito.py heredado/remanente (roll-forward+clamp)/aviso en GET /meses y /control; §6 migracion 20260803_wava_transito.py (DRY-RUN, siembra rubro Transito Wava mes anterior); §7 CerrarDialog input+3 lineas, MesesPage, ControlPage; §9 NOTA julio enmendada. §5/§8.8 regla C3 automatica OMITIDA (falta patron Wava del CEO -&gt; clasificacion manual en agosto, base de CR-WAVA-2). motor.py cero diffs, catalogo eventos sin crecer.</t>
        </is>
      </c>
      <c r="E118" s="12" t="inlineStr">
        <is>
          <t>Claude Code + Andres</t>
        </is>
      </c>
      <c r="F118" s="12" t="inlineStr">
        <is>
          <t>Hecha</t>
        </is>
      </c>
      <c r="G118" s="12" t="inlineStr">
        <is>
          <t>2026-08-03</t>
        </is>
      </c>
      <c r="H118" s="12" t="inlineStr">
        <is>
          <t>Mergeado a main: squash 4bf099a (PR #58). Gate Kimi (arquitecto) 9.6/10 GO sobre el diff real, seccion por seccion contra el I-PLAN. CI 7/7 verde (backend 11m38s, backend-real-mongo 1m58s con 7 tests real-mongo, frontend, gitleaks, pip-audit, runtime-imports, Vercel). Tests: unit local (dominio, exclusion, remanente parcial/sobre/roll-forward/clamp, aviso) + 7 real-mongo (trampa banco↑/remanente↓/total igual, hash 422/replay canonico, O1 cierre y reapertura, cierre completo, heredado 0 inocuo) + 9 vitest + build. Debug CI: 1 fallo inicial (KeyError caja_disponible_total) por test leyendo control con jul SUGERIDO (409) -&gt; fix del test (producto correcto). Pendiente operacion: migracion PROD (DRY-RUN-&gt;visto-&gt;APPLY) + cierre julio transito_wava=37.280.415 (agosto Bancos 665.715.578 + Transito 37.280.415 + Total 702.995.993).</t>
        </is>
      </c>
      <c r="I118" s="12" t="inlineStr">
        <is>
          <t>GATE-KIMI CR-WAVA</t>
        </is>
      </c>
    </row>
    <row r="119">
      <c r="A119" s="12" t="inlineStr">
        <is>
          <t>CR-WAVA-2</t>
        </is>
      </c>
      <c r="B119" s="12" t="inlineStr">
        <is>
          <t>FIX</t>
        </is>
      </c>
      <c r="D119" s="12" t="inlineStr">
        <is>
          <t>CR-WAVA-2 (Item cola agosto): hook estado-dependiente de clasificacion de depositos Wava. Cierra la regla C3 automatica que CR-WAVA dejo omitida (§5/§8.8) por falta del patron real; el CEO entrego PATRONES_TRANSITO=(recibido de wava,). transito.py: es_transito_wava (reusa normalizar_texto) + AsignadorTransito (cache + descuento en batch: dentro de un archivo == cargas secuenciales, nunca sobre-asigna mas que lo declarado). Hook en cargas/service.py y en reglas/aplicar_pendientes ANTES de elegir_regla: INGRESO + patron + transito_remanente(mes)&gt;0 -&gt; rubro Transito Wava mes anterior (sello de sistema, regla_id=None, excluido de ingreso_real); fail-safe si el rubro no existe. Bump cryptography 48.0.1-&gt;50.0.0 (CVE-2026-69247/48/49, advisory externo, fold aprobado). motor.py cero diffs, catalogo eventos sin crecer.</t>
        </is>
      </c>
      <c r="E119" s="12" t="inlineStr">
        <is>
          <t>Claude Code + Andres</t>
        </is>
      </c>
      <c r="F119" s="12" t="inlineStr">
        <is>
          <t>Hecha</t>
        </is>
      </c>
      <c r="G119" s="12" t="inlineStr">
        <is>
          <t>2026-08-04</t>
        </is>
      </c>
      <c r="H119" s="12" t="inlineStr">
        <is>
          <t>Mergeado a main: squash 6071873 (PR #59). Gate Kimi (arquitecto) 9.5/10 GO sobre el diff real + GO CEO. CI 7/7 verde (backend 10m42s, backend-real-mongo 1m51s con 6 tests del hook, frontend, gitleaks, pip-audit 23s, runtime-imports, Vercel). Tests: 15 unit (mongomock: matcher + AsignadorTransito con descuento en batch) + 6 real-mongo (carga con/sin remanente, sin declaracion, no-Wava coexiste, batch 3o cae a recaudo, aplicar_pendientes reclasifica). Desbloquea la clasificacion automatica de settlements Wava en agosto (rubro sembrado por migracion 20260803_wava_transito.py). Bump cryptography 50.0.0 limpio (No known vulnerabilities). Spec: docs/superpowers/specs/2026-08-03-cr-wava-2-hook-clasificacion-wava-design.md.</t>
        </is>
      </c>
      <c r="I119" s="12" t="inlineStr">
        <is>
          <t>GATE-KIMI CR-WAVA-2</t>
        </is>
      </c>
    </row>
    <row r="120">
      <c r="A120" s="12" t="inlineStr">
        <is>
          <t>FIX-J</t>
        </is>
      </c>
      <c r="B120" s="12" t="inlineStr">
        <is>
          <t>FIX</t>
        </is>
      </c>
      <c r="D120" s="12" t="inlineStr">
        <is>
          <t>FIX-J: guarda de orden de cierre + selector de mes objetivo. Hueco destapado al cerrar julio (julio Y agosto ambos en_ejecucion en PROD): el flujo no dejaba elegir el objetivo ni frenaba cerrar un mes con su predecesor abierto (quedaria irrecuperable). Backend (aditiva, matematica certificada intacta): en confirmar_cierre, ANTES de la transaccion, predecesor inmediato EN_EJECUCION -&gt; 409 cierra los meses en orden; borradores (sugerido/propuesto/definido) NO bloquean; reusa _mes_anterior. Frontend TarjetaCierre: selector de mes objetivo sobre los en_ejecucion (default el mas antiguo); todo opera sobre el objetivo (conciliacion, dialogo, confirmar, precondicion del siguiente); predecesor en_ejecucion -&gt; nota cierra primero {pred} en vez del boton (doble capa con el 409); titulo Cerrar mes YYYY-MM; helpers mesAnterior + mesesEnEjecucion. motor.py cero diffs, catalogo eventos sin crecer, LIFO/conciliacion/CR-WAVA intactos.</t>
        </is>
      </c>
      <c r="E120" s="12" t="inlineStr">
        <is>
          <t>Claude Code + Andres</t>
        </is>
      </c>
      <c r="F120" s="12" t="inlineStr">
        <is>
          <t>Hecha</t>
        </is>
      </c>
      <c r="G120" s="12" t="inlineStr">
        <is>
          <t>2026-08-04</t>
        </is>
      </c>
      <c r="H120" s="12" t="inlineStr">
        <is>
          <t>Mergeado a main: squash d68245b (PR #60). Gate Kimi (arquitecto) 9.5/10 GO al diff + GO CEO. CI 7/7 verde (backend 10m45s, backend-real-mongo 1m54s con caso b real, frontend/vitest 12/12, gitleaks, pip-audit, runtime-imports, Vercel). Tests: (a) 409 orden mongomock, (b) predecesor sugerido cierra real-mongo (caso PROD), (c) regresion intacta + 5 vitest (selector/default/habilitado/nota/objetivo). Local: 61 regresion backend + build tsc -b + ruff/biome. Desbloquea el cierre de julio en orden.</t>
        </is>
      </c>
      <c r="I120" s="12" t="inlineStr">
        <is>
          <t>GATE-KIMI FIX-J</t>
        </is>
      </c>
    </row>
    <row r="121">
      <c r="A121" s="12" t="inlineStr">
        <is>
          <t>CIERRE-JULIO-2026</t>
        </is>
      </c>
      <c r="B121" s="12" t="inlineStr">
        <is>
          <t>FIX</t>
        </is>
      </c>
      <c r="D121" s="12" t="inlineStr">
        <is>
          <t>Cierre de julio 2026 (operacion CEO en la app, con CR-WAVA + CR-WAVA-2 + FIX-J en produccion).</t>
        </is>
      </c>
      <c r="E121" s="12" t="inlineStr">
        <is>
          <t>Andres (CEO)</t>
        </is>
      </c>
      <c r="F121" s="12" t="inlineStr">
        <is>
          <t>Hecha</t>
        </is>
      </c>
      <c r="G121" s="12" t="inlineStr">
        <is>
          <t>2026-08-04</t>
        </is>
      </c>
      <c r="H121" s="12" t="inlineStr">
        <is>
          <t>Cerrado con ajuste $13,13 (diferencia -13.13, egreso 1-ago) y transito_wava=0 por decision del CEO (03-ago): los $37.280.415 de Wava entran como recaudo de agosto cuando aterricen (el hook CR-WAVA-2 es inocuo con remanente=0 -&gt; van a Recaudo de cartera). Sin reapertura, sin accion adicional. Verificado read-only en PROD (cerrado_at 2026-08-04 15:50:42Z): julio estado=cerrado, R_julio=665.715.578; agosto en_ejecucion (unico), saldo_inicial=665.715.578, heredado=0; evento mes.cerrado con metadata (diferencia -13.13, transito_wava 0.00).</t>
        </is>
      </c>
      <c r="I121" s="12" t="inlineStr">
        <is>
          <t>DoD cierre</t>
        </is>
      </c>
    </row>
    <row r="122">
      <c r="A122" s="12" t="inlineStr">
        <is>
          <t>UI-METAS-INGRESO</t>
        </is>
      </c>
      <c r="B122" s="12" t="inlineStr">
        <is>
          <t>FIX</t>
        </is>
      </c>
      <c r="D122" s="12" t="inlineStr">
        <is>
          <t>UI Metas de ingreso: pagina Metas bajo Planeacion y control (ruta /metas + item sidebar). Frontend sobre el backend existente (GET/POST/PATCH/DELETE /metas-ingreso, sin tocarlo). Bloque mes en curso (meta/real/%/barra, estado honesto sin meta, &gt;100 resaltado); acumulado del anio (tabla por mes + fila de totales via decimal.js-light); CRUD gated por proyeccion:gestionar con validacion de monto/mes antes de llamar; invalidacion react-query. Montos string. Informativa: motor.py cero diffs.</t>
        </is>
      </c>
      <c r="E122" s="12" t="inlineStr">
        <is>
          <t>Claude Code + Andres</t>
        </is>
      </c>
      <c r="F122" s="12" t="inlineStr">
        <is>
          <t>Hecha</t>
        </is>
      </c>
      <c r="G122" s="12" t="inlineStr">
        <is>
          <t>2026-08-04</t>
        </is>
      </c>
      <c r="H122" s="12" t="inlineStr">
        <is>
          <t>Mergeado a main: squash 9ecc86a (PR #61). Gate Kimi 9.5/10 GO al diff + GO CEO. CI 7/7 verde (frontend, backend 816, backend-real-mongo, gitleaks, pip-audit, runtime-imports, Vercel; el unico rojo inicial fue el flake conocido test_s3_dedup_no_re_sube -&gt; paso en rerun, PR frontend-only). Vitest 6 nuevos + suite 219/219; build tsc -b + biome limpios. Nota: FIX-I no elimino del todo ese flake -&gt; registrado FIX-I-2.</t>
        </is>
      </c>
      <c r="I122" s="12" t="inlineStr">
        <is>
          <t>GATE-KIMI UI-METAS</t>
        </is>
      </c>
    </row>
    <row r="123">
      <c r="A123" s="12" t="inlineStr">
        <is>
          <t>FIX-F</t>
        </is>
      </c>
      <c r="B123" s="12" t="inlineStr">
        <is>
          <t>FIX</t>
        </is>
      </c>
      <c r="D123" s="12" t="inlineStr">
        <is>
          <t>FIX-F: editar el saldo inicial de caja desde la app. PATCH /meses/{mes}/saldo-inicial (ciclo:config + require_step_up MFA + verify_origin). Override del saldo de apertura de un mes en ejecucion con motivo. Guardas: mes 404, solo en_ejecucion (409 histórico inmutable regla 4), valor finito 422, motivo obligatorio 422. Emite saldo_inicial.editado (anterior-&gt;nuevo+motivo) + saga O1 (revierte si el emit falla). UI /caja: card + boton solo con ciclo:config (regla 9), dialogo valida antes de llamar. motor.py cero diffs, catalogo sin crecer.</t>
        </is>
      </c>
      <c r="E123" s="12" t="inlineStr">
        <is>
          <t>Claude Code + Andres</t>
        </is>
      </c>
      <c r="F123" s="12" t="inlineStr">
        <is>
          <t>Hecha</t>
        </is>
      </c>
      <c r="G123" s="12" t="inlineStr">
        <is>
          <t>2026-08-04</t>
        </is>
      </c>
      <c r="H123" s="12" t="inlineStr">
        <is>
          <t>Mergeado a main: squash 9f69a7b (PR #62). Gate Kimi 9.5/10 GO al diff + GO CEO. CI 7/7 verde (backend 11m53s, backend-real-mongo 2m23s sin flake, frontend, gitleaks, pip-audit, runtime-imports, Vercel). Tests: 9 backend (service 404/409/200+evento+metadata/O1 + endpoint 403 no-admin/403 sin step-up/422x2/200 con step-up MFA real) + 3 vitest.</t>
        </is>
      </c>
      <c r="I123" s="12" t="inlineStr">
        <is>
          <t>GATE-KIMI FIX-F</t>
        </is>
      </c>
    </row>
    <row r="124">
      <c r="A124" s="12" t="inlineStr">
        <is>
          <t>FIX-L</t>
        </is>
      </c>
      <c r="B124" s="12" t="inlineStr">
        <is>
          <t>FIX</t>
        </is>
      </c>
      <c r="D124" s="12" t="inlineStr">
        <is>
          <t>FIX-L: rampa de unidades por mes editable en Supuestos. Campo rampa_unidades (dict YYYY-MM-&gt;int) en parametros_proyeccion; validador (_MES, &gt;=0). _rampa_a_lista mapea a prefijo contiguo desde mes_inicio; el motor lo consume nativo via colocacion_mensual(motos_base,crec,horizonte,rampa) (override de primeros meses, post-rampa vuelve a motos_base encadenado). Router body/serializer + 422. Frontend RampaCard en Supuestos (canonicalizar/aCampos/diff, key-order al final). Tests endpoint round-trip + 422. motor.py cero diffs efectivos, golden intacto.</t>
        </is>
      </c>
      <c r="E124" s="12" t="inlineStr">
        <is>
          <t>Claude Code + Andres</t>
        </is>
      </c>
      <c r="F124" s="12" t="inlineStr">
        <is>
          <t>Hecha</t>
        </is>
      </c>
      <c r="G124" s="12" t="inlineStr">
        <is>
          <t>2026-08-04</t>
        </is>
      </c>
      <c r="H124" s="12" t="inlineStr">
        <is>
          <t>PR #63 squash 8a8470b — Gate Kimi 9.5 + GO CEO</t>
        </is>
      </c>
      <c r="I124" s="12" t="inlineStr">
        <is>
          <t>GATE-KIMI FIX-L</t>
        </is>
      </c>
    </row>
    <row r="125">
      <c r="A125" s="12" t="inlineStr">
        <is>
          <t>FIX-K</t>
        </is>
      </c>
      <c r="B125" s="12" t="inlineStr">
        <is>
          <t>FIX</t>
        </is>
      </c>
      <c r="D125" s="12" t="inlineStr">
        <is>
          <t>FIX-K: cronograma real Auteco sep-dic 2026 (9 facturas del Excel del CEO). Siembra la obligacion Auteco (facturacion, es_sistema) + 9 FacturaObligacion (numero, fecha_factura, valor=saldo pendiente, plazo 150d). La reconciliacion D2 §4 (ya desplegada) las netea -&gt; la proyeccion muestra pagos FIJOS sep-dic (columna pago_inventario), enero+ motor. Campo numero en FacturaObligacion (trazabilidad + clave de idempotencia). mes_pago = fecha + plazo//30 = +5 meses (abr-&gt;sep, may-&gt;oct, jun-&gt;nov, jul-&gt;dic). Terminos plazo_base=150/tasa=0 -&gt; capital = saldo exacto (no inventa interes). Las 3 facturas ya pagadas NO se cargan. Migracion 20260804 idempotente (numero), DRY-RUN default, URI por env, verificacion fail-loud (regla 7: totales de control sep 123.392.031 / oct 149.030.808 / nov 255.668.507 / dic 488.501.741 / TOTAL 1.016.593.087). 5 tests (importlib). motor.py cero diffs.</t>
        </is>
      </c>
      <c r="E125" s="12" t="inlineStr">
        <is>
          <t>Claude Code + Andres</t>
        </is>
      </c>
      <c r="F125" s="12" t="inlineStr">
        <is>
          <t>Hecha</t>
        </is>
      </c>
      <c r="G125" s="12" t="inlineStr">
        <is>
          <t>2026-08-04</t>
        </is>
      </c>
      <c r="H125" s="12" t="inlineStr">
        <is>
          <t>PR #64 squash 20b4e956 — Gate Kimi 9.5 + GO CEO; migracion PROD pendiente de APPLY</t>
        </is>
      </c>
      <c r="I125" s="12" t="inlineStr">
        <is>
          <t>GATE-KIMI FIX-K</t>
        </is>
      </c>
    </row>
    <row r="126">
      <c r="A126" s="12" t="inlineStr">
        <is>
          <t>D2-S7</t>
        </is>
      </c>
      <c r="B126" s="12" t="inlineStr">
        <is>
          <t>D2</t>
        </is>
      </c>
      <c r="D126" s="12" t="inlineStr">
        <is>
          <t>D2 §7: pagina de obligaciones/Auteco. Backend (solo lo que faltaba): numero+dedup (409) en registrar_factura; campos de pago pagada_desde (roddos|tercero)/pagada_at/pagada_valor/pagada_nota (modelo full, un pago marca la factura pagada); POST/DELETE .../facturas/{fid}/pagar (anular = desmarca con rastro, no contra-asiento; saga O1); reconciliacion §4 excluye de la caja las pagadas por tercero (bajan deuda, no tocan caja RODDOS; pendientes y roddos si pesan); saldo_pendiente por obligacion en el listado. Evento nuevo DECLARADO (GO CEO 2026-08-04): factura_obligacion.pagada (59-&gt;60), reutilizado en la anulacion con metadata via=anulacion (regla 11). Frontend (patron MetasPage): pagina Obligaciones (Auteco primero) con saldo + facturas (numero/fecha/valor/plazo/mes de pago derivado/estado/origen); registrar factura validado, registrar pago con explicacion del origen en la UI, anular pago/factura; CRUD gated proyeccion:gestionar (regla 9); montos string (regla 1); nav+ruta /obligaciones. Tests backend (dedup, pago tercero no toca caja pero baja deuda, roddos si, anular revierte, eventos pagada+via, RBAC 403, origen 422) + vitest (lista+saldo, registrar validado, pago con origen, pagada tercero muestra origen+anular, RBAC). motor.py cero diffs, golden intacto.</t>
        </is>
      </c>
      <c r="E126" s="12" t="inlineStr">
        <is>
          <t>Claude Code + Andres</t>
        </is>
      </c>
      <c r="F126" s="12" t="inlineStr">
        <is>
          <t>Hecha</t>
        </is>
      </c>
      <c r="G126" s="12" t="inlineStr">
        <is>
          <t>2026-08-04</t>
        </is>
      </c>
      <c r="H126" s="12" t="inlineStr">
        <is>
          <t>PR #65 squash d44757c — Gate Kimi 9.5 + GO CEO</t>
        </is>
      </c>
      <c r="I126" s="12" t="inlineStr">
        <is>
          <t>GATE-KIMI D2-S7</t>
        </is>
      </c>
    </row>
    <row r="127">
      <c r="A127" s="12" t="inlineStr">
        <is>
          <t>FIX-UI-1</t>
        </is>
      </c>
      <c r="B127" s="12" t="inlineStr">
        <is>
          <t>FIX</t>
        </is>
      </c>
      <c r="D127" s="12" t="inlineStr">
        <is>
          <t>FIX-UI-1: Proyecciones a ancho completo del viewport (sin scroll lateral, pedido directo del CEO). Causa raiz: AppShell topaba en mx-auto max-w-6xl (1152px) para todas las vistas -&gt; /proyeccion (11 columnas + grafica) forzaba scroll horizontal. Fix minimo por ruta: /proyeccion -&gt; w-full (foto ~1918px); resto del cockpit sigue max-w-6xl (legibilidad de formularios). Helper puro anchoContenido(pathname) + test TDD (3). Sticky header/1a columna (Mes) vive en TablaEgreso (overflow-x-auto + sticky top/left) intacto. Sin max-w internos en la cadena. Suite 231/231, build + biome limpios. Solo frontend.</t>
        </is>
      </c>
      <c r="E127" s="12" t="inlineStr">
        <is>
          <t>Claude Code + Andres</t>
        </is>
      </c>
      <c r="F127" s="12" t="inlineStr">
        <is>
          <t>Hecha</t>
        </is>
      </c>
      <c r="G127" s="12" t="inlineStr">
        <is>
          <t>2026-08-04</t>
        </is>
      </c>
      <c r="H127" s="12" t="inlineStr">
        <is>
          <t>PR #66 squash d9e1002 — Gate Kimi 9.5 + GO CEO; preview Vercel = artefacto visual</t>
        </is>
      </c>
      <c r="I127" s="12" t="inlineStr">
        <is>
          <t>GATE-KIMI FIX-UI-1</t>
        </is>
      </c>
    </row>
    <row r="128">
      <c r="A128" s="12" t="inlineStr">
        <is>
          <t>FIX-G2</t>
        </is>
      </c>
      <c r="B128" s="12" t="inlineStr">
        <is>
          <t>FIX</t>
        </is>
      </c>
      <c r="D128" s="12" t="inlineStr">
        <is>
          <t>FIX-G2: anular transaccion manual por contra-asiento (sin borrar dinero, la Transaccion es inmutable §2.2.2). Espeja el contra-asiento del reverso de conciliacion (cierre/service.py, campo tipado revierte_id). Backend: POST /transacciones/{id}/anular (cargas:gestionar + verify_origin, motivo obligatorio 422): contra-tx mismo valor/fecha/rubro, tipo_flujo INVERTIDO, banco=MANUAL, id_banco MAN-+ULID, revierte_id=original -&gt; neto 0. Guardas: solo MANUAL (422 bancaria), solo mes abierto (409 cerrado regla 4), no dos veces (409 si ya tiene reverso). Evento transaccion.creada (existente) via=contra_asiento + motivo; catalogo SIN crecer; saga O1. GET /transacciones?banco=manual&amp;mes= (dashboard:leer) con anulada/es_reverso/revierte_id. Frontend: panel Movimientos manuales del mes en /cargas, Anular gated + dialogo motivo, original+reverso enlazados. Tests backend 9 + vitest 3. motor.py sin tocar.</t>
        </is>
      </c>
      <c r="E128" s="12" t="inlineStr">
        <is>
          <t>Claude Code + Andres</t>
        </is>
      </c>
      <c r="F128" s="12" t="inlineStr">
        <is>
          <t>Hecha</t>
        </is>
      </c>
      <c r="G128" s="12" t="inlineStr">
        <is>
          <t>2026-08-04</t>
        </is>
      </c>
      <c r="H128" s="12" t="inlineStr">
        <is>
          <t>PR #67 squash 55dd716 — Gate Kimi 9.5 + GO CEO</t>
        </is>
      </c>
      <c r="I128" s="12" t="inlineStr">
        <is>
          <t>GATE-KIMI FIX-G2</t>
        </is>
      </c>
    </row>
    <row r="129">
      <c r="A129" s="12" t="inlineStr">
        <is>
          <t>E1-P1</t>
        </is>
      </c>
      <c r="B129" s="12" t="inlineStr">
        <is>
          <t>E1</t>
        </is>
      </c>
      <c r="D129" s="12" t="inlineStr">
        <is>
          <t>E1 P1: lector de la ejecucion real -&gt; conceptos del motor (ejecucion/lectura.py + modulo compartido domain/rubros_neutros.py). Funcion PURA mapear_a_conceptos sobre snapshots (sin Mongo, Decimal, determinista): mapeo I-PLAN seccion 10 (neto 0110/0120/0130/0140; pago_inventario 1010+4060; fondeo 4030; costo_nueva 1020; gps 1030; int_deuda 4010/4020/4050; iva 5060; gastos_fijos = operacion/nomina/otros menos codificados/sistema/neutros, robusto a rubros nuevos). A1: exclusion de los 3 neutros por rubro_id ANTES de la regla de grupo. R-1 (1010 entero a pago_inventario) y R-2 (4040 en sin_mapear) parqueados. B12: ValueError ruidoso si falta un codigo del mapeo. NO ancla aun (eso es P2), solo mapea. Constante RUBROS_NEUTROS_INGRESO_REAL promovida desde metas_ingreso (una verdad, un lugar).</t>
        </is>
      </c>
      <c r="E129" s="12" t="inlineStr">
        <is>
          <t>Claude Code + Andres</t>
        </is>
      </c>
      <c r="F129" s="12" t="inlineStr">
        <is>
          <t>Hecha</t>
        </is>
      </c>
      <c r="G129" s="12" t="inlineStr">
        <is>
          <t>2026-08-05</t>
        </is>
      </c>
      <c r="H129" s="12" t="inlineStr">
        <is>
          <t>Mergeado a main: squash fbdf802 (PR #68). Gate Kimi (arquitecto) 9.5/10 GO al diff + GO CEO, cero hallazgos (aritmetica B9 re-verificada al peso). CI 7/7 verde (backend 11m21s, backend-real-mongo 2m8s, frontend 59s, gitleaks, pip-audit, runtime-imports, Vercel). Tests: 5 (B9/B12/A1/R-1/R-2) + ruff limpio. motor.py cero diffs (R0), golden intacto (sin consumidor aun), IVA apagada, catalogo sin crecer, aditivo puro. Evidencia en planning/phases/e1-anclaje-ejecucion/auditorias/PR1-I/ (SOLICITUD+EVIDENCIA+CERTIFICADO).</t>
        </is>
      </c>
      <c r="I129" s="12" t="inlineStr">
        <is>
          <t>GATE-KIMI E1-P1</t>
        </is>
      </c>
    </row>
    <row r="130">
      <c r="A130" s="12" t="inlineStr">
        <is>
          <t>E1-P2</t>
        </is>
      </c>
      <c r="B130" s="12" t="inlineStr">
        <is>
          <t>E1</t>
        </is>
      </c>
      <c r="D130" s="12" t="inlineStr">
        <is>
          <t>E1 P2: capa de anclaje (proyeccion/ejecucion/service.py, funcion anclar()). Jerarquia I-PLAN §1 con Regla A (ejecutado + max(0, definido - ejecutado)) para el mes en curso; sobre-escribe las lineas de meses cerrado/en-ejecucion/futuro-con-presupuesto usando el lector de P1; re-acumula caja con impactos.reacumular. Determinista sobre snapshots. NO toca Auteco (pago_inventario/fondeo/adelanto quedan para D2). Signos: egresos NEGATIVOS en MesProyeccion, mapeo POSITIVO. Paso 0: extractor read-only + fixture CONGELADO de julio real (egresos 372.200.776,84; ingreso_real 179.710.080,31, cifras Mongo). Hallazgo B12 resuelto (decision CEO): quita del mapeo P1 los 4 rubros ausentes en PROD (0120/0130/0140/4060); re-toca P1 auditado, declarado en la solicitud del gate P2.</t>
        </is>
      </c>
      <c r="E130" s="12" t="inlineStr">
        <is>
          <t>Claude Code + Andres</t>
        </is>
      </c>
      <c r="F130" s="12" t="inlineStr">
        <is>
          <t>Hecha</t>
        </is>
      </c>
      <c r="G130" s="12" t="inlineStr">
        <is>
          <t>2026-08-06</t>
        </is>
      </c>
      <c r="H130" s="12" t="inlineStr">
        <is>
          <t>Mergeado a main: squash 54ac0c1 (PR #69). MERGE POR EXCEPCION EXPLICITA DEL CEO (2026-08-06) SIN gate Kimi, documentada en planning/phases/e1-anclaje-ejecucion/auditorias/PR2-I/EXCEPCION-CEO.md. CI 7/7 verde (backend, backend-real-mongo, frontend, gitleaks -recuperado tras incidente de infra de GitHub-, pip-audit, runtime-imports, Vercel). TDD: B1-B6 + A3 = 15/15 en la suite E1; regresion 137 passed; motor.py cero diffs (R0); ruff check + ruff format limpios. Consume lectura.py (P1), re-acumula con impactos.reacumular, NO toca Auteco. Paquete de gate PR2-I (SOLICITUD + EVIDENCIA + PAQUETE.pdf) preparado por si se corre post-merge. RETRO-GATE Kimi 9.5/10 GO (2026-08-06, cero hallazgos, diff completo 2.693 lineas/9 archivos): la excepcion del CEO queda CERRADA con certificacion post-hoc (ver Gates GATE-KIMI E1-P2).</t>
        </is>
      </c>
      <c r="I130" s="12" t="inlineStr">
        <is>
          <t>GATE-KIMI E1-P2 (retro 9.5) — waiver cerrado</t>
        </is>
      </c>
    </row>
    <row r="131">
      <c r="A131" s="12" t="inlineStr">
        <is>
          <t>E1-P3</t>
        </is>
      </c>
      <c r="B131" s="12" t="inlineStr">
        <is>
          <t>E1</t>
        </is>
      </c>
      <c r="D131" s="12" t="inlineStr">
        <is>
          <t>E1 P3: precedencia motor→E1→D2 + loader de anclaje + exclusión D2 (ACTIVA E1 EN PROD). proyeccion/ejecucion/loader.py (única capa Mongo): cargar_anclas traduce estado del ciclo → régimen (cerrado/en_ejecucion/presupuesto/omitido) reusando _egresos_por_rubro/PresupuestoLinea vigente/ingreso_real. _resultado_con inserta anclar() entre motor y reconciliar. reconciliacion.py: meses_anclados aditivo (vacío⇒idéntico a hoy). Precisión arquitecto: _ids_rubros_neutros movido a domain/rubros_neutros (metas re-exporta). C-1 (gate): D2 solo excluye meses CERRADOS (E1 no ancla Auteco → en no-cerrados D2 aplica el pago real de FIX-K sin doble conteo).</t>
        </is>
      </c>
      <c r="E131" s="12" t="inlineStr">
        <is>
          <t>Claude Code + Andrés</t>
        </is>
      </c>
      <c r="F131" s="12" t="inlineStr">
        <is>
          <t>Hecha</t>
        </is>
      </c>
      <c r="G131" s="12" t="inlineStr">
        <is>
          <t>2026-08-07</t>
        </is>
      </c>
      <c r="H131" s="12" t="inlineStr">
        <is>
          <t>Mergeado a main: squash 7f05fca (PR #70). Gate Kimi (arquitecto): I 8.7 NO-GO (hallazgo C-1, arquitectónico del plan §3/B7) → fix C-1 (commit 18cbdb0, D2 solo cerrados) → RE-GATE 9.3/10 GO condicionado, condiciones cumplidas (diff limpio 3 archivos + regresión 890 passed + EVIDENCIA/PDF regenerados) → GO CEO. CI 7/7 verde. Tests: rubros_neutros 3 + precedencia B7/candado 2 + loader mongomock 5 + loader real-mongo $group 1 + pipeline B8/B11/candado + C-1 en_ejecucion/presupuesto. Regresión 890 passed. R0 (motor.py cero diffs), golden intacto, ruff limpio, catálogo sin crecer. Evidencia en planning/phases/e1-anclaje-ejecucion/auditorias/PR3-I/ (SOLICITUD+EVIDENCIA+ADDENDUM-P3.1).</t>
        </is>
      </c>
      <c r="I131" s="12" t="inlineStr">
        <is>
          <t>GATE-KIMI E1-P3 (9.3)</t>
        </is>
      </c>
    </row>
    <row r="132">
      <c r="A132" s="12" t="inlineStr">
        <is>
          <t>E1-P4</t>
        </is>
      </c>
      <c r="B132" s="12" t="inlineStr">
        <is>
          <t>E1</t>
        </is>
      </c>
      <c r="D132" s="12" t="inlineStr">
        <is>
          <t>E1 P4: guarda B10 (cerrado_sospechoso) + PASO 0 (higiene A2). guarda.py (nuevo, PURO): UMBRAL_SOSPECHA_EJECUTADO=Decimal('0.5'); es_ejecutado_anomalo (D&gt;0 y E&lt;0.5×D estricto sobre los 5 conceptos anclados, sin Auteco ni neto); marcas_origen → cerrado/cerrado_sospechoso/en_ejecucion/presupuesto. loader.py: PASO 0 (dirty_ids = es_sistema ∧ no clasificable ∧ no neutro; _rubros_ofensores por mes → mes sucio cae al motor + log) + trae definido para cerrados (anclar lo IGNORA, solo alimenta la marca). service.py: _resultado_con computa marcas_origen y loguea sospechosos (WARNING), sin exponer en respuesta (eso es P5). Protege C-1: la marca NO cambia AnclaMes.estado; D2 sigue excluyendo solo cerrados. B-1 (hoisting cargar_anclas) diferida con causa raíz: 1 sola llamada por request → sería no-op.</t>
        </is>
      </c>
      <c r="E132" s="12" t="inlineStr">
        <is>
          <t>Claude Code + Andrés</t>
        </is>
      </c>
      <c r="F132" s="12" t="inlineStr">
        <is>
          <t>Hecha</t>
        </is>
      </c>
      <c r="G132" s="12" t="inlineStr">
        <is>
          <t>2026-08-07</t>
        </is>
      </c>
      <c r="H132" s="12" t="inlineStr">
        <is>
          <t>Mergeado a main: squash a08f43e (PR #71). Gate Kimi (arquitecto) 9.6/10 GO al diff (el paquete más limpio de la serie E1: fidelidad exacta al brief etapa59, cero desviaciones, B-1 cerrada con causa raíz verificada independientemente contra main) + GO CEO. CI 8/8 verde (backend 11m26s confirmado aparte —no es required check aún—, backend-real-mongo 2m3s, frontend, gitleaks, pip-audit, runtime-imports, Vercel). Tests: guarda 6 + loader PASO0/definido-cerrado 3 + pipeline B10 log 1 + inercia 1 + loader real-mongo PASO0 1; regresión completa 901 passed / 94 skipped / 0 fallos; ruff limpio; R0 motor.py cero diffs; catálogo sin crecer (P4 no emite eventos, solo log). Evidencia en planning/phases/e1-anclaje-ejecucion/auditorias/PR4-I/ (SOLICITUD+EVIDENCIA+PAQUETE.pdf).</t>
        </is>
      </c>
      <c r="I132" s="12" t="inlineStr">
        <is>
          <t>GATE-KIMI E1-P4 (9.6)</t>
        </is>
      </c>
    </row>
    <row r="133">
      <c r="A133" s="12" t="inlineStr">
        <is>
          <t>E1-P5</t>
        </is>
      </c>
      <c r="B133" s="12" t="inlineStr">
        <is>
          <t>E1</t>
        </is>
      </c>
      <c r="D133" s="12" t="inlineStr">
        <is>
          <t>E1 P5: exposición del shape en GET /proyeccion (aditivo, penúltimo eslabón de E1). 3 claves nuevas top-level, reusando lo que el backend ya computaba: meses_anclados (dict mes→marca, reusa marcas_origen de P4: cerrado/cerrado_sospechoso/en_ejecucion/presupuesto); sin_mapear (rubros_sin_mapear NUEVA, función PURA sobre el snapshot del ejecutado, reusa mapear_a_conceptos; afloran R-1/R-2 parqueados; antes _conceptos_egreso lo descartaba); mes_en_curso (B13, objeto rico {mes,cargado_hasta,dia,formula}, helper Mongo NUEVO cargar_completitud_mes_en_curso = fecha máx. de tx vía sort(-fecha).limit(1), función aparte que NO altera el contrato de cargar_anclas). AnclajeMeta empaqueta los 3 en _resultado_con (5-tuple) y _serializar los emite (vacíos sin anclaje → foto byte-idéntica salvo las 3 claves). Propagado a /impactos base+ajustada.</t>
        </is>
      </c>
      <c r="E133" s="12" t="inlineStr">
        <is>
          <t>Claude Code + Andrés</t>
        </is>
      </c>
      <c r="F133" s="12" t="inlineStr">
        <is>
          <t>Hecha</t>
        </is>
      </c>
      <c r="G133" s="12" t="inlineStr">
        <is>
          <t>2026-08-08</t>
        </is>
      </c>
      <c r="H133" s="12" t="inlineStr">
        <is>
          <t>Mergeado a main: squash d20d26b (PR #72). Gate Kimi (arquitecto) 9.6/10 GO al diff (verificación directa contra API: 12 archivos +369/−30 exactos, perímetro ausente del diff) + GO CEO. CI 8/8 verde (backend 9m9s confirmado aparte —no es required check aún—, backend-real-mongo 2m4s, frontend, gitleaks, pip-audit, runtime-imports, Vercel). Tests: guarda sin_mapear 3 + loader completitud mongomock 2 + real-mongo 1 + pipeline meta 2 + endpoint (foto sin ciclo + B13) 2. Regresión completa 910 passed / 95 skipped / 0 fallos. R0 motor.py cero diffs; perímetro anclar/lectura/reconciliacion intacto; C-1 protegido (marca lectura pura, filtro D2 literal); catálogo sin crecer; ruff limpio. Spec+plan en docs/superpowers/. Evidencia en planning/phases/e1-anclaje-ejecucion/auditorias/PR5-I/.</t>
        </is>
      </c>
      <c r="I133" s="12" t="inlineStr">
        <is>
          <t>GATE-KIMI E1-P5 (9.6)</t>
        </is>
      </c>
    </row>
    <row r="134">
      <c r="A134" s="12" t="inlineStr">
        <is>
          <t>E1-P6</t>
        </is>
      </c>
      <c r="B134" s="12" t="inlineStr">
        <is>
          <t>E1</t>
        </is>
      </c>
      <c r="D134" s="12" t="inlineStr">
        <is>
          <t>E1 P6 (ÚLTIMA pieza; cierra E1): frontend — marcas de origen + mes en curso + sin_mapear, consumiendo el shape de P5. MarcaOrigen.tsx (Real/En curso/Presupuesto/Proyección/Revisar carga, punto+etiqueta en la 1ª columna SIN columna nueva → sin scroll lateral; dimensión distinta de EstadoMes/salud de caja). ComposicionCaja: curva de caja sólida (real/en curso) → punteada (proyección) + punto ámbar en cerrado_sospechoso (SVG a mano, sin librería). MesEnCursoCallout: Presupuesto · Ejecutado (al día N) · Resta del presupuesto (honestidad R5: 'resta', no 'desviación' engañosa) + completitud B13 con fórmula de negocio + copy de arrastre. sin_mapear al pie solo si hay. Candado: sin ciclo la UI queda idéntica a hoy (sin leyenda/callout/marca, línea única). AMPLIACIÓN P6-b al backend (decisión CEO): mes_en_curso expone ejecutado (Σ egresos reales) + proyectado (Σ definido), sumas planas sin B12, TDD mongomock + real-mongo.</t>
        </is>
      </c>
      <c r="E134" s="12" t="inlineStr">
        <is>
          <t>Claude Code + Andrés</t>
        </is>
      </c>
      <c r="F134" s="12" t="inlineStr">
        <is>
          <t>Hecha</t>
        </is>
      </c>
      <c r="G134" s="12" t="inlineStr">
        <is>
          <t>2026-08-08</t>
        </is>
      </c>
      <c r="H134" s="12" t="inlineStr">
        <is>
          <t>Mergeado a main: squash 71cadf5 (PR #73). Gate Kimi (arquitecto) 9.4/10 GO — auditó las 3 CAPTURAS reales (exigencia nueva del gate de frontend, cumplida) + código vs PR (22 archivos), aprobó las 2 decisiones declaradas (copy 'Resta del presupuesto' + ampliación P6-b) + GO CEO. CI 8/8 verde (backend 11m39s confirmado aparte, backend-real-mongo verde tras re-run del flake FIX-I-2 ajeno a P6, frontend, gitleaks, pip-audit, runtime-imports, Vercel). Tests: vitest 248 passed (45 archivos; MarcaOrigen 2 + callout 4 + tabla +3 + gráfico +3 + página +2 + candado) + build tsc/vite + biome 132 limpio; backend regresión 910 passed / 0 fallos (TDD helper mongomock+real-mongo). R0 motor.py 0 diffs; perímetro anclar/lectura/reconciliacion intacto. Capturas + spec+plan en repo. 2 bajas no bloqueantes: B-1 (tabla sin scroll a resolución real del CEO) y B-2 (resta plana vs Regla A por concepto, mejora opcional).</t>
        </is>
      </c>
      <c r="I134" s="12" t="inlineStr">
        <is>
          <t>GATE-KIMI E1-P6 (9.4)</t>
        </is>
      </c>
    </row>
    <row r="135" s="13">
      <c r="A135" s="12" t="inlineStr">
        <is>
          <t>FIX-I-2</t>
        </is>
      </c>
      <c r="B135" s="12" t="inlineStr">
        <is>
          <t>Cola post-E1</t>
        </is>
      </c>
      <c r="D135" s="12" t="inlineStr">
        <is>
          <t>FIX-I-2: flake test_s3_dedup_no_re_sube (backend-real-mongo). CAUSA RAÍZ REAL (demostrada, no del read concern): _crear_bbva regenera el xlsx en cada llamada y openpyxl embebe now() en core.xml + el zip; el dedup F-02 es sha256 de bytes → el 'mismo' archivo solo coincide si las 2 escrituras caen en el mismo segundo → dedup intermitente. Ronda I (linearizable) NO-GO 7.5 de Kimi: era placebo + hipótesis imposible (RS 1 nodo + w:majority + awaits secuenciales). Ronda II: fix del TEST (2ª llamada crear=False → reprocesa el mismo archivo byte a byte → determinista; preserva semántica de F-02). linearizable revertido (service.py = main). Prueba de hash validada por ambos (mismo segundo→idéntico; sleep 1.1s→distinto).</t>
        </is>
      </c>
      <c r="E135" s="12" t="inlineStr">
        <is>
          <t>Claude Code + Andrés</t>
        </is>
      </c>
      <c r="F135" s="12" t="inlineStr">
        <is>
          <t>Hecha</t>
        </is>
      </c>
      <c r="G135" s="12" t="inlineStr">
        <is>
          <t>2026-08-08</t>
        </is>
      </c>
      <c r="H135" s="12" t="inlineStr">
        <is>
          <t>Mergeado a main: squash 5d1c9e8 (PR #75; PR #74 de la ronda I cerrado). Gate Kimi FIX-I2-I 7.5 NO-GO → FIX-I2-II 9.5 GO + GO CEO. CI 8/8 verde (backend-real-mongo 1m58s ahora DETERMINISTA, backend 11m41s confirmado aparte). Diff = 1 archivo (tests/test_carga.py +20/−4); service.py idéntico a main. Regresión mongomock 910/0, ruff limpio. Paquetes en planning/phases/sprint2-cargas/auditorias/FIX-I2-I/ y FIX-I2-II/ (con prueba de hash). Aprendizaje registrado en memoria (debug-demostrar-causa-raiz).</t>
        </is>
      </c>
      <c r="I135" s="12" t="inlineStr">
        <is>
          <t>GATE-KIMI FIX-I2-II (9.5)</t>
        </is>
      </c>
    </row>
    <row r="136" s="13">
      <c r="A136" s="12" t="inlineStr">
        <is>
          <t>COPYS-UX</t>
        </is>
      </c>
      <c r="B136" s="12" t="inlineStr">
        <is>
          <t>Cola post-E1</t>
        </is>
      </c>
      <c r="D136" s="12" t="inlineStr">
        <is>
          <t>Copys UX: reescritura del texto visible de la app a español de negocio (cero tecnicismos), sin tocar lógica/variables/props/backend. Inventario primero (explorador) → propuesta al CEO antes de código → subagente con la precisión del checkpoint. Barrido de 'umbral' CLASIFICADO por sentido (precisión obligatoria Kimi 9.1): piso de caja (Proyecciones/Supuestos/Techo/Tornado)→«mínimo de caja»; tolerancia de conciliación (Cierre/ReporteCaja)→«margen» (NO 'mínimo de caja', evita bug semántico); tercer sentido puntaje DIAN→sin string visible, no tocado. 'perforar'→«bajar del mínimo». 13 reescrituras puntuales: quita '(regla 4)'; Runway→«Autonomía de caja»; Wava «Dinero en camino»; Contra-asiento→«Reverso» (reword honesto); «Provisión de cartera (contable, no afecta la caja)»/«Incumplimiento»; fondeo→financiación; «Meses de caja más baja»; «Unidades reales por mes (primeros meses)»/«(reemplaza la proyección…)»; «Suma de saldos de bancos»/«Caja según el sistema»; oculta id interno en toast; fecha con ejemplo; «Meses con facturas ya registradas»; «Participación en ventas (%)»/«Total».</t>
        </is>
      </c>
      <c r="E136" s="12" t="inlineStr">
        <is>
          <t>Claude Code + Andrés</t>
        </is>
      </c>
      <c r="F136" s="12" t="inlineStr">
        <is>
          <t>Hecha</t>
        </is>
      </c>
      <c r="G136" s="12" t="inlineStr">
        <is>
          <t>2026-08-09</t>
        </is>
      </c>
      <c r="H136" s="12" t="inlineStr">
        <is>
          <t>Mergeado a main: squash ed574eb (PR #76). Gate Kimi (arquitecto) 9.5/10 GO (checkpoint previo 9.1 con 1 precisión obligatoria, aplicada exacta y verificada por Kimi en los píxeles de las capturas) + GO CEO. Perímetro probado contra API: 33 archivos, 0 fuera de frontend/src + planning, 0 backend, 0 libs; grep de variables/props (umbral=, conc.umbral…) vacío → solo etiquetas, clave de dato intacta ((margen {conc.umbral})). vitest 248/248 · build OK · biome 140 limpio · CI todo verde (frontend, backend confirmado aparte, backend-real-mongo, gitleaks, pip-audit, runtime-imports, Vercel). Paquete UX-I con tabla de clasificación de 'umbral' + 2 capturas reales (Playwright) en planning/phases/copys-ux/auditorias/UX-I/. Nota sin descuento: aria-labels quedan 'umbral' (invisibles; pasada futura opcional).</t>
        </is>
      </c>
      <c r="I136" s="12" t="inlineStr">
        <is>
          <t>GATE-KIMI UX-I (9.5)</t>
        </is>
      </c>
    </row>
    <row r="137" s="13">
      <c r="A137" s="12" t="inlineStr">
        <is>
          <t>DEPB-LOTE</t>
        </is>
      </c>
      <c r="B137" s="12" t="inlineStr">
        <is>
          <t>Cola post-E1</t>
        </is>
      </c>
      <c r="D137" s="12" t="inlineStr">
        <is>
          <t>Lote Dependabot (#10–#19): actualización de dependencias con seguridad al día. Criterio del arquitecto Kimi: UNO POR UNO, CI verde por PR, nunca batch; orden seguridad→runtime→dev-only; los 3 major/visibles (fastapi, lucide, biome) piden GO del CEO con evidencia; gate único del lote al final. Cada merge = deploy a staging.</t>
        </is>
      </c>
      <c r="E137" s="12" t="inlineStr">
        <is>
          <t>Claude Code + Andrés</t>
        </is>
      </c>
      <c r="F137" s="12" t="inlineStr">
        <is>
          <t>Hecha</t>
        </is>
      </c>
      <c r="G137" s="12" t="inlineStr">
        <is>
          <t>2026-08-09</t>
        </is>
      </c>
      <c r="H137" s="12" t="inlineStr">
        <is>
          <t>CERRADO (2026-08-09). 8 mergeados + 4 cerrados sin merge (2 reemplazados por PR manual). MERGEADOS: #14 fastapi 0.135.2→0.141.1 (36bbbac; 0.137 router.routes→árbol no nos afecta), #10 uvicorn 0.44→0.52.1 (b806073), #16 sentry-sdk →≥2.66.1 (e664070), #13 apscheduler →3.11.3 (12493c6), #12 lucide-react 0.468→1.29 (7ea7f29; 21 iconos OK, captura antes/después idéntica), #17 @types/node 22→26 (4ab8845), #77 jsdom 25→29.1.1 (f1a119c, PR MANUAL: reemplaza #19 porque jsdom 30 exige Node≥22 y el CI corre Node 20), #78 typescript 5.9→7.0.2 (4b26437, PR MANUAL: reemplaza #18; quita baseUrl removido en TS7, paths relativo resuelve el alias @/). CERRADOS SIN MERGE: #11 cryptography 48→49 (OBSOLETO, main ya en 50 por CVE), #15 biome 1.9→2.x (SALTADO por decisión CEO: major disruptivo dev-only, migrate bug apagaba el linter; se queda 1.9.4, major ignorado), #19 jsdom 30 (→#77), #18 typescript solo-versión (→#78). Cada merge con CI verde (backend confirmado aparte); los 3 majors (fastapi/lucide/ts7) con GO CEO+evidencia. FUERA DE ALCANCE (pendiente decisión CEO): #7/#8/#9 bumps de GitHub Actions del CI. Gate Kimi único del lote: pendiente.</t>
        </is>
      </c>
      <c r="I137" s="12" t="inlineStr">
        <is>
          <t>GATE-KIMI DEPB-LOTE (9.5)</t>
        </is>
      </c>
    </row>
    <row r="138" s="13">
      <c r="A138" s="12" t="inlineStr">
        <is>
          <t>ACTIONS-V7</t>
        </is>
      </c>
      <c r="B138" s="12" t="inlineStr">
        <is>
          <t>G1</t>
        </is>
      </c>
      <c r="D138" s="12" t="inlineStr">
        <is>
          <t>Mini-lote GitHub Actions (consolida dependabot #7/#8/#9, CI-only, aprobado por Kimi como PR conjunto): actions/checkout 4→7.0.1 (×6), setup-node 4→7.0.0 (×1), setup-python 5→7.0.0 (×4), + node-version 20→22 LTS (Node 20 deprecado por GitHub). SHAs verificados contra tags reales. Seguro: sin pull_request_target (checkout v7 no aplica), cache:npm ya explícito (setup-node v7).</t>
        </is>
      </c>
      <c r="E138" s="12" t="inlineStr">
        <is>
          <t>Claude Code + Andrés</t>
        </is>
      </c>
      <c r="F138" s="12" t="inlineStr">
        <is>
          <t>Hecha</t>
        </is>
      </c>
      <c r="G138" s="12" t="inlineStr">
        <is>
          <t>2026-08-09</t>
        </is>
      </c>
      <c r="H138" s="12" t="inlineStr">
        <is>
          <t>Mergeado a main: squash 71d983e (PR #79; cierra #7/#8/#9). CI 7/7 verde ejecutándose ya con las actions v7 + Node 22 (auto-validado). Paso 1 del checklist G1.</t>
        </is>
      </c>
      <c r="I138" s="12" t="inlineStr">
        <is>
          <t>—</t>
        </is>
      </c>
    </row>
    <row r="139">
      <c r="A139" s="12" t="inlineStr">
        <is>
          <t>E2-DIAN-XLSX</t>
        </is>
      </c>
      <c r="B139" s="12" t="inlineStr">
        <is>
          <t>E2</t>
        </is>
      </c>
      <c r="D139" s="12" t="inlineStr">
        <is>
          <t>C2' — Carga del Excel de la DIAN en /iva (CR CEO 2026-08-10). El cambio del modulo DIAN dejo facturas imposibles de descargar en PDF; se debe poder adjuntar el .xlsx exportado por la DIAN (documentos recibidos/emitidos) para registrar facturas en lote, mas rapido y flexible. Backend: parser xlsx (openpyxl) que TRANSFORMA sin interpretar (regla 7: fila ambigua = error por fila, jamas adivinar), reutiliza la ingesta existente de facturas (dedup por documento; resultado POR FILA creada|duplicada|rechazada|requiere_confirmacion + resumen, como POST /facturas/cargar), crea Factura con tipo/tercero/NIT/base/tarifa/IVA/fecha-&gt;cuatrimestre en Decimal; tope de lote coherente; RBAC iva:gestionar; cero eventos nuevos (usa factura.creada). Frontend: uploader en IvaPage — hoy la pagina NO tiene ningun modulo de carga. Brainstorming + TDD antes de codificar (toca Mongo): fixtures .xlsx anonimizados.</t>
        </is>
      </c>
      <c r="E139" s="12" t="inlineStr">
        <is>
          <t>Claude Code + Andres</t>
        </is>
      </c>
      <c r="F139" s="12" t="inlineStr">
        <is>
          <t>Pendiente</t>
        </is>
      </c>
      <c r="H139" s="12" t="inlineStr">
        <is>
          <t>CR del CEO 2026-08-10 (sesion fundacion FABS). Verificado en repo: backend ya tiene POST /facturas/cargar para PDFs DIAN (ingesta.py/extraccion.py, pdfplumber); falta soporte .xlsx y el uploader en la pagina.</t>
        </is>
      </c>
      <c r="I139" s="12" t="inlineStr">
        <is>
          <t>GATE-KIMI E2-XLSX (mutacion fiscal)</t>
        </is>
      </c>
    </row>
    <row r="140">
      <c r="A140" s="12" t="inlineStr">
        <is>
          <t>PTS6-A</t>
        </is>
      </c>
      <c r="B140" s="12" t="inlineStr">
        <is>
          <t>Cola 6 puntos</t>
        </is>
      </c>
      <c r="D140" s="12" t="inlineStr">
        <is>
          <t>6-puntos A: sembrar cartera previa en PROD (97 semanas, $1.095.640.900). Causa raiz de cobranza ago-26 en $43,5M: cartera_previa_recaudo estaba VACIA (la migracion 20260725 nunca corrio contra PROD); el motor la suma como tercer sumando (motor.py:247). Con la semilla, ago-26 recupera +$83.495.500 (semanas 23-26) -&gt; ~$127,0M. Motor CERO diffs (solo datos).</t>
        </is>
      </c>
      <c r="E140" s="12" t="inlineStr">
        <is>
          <t>Claude Code + Andres</t>
        </is>
      </c>
      <c r="F140" s="12" t="inlineStr">
        <is>
          <t>Hecha</t>
        </is>
      </c>
      <c r="G140" s="12" t="inlineStr">
        <is>
          <t>2026-08-10</t>
        </is>
      </c>
      <c r="H140" s="12" t="inlineStr">
        <is>
          <t>Corrida 2026-08-10 con migrations/20260725_seed_cartera_previa.py (idempotente): 97 insertadas, 0 colisiones. GO CEO (sesion 6 puntos).</t>
        </is>
      </c>
      <c r="I140" s="12" t="inlineStr">
        <is>
          <t>—</t>
        </is>
      </c>
    </row>
    <row r="141">
      <c r="A141" s="12" t="inlineStr">
        <is>
          <t>PTS6-C</t>
        </is>
      </c>
      <c r="B141" s="12" t="inlineStr">
        <is>
          <t>Cola 6 puntos</t>
        </is>
      </c>
      <c r="D141" s="12" t="inlineStr">
        <is>
          <t>6-puntos C: alinear presupuesto AGOSTO-2026 al Excel del CEO (hoja Presupuesto). 4 rubros nuevos via servicio (0120 Cuotas iniciales, 2160 Seguro creditos activos, 4070 Rodante - Financiacion a clientes, 5080 Contabilidad; evento rubro.creado), 32 montos acotados via acotar_linea (Ajuste+auditoria+comentario FIX-G1), 7 lineas creadas, Contingencia -&gt; $0 y rubro desactivado (decision CEO: se desgloso todo). TOTAL definido = $255.109.500 exacto. Julio (cerrado) intocado.</t>
        </is>
      </c>
      <c r="E141" s="12" t="inlineStr">
        <is>
          <t>Claude Code + Andres</t>
        </is>
      </c>
      <c r="F141" s="12" t="inlineStr">
        <is>
          <t>Hecha</t>
        </is>
      </c>
      <c r="G141" s="12" t="inlineStr">
        <is>
          <t>2026-08-10</t>
        </is>
      </c>
      <c r="H141" s="12" t="inlineStr">
        <is>
          <t>migrations/20260810_alinear_presupuesto_agosto.py (idempotente, re-corrida = 0 cambios). Pendiente operativo: Liz clasifica ejecutado Rodante ($848.277) al cargar dias faltantes (COMPAS va al 4-ago).</t>
        </is>
      </c>
      <c r="I141" s="12" t="inlineStr">
        <is>
          <t>—</t>
        </is>
      </c>
    </row>
    <row r="142">
      <c r="A142" s="12" t="inlineStr">
        <is>
          <t>PTS6-B</t>
        </is>
      </c>
      <c r="B142" s="12" t="inlineStr">
        <is>
          <t>Cola 6 puntos</t>
        </is>
      </c>
      <c r="D142" s="12" t="inlineStr">
        <is>
          <t>6-puntos B: feature DIVIDIR TRANSACCION + aplicar al caso Luis Miguel Becerra (2026-08-04, id_banco 38009969|1, $20.123.787,47 todo en Prestamos 4010; el Excel lo parte: $14.000.000 Garantia cupo 4030 + $6.123.787,47 Prestamos). Partes suman exacto el monto (Decimal), padre marcado dividida (sin doble conteo), reversible, evento nuevo transaccion.dividida (CR regla 11). UI accion Dividir en /caja. Brainstorming + TDD.</t>
        </is>
      </c>
      <c r="E142" s="12" t="inlineStr">
        <is>
          <t>Claude Code + Andres</t>
        </is>
      </c>
      <c r="F142" s="12" t="inlineStr">
        <is>
          <t>Hecha</t>
        </is>
      </c>
      <c r="G142" s="12" t="inlineStr">
        <is>
          <t>2026-08-10</t>
        </is>
      </c>
      <c r="H142" s="12" t="inlineStr">
        <is>
          <t>Backend MERGEADO a main c7c9dd7 (dominio partes+invariante, servicio dividir/deshacer saga O1, endpoints, 4 agregaciones partes-aware, eventos 62, 12 tests nuevos; regresion 920 passed). APLICADO EN PROD via servicio con auditoria: tx 38009969|1 dividida 14.000.000-&gt;Garantia cupo + 6.123.787,47-&gt;Prestamos; verificado /control agosto: Garantia=14.000.000,00 y Prestamos=7.866.106,47 (= Excel al peso). UI de dividir/deshacer va en el bloque frontend de PTS6-D. Gate Kimi retro pendiente.</t>
        </is>
      </c>
      <c r="I142" s="12" t="inlineStr">
        <is>
          <t>GATE-KIMI PTS6-B (clasificacion de plata)</t>
        </is>
      </c>
    </row>
    <row r="143">
      <c r="A143" s="12" t="inlineStr">
        <is>
          <t>PTS6-D</t>
        </is>
      </c>
      <c r="B143" s="12" t="inlineStr">
        <is>
          <t>Cola 6 puntos</t>
        </is>
      </c>
      <c r="D143" s="12" t="inlineStr">
        <is>
          <t>6-puntos D: tabla /proyeccion reconciliable a la vista. Columna nueva 'Ajuste mora/default' (= neto - bruto) para que Inicial + Semanales + Ajuste = Ingreso fila a fila (hoy: 189.171.000 x 0,952 = 180.090.792 invisible); renombrar 'Activacion' -&gt; 'Alistamiento' agrupada con Costo (es costo_nueva+adelanto, NO ingreso; hoy Costo = Activacion + Auteco duplica visualmente); tooltip con % vigentes; meses cerrados con marca de origen (ingreso real vs componentes motor). SOLO frontend (ingreso_bruto ya viaja, service.py:214); motor.py CERO diffs.</t>
        </is>
      </c>
      <c r="E143" s="12" t="inlineStr">
        <is>
          <t>Claude Code + Andres</t>
        </is>
      </c>
      <c r="F143" s="12" t="inlineStr">
        <is>
          <t>Hecha</t>
        </is>
      </c>
      <c r="G143" s="12" t="inlineStr">
        <is>
          <t>2026-08-10</t>
        </is>
      </c>
      <c r="H143" s="12" t="inlineStr">
        <is>
          <t>MERGEADO a main 05ea912. Frontend (solo presentacion, motor cero diffs): columna 'Ajuste mora/default' (=neto-bruto) -&gt; Inicial+Semanales+Ajuste==Ingreso fila a fila y total (test caso agosto real); 'Activacion'-&gt;'Alistamiento' agrupada con Costo + tooltips; desglose 'Deudas y obligaciones'. Backend: mapeo E1 4040+4070-&gt;int_deuda (supersede R-2, GO CEO); fixtures+JSON congelado julio +4070 (ejecutado 0, controles intactos). Tests: E1 55, TablaEgreso 9/9, build tsc -b verde, regresion 54. PENDIENTE (bloque aparte): boton Dividir/Deshacer en la UI (endpoints ya vivos; necesita superficie de lista de transacciones bancarias que hoy no existe). | D-UI CERRADO (main 544a278): panel 'Transacciones del mes' en /cargas con Dividir/Deshacer (modal, suma validada en vivo, filtro por tipo_flujo, badge partes). PanelDividir 4/4 + build verde. Cierra PTS6-D completo.</t>
        </is>
      </c>
      <c r="I143" s="12" t="inlineStr">
        <is>
          <t>—</t>
        </is>
      </c>
    </row>
    <row r="144">
      <c r="A144" s="12" t="inlineStr">
        <is>
          <t>PTS6-E</t>
        </is>
      </c>
      <c r="B144" s="12" t="inlineStr">
        <is>
          <t>Cola 6 puntos</t>
        </is>
      </c>
      <c r="D144" s="12" t="inlineStr">
        <is>
          <t>6-puntos E: meta de ingreso en 2 lineas (Cuota inicial / Cuotas semanales) — el modelo MetaIngreso YA tiene lineas[] y la API las acepta; falta UI (MetasPage manda solo {mes,valor}). Real separado: rubro 0120 ya creado (PTS6-C); falta re-agregar '0120':'neto' al mapeo E1 (lectura.py, con test) + reglas de clasificacion hacia adelante (aprobado CEO 2026-08-10). Mostrar 'real separado no disponible' hasta que haya datos clasificados.</t>
        </is>
      </c>
      <c r="E144" s="12" t="inlineStr">
        <is>
          <t>Claude Code + Andres</t>
        </is>
      </c>
      <c r="F144" s="12" t="inlineStr">
        <is>
          <t>Hecha</t>
        </is>
      </c>
      <c r="G144" s="12" t="inlineStr">
        <is>
          <t>2026-08-10</t>
        </is>
      </c>
      <c r="H144" s="12" t="inlineStr">
        <is>
          <t>MERGEADO a main a98da08. Meta en 2 lineas (Cuota inicial / Cuotas semanales; total=suma validada; modelo/API ya lo soportaban). Real por concepto: ingreso_real_por_concepto (0120 inicial / 0110 semanal, expande partes, excluye neutros) -&gt; real_inicial/real_semanal en la API; card con bloque Desglose. motor cero diffs. Tests metas 7 + MetasPage 7/7 + build verde. NO se aplico split a la meta real de agosto (el CEO no dio los montos; se captura en la pantalla). Real inicial se llena cuando Liz clasifique ingresos al rubro 0120 de aqui en adelante (reglas hacia adelante, aprobado CEO).</t>
        </is>
      </c>
      <c r="I144" s="12" t="inlineStr">
        <is>
          <t>—</t>
        </is>
      </c>
    </row>
    <row r="145">
      <c r="A145" s="12" t="inlineStr">
        <is>
          <t>PTS6-F</t>
        </is>
      </c>
      <c r="B145" s="12" t="inlineStr">
        <is>
          <t>Cola 6 puntos</t>
        </is>
      </c>
      <c r="D145" s="12" t="inlineStr">
        <is>
          <t>6-puntos F (CR, NO construir sin GO): cartera de apertura / refresco MENSUAL de la serie de cartera previa desde LoanTape (loantape_creditos hoy vacia; contrato de carga ya disenado). Cierra el gap estructural: motor sin estado de apertura -&gt; cohortes jul/ago reales fuera cuando mes_inicio = mes vigente (router.py:29-32); tras PTS6-A agosto proyecta ~$127M vs ~$142M del golden desde mayo. Capa ADITIVA, motor.py CERO diffs. Encaja con decision CEO 2026-08-10 (FABS D6: cartera se carga mes a mes).</t>
        </is>
      </c>
      <c r="E145" s="12" t="inlineStr">
        <is>
          <t>Claude Code + Andres</t>
        </is>
      </c>
      <c r="F145" s="12" t="inlineStr">
        <is>
          <t>Pendiente</t>
        </is>
      </c>
      <c r="H145" s="12" t="inlineStr">
        <is>
          <t>CR ESCRITO: docs/COMPAS_CR-PTS6F_Cartera_Apertura.md (borrador, registrado en hoja CRs). Propone regenerar la serie cartera_previa_recaudo desde loantape_creditos mes a mes (capa aditiva, motor cero diffs) para cerrar el hueco 127M-&gt;142M. 4 decisiones del CEO (Q1-Q4). Espera GO + gate Kimi antes de construir. Depende de que Liz cargue el LoanTape de SISMO-V3 (hoy loantape_creditos vacia).</t>
        </is>
      </c>
      <c r="I145" s="12" t="inlineStr">
        <is>
          <t>GATE-KIMI PTS6-F (CR motor-adyacente)</t>
        </is>
      </c>
    </row>
    <row r="146">
      <c r="A146" s="12" t="inlineStr">
        <is>
          <t>C2P-EXCEL-DIAN</t>
        </is>
      </c>
      <c r="B146" s="12" t="inlineStr">
        <is>
          <t>FABS</t>
        </is>
      </c>
      <c r="D146" s="12" t="inlineStr">
        <is>
          <t>C2 prima (acta FABS 2026-08-10): import masivo del Excel de documentos recibidos del portal DIAN al modulo IVA — facturas a nombre de RODDOS (gasto, IVA deducible por decidir). POST /facturas/cargar-excel + CargaPanel acepta .xlsx</t>
        </is>
      </c>
      <c r="E146" s="12" t="inlineStr">
        <is>
          <t>Andres</t>
        </is>
      </c>
      <c r="F146" s="12" t="inlineStr">
        <is>
          <t>Hecha</t>
        </is>
      </c>
      <c r="G146" s="12" t="inlineStr">
        <is>
          <t>2026-08-11</t>
        </is>
      </c>
      <c r="H146" s="12" t="inlineStr">
        <is>
          <t>Parser calibrado contra el export REAL (528 filas, 0 errores dry-run; 479 recibidas / 36 emitidas rechazadas / 13 no soportadas). Un solo camino de escritura con la ingesta PDF (persistir_factura_ingesta). 9 tests backend TDD + 3 frontend. MERGE con GATE-WAIVER (GO CEO 2026-08-11, hoja Gates); Kimi retroactivo pendiente. PR #90. LIMPIEZA OPCION A ejecutada en prod 2026-08-11 (GO CEO): respaldo JSON local de 140 facturas → borradas las 137 compras de la ingesta PDF (ventas E3 intactas; FIX-K no vive en esta coleccion) → import del Excel real: 479 creadas / 0 errores / 49 rechazadas con motivo. Estado final: 479 compras sin decidir + 3 ventas.</t>
        </is>
      </c>
    </row>
    <row r="147">
      <c r="A147" s="12" t="inlineStr">
        <is>
          <t>AUTECO-2NITS</t>
        </is>
      </c>
      <c r="B147" s="12" t="inlineStr">
        <is>
          <t>FABS</t>
        </is>
      </c>
      <c r="D147" s="12" t="inlineStr">
        <is>
          <t>Auteco factura con DOS NITs (860024781 historico + 890900317 AUTOTECNICA COLOMBIANA): NIT_AUTECO pasa a {'nits': [...]} con compatibilidad hacia atras; ingesta PDF e import Excel auto-deducen por pertenencia al conjunto.</t>
        </is>
      </c>
      <c r="E147" s="12" t="inlineStr">
        <is>
          <t>Andres</t>
        </is>
      </c>
      <c r="F147" s="12" t="inlineStr">
        <is>
          <t>Hecha</t>
        </is>
      </c>
      <c r="G147" s="12" t="inlineStr">
        <is>
          <t>2026-08-11</t>
        </is>
      </c>
      <c r="H147" s="12" t="inlineStr">
        <is>
          <t>TDD (7 tests rojo-&gt;verde), suite 934 passed + ruff limpio. PR #91 (merge 51961e8, GATE-WAIVER GO CEO 2026-08-11). OPS PROD auditadas: vigencia NIT_AUTECO 2026-08-11 con ambos NITs; 158 compras may-ago marcadas deducibles (actualizar_deducibilidad_lote, factura.actualizada por factura); origen=auteco en las 13 de Autotecnica. Liquidacion verificada: generado 150.651.484 - descontable 181.158.441 -&gt; neto 0, SALDO A FAVOR 30.506.957 (cuadra al peso con los 9 PDF Auteco).</t>
        </is>
      </c>
    </row>
    <row r="148">
      <c r="A148" s="12" t="inlineStr">
        <is>
          <t>SALDO-FAVOR-DECLARADO</t>
        </is>
      </c>
      <c r="B148" s="12" t="inlineStr">
        <is>
          <t>FABS</t>
        </is>
      </c>
      <c r="D148" s="12" t="inlineStr">
        <is>
          <t>Saldo a favor de la declaracion DIAN anterior a los datos de COMPAS: clave SALDO_FAVOR_IVA_DECLARADO ({aplica_desde, valor}); liquidar() lo usa como saldo_favor_previo del periodo configurado REEMPLAZANDO el arrastre derivado (sin doble conteo). Aplica en /liquidacion y en los egresos IVA de la proyeccion.</t>
        </is>
      </c>
      <c r="E148" s="12" t="inlineStr">
        <is>
          <t>Andres</t>
        </is>
      </c>
      <c r="F148" s="12" t="inlineStr">
        <is>
          <t>Hecha</t>
        </is>
      </c>
      <c r="G148" s="12" t="inlineStr">
        <is>
          <t>2026-08-11</t>
        </is>
      </c>
      <c r="H148" s="12" t="inlineStr">
        <is>
          <t>TDD (4 tests rojo-&gt;verde: nucleo x3 + endpoint). Sembrado en prod: 28.950.000 entra en may-ago 2026; liquidacion verificada: favor previo 28.950.000 -&gt; neto 0 -&gt; favor nuevo 59.456.957. GATE-WAIVER GO CEO 2026-08-11 (opcion A elegida en chat). PR pendiente de numero al momento de esta fila; evidencia en el merge.</t>
        </is>
      </c>
    </row>
    <row r="149">
      <c r="A149" s="12" t="inlineStr">
        <is>
          <t>PLAN-52</t>
        </is>
      </c>
      <c r="B149" s="12" t="inlineStr">
        <is>
          <t>FABS</t>
        </is>
      </c>
      <c r="D149" s="12" t="inlineStr">
        <is>
          <t>Segundo plan de pago por modelo de moto (78 o 52 cuotas), peso POR MODELO editable (default 70/30). Capa ADITIVA: _modelo_a_lineas expande cada modelo en una linea de motor por plan (mix = participacion x peso); motor.py CERO diffs, golden master intacto. CRUD/validaciones fail-closed + UI (tabla con los dos planes + dialogo de edicion).</t>
        </is>
      </c>
      <c r="E149" s="12" t="inlineStr">
        <is>
          <t>Andres</t>
        </is>
      </c>
      <c r="F149" s="12" t="inlineStr">
        <is>
          <t>Hecha</t>
        </is>
      </c>
      <c r="G149" s="12" t="inlineStr">
        <is>
          <t>2026-08-11</t>
        </is>
      </c>
      <c r="H149" s="12" t="inlineStr">
        <is>
          <t>TDD 10 tests nuevos (candados: sin plan2 = linea identica; particion no inventa plata; validaciones 422). Backend completo verde + golden master; frontend 257 verdes + build. Datos CEO aplicados en prod via servicio auditado: Raider 78=184.900/52=214.900 peso 0.70; Apache 78=224.900/52=284.900 peso 0.70; Sport 78=154.900 un solo plan. GATE-WAIVER GO CEO 2026-08-11; evidencia = PR del merge.</t>
        </is>
      </c>
    </row>
    <row r="150">
      <c r="A150" s="12" t="inlineStr">
        <is>
          <t>FIX-TORNADO</t>
        </is>
      </c>
      <c r="B150" s="12" t="inlineStr">
        <is>
          <t>FABS</t>
        </is>
      </c>
      <c r="D150" s="12" t="inlineStr">
        <is>
          <t>Bug CEO 2026-08-11: tornado de sensibilidad 'todo en $0'. Causa raiz: corria el motor CRUDO sin E1 anclaje ni D2 reconciliacion -&gt; el piso quedaba clavado en la caja del arranque (704,7M) mientras la pantalla ve el minimo real (492,5M feb-2027). Fix: las 14 corridas pasan por la misma tuberia motor-&gt;E1-&gt;D2 y el cache incluye la huella de las capas.</t>
        </is>
      </c>
      <c r="E150" s="12" t="inlineStr">
        <is>
          <t>Andres</t>
        </is>
      </c>
      <c r="F150" s="12" t="inlineStr">
        <is>
          <t>Hecha</t>
        </is>
      </c>
      <c r="G150" s="12" t="inlineStr">
        <is>
          <t>2026-08-11</t>
        </is>
      </c>
      <c r="H150" s="12" t="inlineStr">
        <is>
          <t>TDD (test rojo: piso tornado == piso_caja pantalla a 60m + factura D2 mueve el piso e invalida cache). Verificado contra PROD: piso 492.513.306 con deltas reales (colocacion +-10% -&gt; +150,4M/-178,6M). Suite 966 passed + ruff. PR #94 (merge f011ea5, GATE-WAIVER GO CEO 2026-08-11).</t>
        </is>
      </c>
    </row>
    <row r="151">
      <c r="A151" s="12" t="inlineStr">
        <is>
          <t>KIMI-B1-GUARD-APACHE</t>
        </is>
      </c>
      <c r="B151" s="12" t="inlineStr">
        <is>
          <t>FABS</t>
        </is>
      </c>
      <c r="D151" s="12" t="inlineStr">
        <is>
          <t>B-1 del gate Kimi 9.4 (obligatoria): documentar el riesgo del indice 1 de apache_por_mes + guard fail-loud en _armar_parametros (override con datos + algun modelo con plan 2 -&gt; ProyeccionError explicito, jamas indexacion silenciosa errada).</t>
        </is>
      </c>
      <c r="E151" s="12" t="inlineStr">
        <is>
          <t>Andres</t>
        </is>
      </c>
      <c r="F151" s="12" t="inlineStr">
        <is>
          <t>Hecha</t>
        </is>
      </c>
      <c r="G151" s="12" t="inlineStr">
        <is>
          <t>2026-08-13</t>
        </is>
      </c>
      <c r="H151" s="12" t="inlineStr">
        <is>
          <t>TDD (2 tests: con plan2 falla nombrando culpables; casos seguros pasan). motor.py cero diffs. Golden + proyeccion + sensibilidad verdes + ruff.</t>
        </is>
      </c>
    </row>
    <row r="152">
      <c r="A152" s="12" t="inlineStr">
        <is>
          <t>KIMI-B2-NIT-DIGITOS</t>
        </is>
      </c>
      <c r="B152" s="12" t="inlineStr">
        <is>
          <t>FABS</t>
        </is>
      </c>
      <c r="D152" s="12" t="inlineStr">
        <is>
          <t>B-2 del gate Kimi 9.4 (nit, OPCIONAL): validar formato solo-digitos de los NITs al guardar la config (NIT_RODDOS/NIT_AUTECO). Sin riesgo de dinero (matching por igualdad exacta = sin falso positivo); un typo = deduccion perdida visible.</t>
        </is>
      </c>
      <c r="E152" s="12" t="inlineStr">
        <is>
          <t>Andres</t>
        </is>
      </c>
      <c r="F152" s="12" t="inlineStr">
        <is>
          <t>Hecha</t>
        </is>
      </c>
      <c r="G152" s="12" t="inlineStr">
        <is>
          <t>2026-08-17</t>
        </is>
      </c>
      <c r="H152" s="12" t="inlineStr">
        <is>
          <t>Validador en el Document Configuracion (unico camino de escritura: semilla/migraciones/scripts): claves NIT_* exigen strings de SOLO digitos (sin DV/puntos/espacios) — fail-loud al escribir. TDD (2 tests, 5 casos malformados parametrizados). Aprovechado el outage de GitHub del 17-ago (trabajo local).</t>
        </is>
      </c>
    </row>
    <row r="153">
      <c r="A153" s="12" t="inlineStr">
        <is>
          <t>KIMI-B1-GUARD-APACHE</t>
        </is>
      </c>
      <c r="B153" s="12" t="inlineStr">
        <is>
          <t>FABS</t>
        </is>
      </c>
      <c r="D153" s="12" t="inlineStr">
        <is>
          <t>B-1 del gate Kimi 9.4 (obligatoria): documentar el riesgo del indice 1 de apache_por_mes + guard fail-loud en _armar_parametros (override con datos + algun modelo con plan 2 -&gt; ProyeccionError explicito, jamas indexacion silenciosa errada).</t>
        </is>
      </c>
      <c r="E153" s="12" t="inlineStr">
        <is>
          <t>Andres</t>
        </is>
      </c>
      <c r="F153" s="12" t="inlineStr">
        <is>
          <t>Hecha</t>
        </is>
      </c>
      <c r="G153" s="12" t="inlineStr">
        <is>
          <t>2026-08-13</t>
        </is>
      </c>
      <c r="H153" s="12" t="inlineStr">
        <is>
          <t>TDD (2 tests: con plan2 falla nombrando culpables; casos seguros pasan). motor.py cero diffs. Golden + proyeccion + sensibilidad verdes + ruff.</t>
        </is>
      </c>
    </row>
    <row r="154">
      <c r="A154" s="12" t="inlineStr">
        <is>
          <t>KIMI-B2-NIT-DIGITOS</t>
        </is>
      </c>
      <c r="B154" s="12" t="inlineStr">
        <is>
          <t>FABS</t>
        </is>
      </c>
      <c r="D154" s="12" t="inlineStr">
        <is>
          <t>B-2 del gate Kimi 9.4 (nit, OPCIONAL): validar formato solo-digitos de los NITs al guardar la config (NIT_RODDOS/NIT_AUTECO). Sin riesgo de dinero (matching por igualdad exacta = sin falso positivo); un typo = deduccion perdida visible.</t>
        </is>
      </c>
      <c r="E154" s="12" t="inlineStr">
        <is>
          <t>Andres</t>
        </is>
      </c>
      <c r="F154" s="12" t="inlineStr">
        <is>
          <t>Pendiente</t>
        </is>
      </c>
      <c r="H154" s="12" t="inlineStr">
        <is>
          <t>Backlog declarado en el gate 9.4.</t>
        </is>
      </c>
    </row>
    <row r="155">
      <c r="A155" s="12" t="inlineStr">
        <is>
          <t>G1C-CI-VERDE</t>
        </is>
      </c>
      <c r="B155" s="12" t="inlineStr">
        <is>
          <t>G1</t>
        </is>
      </c>
      <c r="D155" s="12" t="inlineStr">
        <is>
          <t>G1c: restaurar el CI y decidir el required check de backend. El CI estuvo ciego del 12 al 17-ago (budget de Actions bloqueado por cargo bancario rechazado); al destrabarlo (CEO + banco) el primer run revelo deuda: ruff format x10 archivos, biome x5 (incl. noArrayIndexKey PanelDividir, fix real con key estable) y gitleaks x2 (canario sembrado a proposito el 20-jul, commit 6842af5b, claves EJEMPLO de AWS + falso positivo plan2_cuota_semanal -&gt; allowlist quirurgico).</t>
        </is>
      </c>
      <c r="E155" s="12" t="inlineStr">
        <is>
          <t>Andres</t>
        </is>
      </c>
      <c r="F155" s="12" t="inlineStr">
        <is>
          <t>Hecha</t>
        </is>
      </c>
      <c r="G155" s="12" t="inlineStr">
        <is>
          <t>2026-08-17</t>
        </is>
      </c>
      <c r="H155" s="12" t="inlineStr">
        <is>
          <t>CI 6/6 VERDE en main (94487d2) — primero desde el 12-ago. Required check BLOQUEADO por plan GitHub (403 'Upgrade' en branch protection Y rulesets: repo privado + org Free). DECISION CEO 2026-08-17: CI como SEMAFORO NO BLOQUEANTE (sin costo); control compensatorio = verificar el verde antes de cada merge. Alternativa documentada: GitHub Team US$4/mes habilita el check duro. Para el acta de G1 de Kimi.</t>
        </is>
      </c>
    </row>
    <row r="156">
      <c r="A156" s="12" t="inlineStr">
        <is>
          <t>SUP-1</t>
        </is>
      </c>
      <c r="B156" s="12" t="inlineStr">
        <is>
          <t>FABS</t>
        </is>
      </c>
      <c r="D156" s="12" t="inlineStr">
        <is>
          <t>Bug CEO 2026-08-17: 'la mora no impacta en ninguna via'. Causa raiz: el preset del escenario pisaba pct_mora/pct_recuperacion y 'base' esta en los presets -&gt; los supuestos del CEO se descartaban SIEMPRE (prod: 8%/65% configurado, motor usando 3%/40%). Regla nueva: supuestos = NIVEL, escenario = DESVIO (delta en puntos a los 3 escenarios, acotado 0..1). + CAPACIDAD crecimiento por TRAMOS (crec_pct_mensual_2 + crec_mes_corte, aditivos al motor) + filtro de tiempo de la grafica con granularidad corta 3/6/9/12/15 en Proyecciones e INICIO.</t>
        </is>
      </c>
      <c r="E156" s="12" t="inlineStr">
        <is>
          <t>Andres</t>
        </is>
      </c>
      <c r="F156" s="12" t="inlineStr">
        <is>
          <t>Hecha</t>
        </is>
      </c>
      <c r="G156" s="12" t="inlineStr">
        <is>
          <t>2026-08-17</t>
        </is>
      </c>
      <c r="H156" s="12" t="inlineStr">
        <is>
          <t>TDD 13 backend + 6 frontend (rojo-&gt;verde). Backend 991 passed + ruff check/format; frontend 263 + build + biome; GOLDEN MASTER VERDE (motor aditivo con defaults None). Efecto en PROD verificado: piso 516.875.514 -&gt; 474.079.781, caja 36m -6.064.221.961; escenarios optimista 6,5% / base 8% / pesimista 11%; tramo 18-&gt;3% baja motos mes 36 de 10.054 a 1.384. Barrido de los 19 supuestos: provision/costo alistamiento/umbral NO son bugs (verificado). PR #96 (merge f5091ff, GATE-WAIVER GO CEO 2026-08-17).</t>
        </is>
      </c>
    </row>
    <row r="157">
      <c r="A157" s="12" t="inlineStr">
        <is>
          <t>SUP-2</t>
        </is>
      </c>
      <c r="B157" s="12" t="inlineStr">
        <is>
          <t>FABS</t>
        </is>
      </c>
      <c r="D157" s="12" t="inlineStr">
        <is>
          <t>Cuatro variables clavadas en el codigo ahora se editan: mora/recuperacion de los 3 escenarios (vivian en PRESETS_ESCENARIO), rezago de la recuperacion de mora (v9.1 recupera la del mes anterior), % de prefondeo del IVA y fondo AVAL propio (% del recaudo, egreso nuevo).</t>
        </is>
      </c>
      <c r="E157" s="12" t="inlineStr">
        <is>
          <t>Andres</t>
        </is>
      </c>
      <c r="F157" s="12" t="inlineStr">
        <is>
          <t>Hecha</t>
        </is>
      </c>
      <c r="G157" s="12" t="inlineStr">
        <is>
          <t>2026-08-22</t>
        </is>
      </c>
      <c r="H157" s="12" t="inlineStr">
        <is>
          <t>TDD 15 tests (rojo-&gt;verde). Aditivo: cada default reproduce la proyeccion anterior; rango [0,1] fail-closed en dominio Y router. Backend 1072 + frontend 263 + golden master. PR #97 (merge 0f391e8). SEMBRADO en prod: pesimista 14%/50%, optimista 4%/90% (v9.1); base 5%/65% del CEO intacto. Efecto: piso pesimista 406,7M -&gt; 213,98M.</t>
        </is>
      </c>
    </row>
    <row r="158">
      <c r="A158" s="12" t="inlineStr">
        <is>
          <t>SUP-3</t>
        </is>
      </c>
      <c r="B158" s="12" t="inlineStr">
        <is>
          <t>FABS</t>
        </is>
      </c>
      <c r="D158" s="12" t="inlineStr">
        <is>
          <t>El IVA de las ventas FUTURAS entra a la proyeccion (modelo v9.1 de Fabian): modulo puro app/iva/proyectado.py que convierte la colocacion en FacturaIva sinteticas para el liquidador EXISTENTE. Tarifa por dato (TARIFA_IVA, 19% default). Candado: un mes con dato real no se proyecta.</t>
        </is>
      </c>
      <c r="E158" s="12" t="inlineStr">
        <is>
          <t>Andres</t>
        </is>
      </c>
      <c r="F158" s="12" t="inlineStr">
        <is>
          <t>Hecha</t>
        </is>
      </c>
      <c r="G158" s="12" t="inlineStr">
        <is>
          <t>2026-08-22</t>
        </is>
      </c>
      <c r="H158" s="12" t="inlineStr">
        <is>
          <t>TDD 9 tests (rojo-&gt;verde). Backend 1119 + golden master + ruff. PR #98 (merge 08d6979). Efecto medido en prod: la liquidacion pasa de 2 periodos (ambos $0) a 11 con IVA a pagar (2027-C1 71,9M ... 2029-C2 768,8M). Con el CALENDARIO_DIAN extendido a 2027-2030 (sembrado, fechas estimadas may/sep/ene) son 8 egresos que ya golpean la caja.</t>
        </is>
      </c>
    </row>
    <row r="159">
      <c r="A159" s="12" t="inlineStr">
        <is>
          <t>SUP-4</t>
        </is>
      </c>
      <c r="B159" s="12" t="inlineStr">
        <is>
          <t>FABS</t>
        </is>
      </c>
      <c r="D159" s="12" t="inlineStr">
        <is>
          <t>Carga semanal del cronograma: POST /cartera-previa/cargar-cronograma agrega la cartera ya originada a la serie semanal del motor (NO guarda las ~9.900 cuotas: ~82 semanas) y deja la rampa del MES EN CURSO en el remanente hacia la meta. Tarjeta (10) en Supuestos.</t>
        </is>
      </c>
      <c r="E159" s="12" t="inlineStr">
        <is>
          <t>Andres</t>
        </is>
      </c>
      <c r="F159" s="12" t="inlineStr">
        <is>
          <t>Hecha</t>
        </is>
      </c>
      <c r="G159" s="12" t="inlineStr">
        <is>
          <t>2026-08-22</t>
        </is>
      </c>
      <c r="H159" s="12" t="inlineStr">
        <is>
          <t>TDD 21 tests (14 parser + 7 endpoint). Fail-closed: archivo vacio NO pisa la cartera; idempotente (reemplaza la foto). Verificado contra el cronograma REAL (9.879 cuotas): 196 creditos, 82 semanas, 1.758.647.416 por cobrar, 44.413.948 vencidos en 141 creditos, 0 errores, rampa {2026-08: 35} = identico al calculo manual. Backend 1142 + frontend 263. PR #99 (merge 30235bc).</t>
        </is>
      </c>
    </row>
    <row r="160">
      <c r="A160" s="12" t="inlineStr">
        <is>
          <t>SUP-5</t>
        </is>
      </c>
      <c r="B160" s="12" t="inlineStr">
        <is>
          <t>FABS</t>
        </is>
      </c>
      <c r="D160" s="12" t="inlineStr">
        <is>
          <t>La grafica se explica a si misma (CEO 2026-08-23): la proyeccion exponia el RESULTADO pero esconde el POR QUE. Ahora (a) cada mes trae mora/recuperacion/default por separado (el motor ya los calculaba, viajaban sumados dentro de neto), (b) la respuesta trae los SUPUESTOS EFECTIVOS del escenario en pantalla (con SUP-2 cada escenario tiene su propia mora), (c) tarjeta "Que compone este resultado" en Proyecciones + motos/creditos activos bajo cada mes de la tabla + desglose de cartera en la fila expandible. Honestidad: un mes ANCLADO a la ejecucion real no muestra mora paramétrica (su ingreso sale del libro).</t>
        </is>
      </c>
      <c r="E160" s="12" t="inlineStr">
        <is>
          <t>Andres</t>
        </is>
      </c>
      <c r="F160" s="12" t="inlineStr">
        <is>
          <t>Hecha</t>
        </is>
      </c>
      <c r="G160" s="12" t="inlineStr">
        <is>
          <t>2026-08-23</t>
        </is>
      </c>
      <c r="H160" s="12" t="inlineStr">
        <is>
          <t>MERGEADO en PR #100 junto al ciclo mensual. TDD 13 backend + 8 frontend; motor aditivo (3 campos con default 0.00) y golden master verde.</t>
        </is>
      </c>
    </row>
    <row r="161">
      <c r="A161" s="12" t="inlineStr">
        <is>
          <t>CICLO-MENSUAL</t>
        </is>
      </c>
      <c r="B161" s="12" t="inlineStr">
        <is>
          <t>FABS</t>
        </is>
      </c>
      <c r="D161" s="12" t="inlineStr">
        <is>
          <t>Ciclo mensual (8 piezas) — cerrar el tejido entre la caja real, el objetivo del mes y el recalculo de la proyeccion. Contrato aprobado por el CEO ANTES de construir (docs/COMPAS_Ciclo_Mensual.md) + roadmap vivo (docs/COMPAS_CICLO_ROADMAP.md). P1 candado aritmetico (4 formulas en TODOS los meses) · P2 el arranque se hereda del efectivo real del cierre · P3 el primer mes acumula su flujo (quita la excepcion del artefacto) · P4 el mes en curso es el OBJETIVO (supersede D-08/Regla A y la automatizacion de la rampa de SUP-4, que le pisaba la meta al CEO) · P5 el cronograma del mes completo + regla de no-solape · P6 termometro de desviacion (colocaciones/ingreso/gasto reales al lado, sin tocar la curva) · P7 el gasto real de los 3 meses cerrados SUGIERE el supuesto. Ademas P0: la mora solo sobre cuotas semanales.</t>
        </is>
      </c>
      <c r="E161" s="12" t="inlineStr">
        <is>
          <t>Andres</t>
        </is>
      </c>
      <c r="F161" s="12" t="inlineStr">
        <is>
          <t>Hecha</t>
        </is>
      </c>
      <c r="G161" s="12" t="inlineStr">
        <is>
          <t>2026-08-23</t>
        </is>
      </c>
      <c r="H161" s="12" t="inlineStr">
        <is>
          <t>PR #100. Backend 1220 passed / 0 failed; frontend 286 + build; golden master verde. El candado cazo 2 defectos reales: el fondo de aval que desaparecia al anclar un mes (546.241,68 en agosto de PROD) y la automatizacion de SUP-4 que pisaba la meta del CEO. Verificado al peso contra PROD: arranque 704.722.003 -&gt; 665.715.578 (cierre real de julio), egresos -240.209.500 -&gt; -240.755.741,68, neto 105.324.084,52 -&gt; 112.333.009,52; con la serie del mes completo y meta 60, agosto = 252.783.377,70 de ingreso neto y el candado cierra: 665.715.578 + 10.960.918,40 = 676.676.496,40.</t>
        </is>
      </c>
    </row>
    <row r="162">
      <c r="A162" s="12" t="inlineStr">
        <is>
          <t>KIMI-E75-0-4</t>
        </is>
      </c>
      <c r="B162" s="12" t="inlineStr">
        <is>
          <t>FABS</t>
        </is>
      </c>
      <c r="D162" s="12" t="inlineStr">
        <is>
          <t>Items 0 y 4 de la cola Kimi etapa75 (GO CEO 2026-08-24). Item 0: la costura del aval, lado frontend — egreso.ts no conocia `aval` (nacio en SUP-2, posterior al mapeo de buckets aprobado 2026-07-27): tabla y grafico omitian ese egreso y no reconciliaban con el flujo por exactamente el aval (546.241,68 en agosto de PROD). Gasto = fijos+gps+int_deuda+iva+AVAL, con candado de reconciliacion. Item 4: la convencion de la columna Caja, declarada — «Caja al cerrar» + desglose Inicia/Flujo/Cierra por mes + tarjeta del mes en curso con «arranca con X (efectivo real del cierre anterior) y cerraria en Y» (si el arranque es semilla, lo dice). Resuelve la ambiguedad inicio/fin que el CEO detecto en la pantalla.</t>
        </is>
      </c>
      <c r="E162" s="12" t="inlineStr">
        <is>
          <t>Andres</t>
        </is>
      </c>
      <c r="F162" s="12" t="inlineStr">
        <is>
          <t>Hecha</t>
        </is>
      </c>
      <c r="G162" s="12" t="inlineStr">
        <is>
          <t>2026-08-24</t>
        </is>
      </c>
      <c r="H162" s="12" t="inlineStr">
        <is>
          <t>MERGEADO en PR #102 (408639a9), CI 8/8 verde. Frontend 293 passed + build + biome. Solo frontend (el payload ya traia arranque y aval). Quedan de la cola e75: 1/3 (esperan etapa73), 5 (contador), 6 (LoanTape CEO), 7 (RETRO SUP-2..SUP-6 — sin evoluciones del motor hasta ese gate).</t>
        </is>
      </c>
    </row>
    <row r="163">
      <c r="A163" s="12" t="inlineStr">
        <is>
          <t>KIMI-E75-7-RETRO</t>
        </is>
      </c>
      <c r="B163" s="12" t="inlineStr">
        <is>
          <t>FABS</t>
        </is>
      </c>
      <c r="D163" s="12" t="inlineStr">
        <is>
          <t>Item 7 de la cola Kimi etapa75: paquete del RETRO-GATE SUP-2 -&gt; ciclo mensual (commits 0f391e8..d604556, PRs #97-#100 #102). Diff completo del motor y sus capas (1.571 lineas), salidas de tests frescas (118 del alcance + 1220 suite + 293 front), los 2 defectos que cazo el candado, foto read-only de PROD con el candado al peso (665.715.578 - 70.532.363,52 = 595.183.214,48), tabla de flags default-artefacto vs producto, y 6 puntos a auditar con lupa. Incluye solicitud a Kimi de re-enunciar los items 1 y 3 (el CEO no tiene el archivo etapa73). REGLA vigente hasta el gate: ninguna evolucion mas del motor.</t>
        </is>
      </c>
      <c r="E163" s="12" t="inlineStr">
        <is>
          <t>Andres</t>
        </is>
      </c>
      <c r="F163" s="12" t="inlineStr">
        <is>
          <t>En curso</t>
        </is>
      </c>
      <c r="H163" s="12" t="inlineStr">
        <is>
          <t>PAQUETE.pdf listo en planning/phases/ciclo-mensual/auditorias/RETRO-I/. Falta: el CEO lo sube a Kimi y pega la respuesta en RESPUESTA.md de la misma carpeta.</t>
        </is>
      </c>
    </row>
    <row r="164">
      <c r="A164" s="18" t="inlineStr">
        <is>
          <t>F0-1</t>
        </is>
      </c>
      <c r="B164" s="18" t="inlineStr">
        <is>
          <t>2.0 · Fase 0</t>
        </is>
      </c>
      <c r="C164" s="18" t="n"/>
      <c r="D164" s="22" t="inlineStr">
        <is>
          <t>spec-miner: registro de capacidades C1–C11 (docs/CAPACIDADES.md) con evidencia real (módulo, tests, ruta de front, carpeta de gate)</t>
        </is>
      </c>
      <c r="E164" s="18" t="inlineStr">
        <is>
          <t>Andrés</t>
        </is>
      </c>
      <c r="F164" s="18" t="inlineStr">
        <is>
          <t>Hecha</t>
        </is>
      </c>
      <c r="G164" s="18" t="inlineStr">
        <is>
          <t>2026-08-27</t>
        </is>
      </c>
      <c r="H164" s="22" t="inlineStr">
        <is>
          <t>docs/CAPACIDADES.md — registro C1–C11 spec-minado (4 agentes Explore). Hallazgo: C7/C8/C10/C11 estaban ✅ en código pese a figurar ❌ en PROJECT.md; C9 parcial (sin pantalla)</t>
        </is>
      </c>
      <c r="I164" s="18" t="n"/>
    </row>
    <row r="165">
      <c r="A165" s="18" t="inlineStr">
        <is>
          <t>F0-2</t>
        </is>
      </c>
      <c r="B165" s="18" t="inlineStr">
        <is>
          <t>2.0 · Fase 0</t>
        </is>
      </c>
      <c r="C165" s="18" t="n"/>
      <c r="D165" s="22" t="inlineStr">
        <is>
          <t>Candado del motor: golden-master de proyectar() OBLIGATORIO en CI para todo PR que toque backend/app/proyeccion/</t>
        </is>
      </c>
      <c r="E165" s="18" t="inlineStr">
        <is>
          <t>Andrés</t>
        </is>
      </c>
      <c r="F165" s="18" t="inlineStr">
        <is>
          <t>Hecha</t>
        </is>
      </c>
      <c r="G165" s="18" t="inlineStr">
        <is>
          <t>2026-08-27</t>
        </is>
      </c>
      <c r="H165" s="22" t="inlineStr">
        <is>
          <t>docs/CANDADO_MOTOR.md + jobs golden-master y motor-parity-guard en .github/workflows/ci.yml. Falta marcar required en branch protection (paso CEO)</t>
        </is>
      </c>
      <c r="I165" s="18" t="n"/>
    </row>
    <row r="166">
      <c r="A166" s="18" t="inlineStr">
        <is>
          <t>F0-3</t>
        </is>
      </c>
      <c r="B166" s="18" t="inlineStr">
        <is>
          <t>2.0 · Fase 0</t>
        </is>
      </c>
      <c r="C166" s="18" t="n"/>
      <c r="D166" s="22" t="inlineStr">
        <is>
          <t>DESIGN.md (RV-V1): 8 reglas de gráficos + paleta de marca como tokens, derivada de src/index.css</t>
        </is>
      </c>
      <c r="E166" s="18" t="inlineStr">
        <is>
          <t>Andrés</t>
        </is>
      </c>
      <c r="F166" s="18" t="inlineStr">
        <is>
          <t>Hecha</t>
        </is>
      </c>
      <c r="G166" s="18" t="inlineStr">
        <is>
          <t>2026-08-27</t>
        </is>
      </c>
      <c r="H166" s="22" t="inlineStr">
        <is>
          <t>docs/DESIGN.md — 8 reglas de gramática + paleta como tokens derivada de src/index.css + tokens de rol para RV-V2</t>
        </is>
      </c>
      <c r="I166" s="18" t="n"/>
    </row>
    <row r="167">
      <c r="A167" s="18" t="inlineStr">
        <is>
          <t>AND-1</t>
        </is>
      </c>
      <c r="B167" s="18" t="inlineStr">
        <is>
          <t>2.0 · Fase 0</t>
        </is>
      </c>
      <c r="C167" s="18" t="n"/>
      <c r="D167" s="22" t="inlineStr">
        <is>
          <t>Andamio: SkillSpector/AgentShield — escanear toda skill/herramienta antes de instalar</t>
        </is>
      </c>
      <c r="E167" s="18" t="inlineStr">
        <is>
          <t>Andrés</t>
        </is>
      </c>
      <c r="F167" s="18" t="inlineStr">
        <is>
          <t>Pendiente</t>
        </is>
      </c>
      <c r="G167" s="18" t="n"/>
      <c r="H167" s="22" t="inlineStr">
        <is>
          <t>Fundacional §6.1 (nada se instala sin escanear)</t>
        </is>
      </c>
      <c r="I167" s="18" t="n"/>
    </row>
    <row r="168">
      <c r="A168" s="18" t="inlineStr">
        <is>
          <t>AND-2</t>
        </is>
      </c>
      <c r="B168" s="18" t="inlineStr">
        <is>
          <t>2.0 · Fase 0</t>
        </is>
      </c>
      <c r="C168" s="18" t="n"/>
      <c r="D168" s="22" t="inlineStr">
        <is>
          <t>Andamio: ECC por proyecto (perfil core, hooks apagados, solo reglas de Python, tag fijado)</t>
        </is>
      </c>
      <c r="E168" s="18" t="inlineStr">
        <is>
          <t>Andrés</t>
        </is>
      </c>
      <c r="F168" s="18" t="inlineStr">
        <is>
          <t>Pendiente</t>
        </is>
      </c>
      <c r="G168" s="18" t="n"/>
      <c r="H168" s="22" t="inlineStr">
        <is>
          <t>Fundacional §6.2</t>
        </is>
      </c>
      <c r="I168" s="18" t="n"/>
    </row>
    <row r="169">
      <c r="A169" s="18" t="inlineStr">
        <is>
          <t>AND-3</t>
        </is>
      </c>
      <c r="B169" s="18" t="inlineStr">
        <is>
          <t>2.0 · Fase 0</t>
        </is>
      </c>
      <c r="C169" s="18" t="n"/>
      <c r="D169" s="22" t="inlineStr">
        <is>
          <t>Andamio: skills spec-miner + tdd-guide instaladas (mapa código→capacidades; protege el golden-master)</t>
        </is>
      </c>
      <c r="E169" s="18" t="inlineStr">
        <is>
          <t>Andrés</t>
        </is>
      </c>
      <c r="F169" s="18" t="inlineStr">
        <is>
          <t>Pendiente</t>
        </is>
      </c>
      <c r="G169" s="18" t="n"/>
      <c r="H169" s="22" t="inlineStr">
        <is>
          <t>Fundacional §6.3</t>
        </is>
      </c>
      <c r="I169" s="18" t="n"/>
    </row>
    <row r="170">
      <c r="A170" s="18" t="inlineStr">
        <is>
          <t>AND-4</t>
        </is>
      </c>
      <c r="B170" s="18" t="inlineStr">
        <is>
          <t>2.0 · Fase 0</t>
        </is>
      </c>
      <c r="C170" s="18" t="n"/>
      <c r="D170" s="22" t="inlineStr">
        <is>
          <t>Andamio: chrome-devtools-mcp (ojos) + tweakcn (tokens de marca)</t>
        </is>
      </c>
      <c r="E170" s="18" t="inlineStr">
        <is>
          <t>Andrés</t>
        </is>
      </c>
      <c r="F170" s="18" t="inlineStr">
        <is>
          <t>Pendiente</t>
        </is>
      </c>
      <c r="G170" s="18" t="n"/>
      <c r="H170" s="22" t="inlineStr">
        <is>
          <t>Fundacional §6.4</t>
        </is>
      </c>
      <c r="I170" s="18" t="n"/>
    </row>
    <row r="171">
      <c r="A171" s="18" t="inlineStr">
        <is>
          <t>AND-5</t>
        </is>
      </c>
      <c r="B171" s="18" t="inlineStr">
        <is>
          <t>2.0 · Fase 0</t>
        </is>
      </c>
      <c r="C171" s="18" t="n"/>
      <c r="D171" s="22" t="inlineStr">
        <is>
          <t>Andamio: Semgrep + Trivy + lost-pixel/axe integrados al CI (se activan como gates)</t>
        </is>
      </c>
      <c r="E171" s="18" t="inlineStr">
        <is>
          <t>Andrés</t>
        </is>
      </c>
      <c r="F171" s="18" t="inlineStr">
        <is>
          <t>Pendiente</t>
        </is>
      </c>
      <c r="G171" s="18" t="n"/>
      <c r="H171" s="22" t="inlineStr">
        <is>
          <t>Fundacional §6.3/§6.4; enforcement en 2.0 · Gates</t>
        </is>
      </c>
      <c r="I171" s="18" t="n"/>
    </row>
    <row r="172">
      <c r="A172" s="18" t="inlineStr">
        <is>
          <t>RF-F1</t>
        </is>
      </c>
      <c r="B172" s="18" t="inlineStr">
        <is>
          <t>2.0 · Funcional</t>
        </is>
      </c>
      <c r="C172" s="18" t="n"/>
      <c r="D172" s="22" t="inlineStr">
        <is>
          <t>Reglas sembradas con patrones reales: semilla desde Base real egresos; «Por clasificar» deja de ser el mayor rubro; ≥90% clasificados; sello clasificada_por/at + regla_id</t>
        </is>
      </c>
      <c r="E172" s="18" t="inlineStr">
        <is>
          <t>Andrés</t>
        </is>
      </c>
      <c r="F172" s="18" t="inlineStr">
        <is>
          <t>Hecha</t>
        </is>
      </c>
      <c r="G172" s="18" t="inlineStr">
        <is>
          <t>2026-08-27</t>
        </is>
      </c>
      <c r="H172" s="22" t="inlineStr">
        <is>
          <t>129 reglas aprendidas de la curaduría (1684 movs), sembradas+activadas en PROD (migraciones 20260827); endpoints GET/POST semilla + pantalla /reglas/semilla; AC medida 98,5%→99,2%. PR #115. TDD</t>
        </is>
      </c>
      <c r="I172" s="18" t="n"/>
    </row>
    <row r="173">
      <c r="A173" s="18" t="inlineStr">
        <is>
          <t>RF-F2</t>
        </is>
      </c>
      <c r="B173" s="18" t="inlineStr">
        <is>
          <t>2.0 · Funcional</t>
        </is>
      </c>
      <c r="C173" s="18" t="n"/>
      <c r="D173" s="22" t="inlineStr">
        <is>
          <t>Costura presupuesto→proyección: Ajuste.rubro_id entra al cálculo; aprobar el mes genera ajustes (D-2) y serie versionada; golden-master intacto</t>
        </is>
      </c>
      <c r="E173" s="18" t="inlineStr">
        <is>
          <t>Andrés</t>
        </is>
      </c>
      <c r="F173" s="18" t="inlineStr">
        <is>
          <t>Hecha</t>
        </is>
      </c>
      <c r="G173" s="18" t="inlineStr">
        <is>
          <t>2026-08-28</t>
        </is>
      </c>
      <c r="H173" s="22" t="inlineStr">
        <is>
          <t>Hallazgo: la costura ya existía (capa E1). RF-F2 = solo la serie versionada: ProyeccionVersion inmutable + snapshot post-commit al aprobar (best-effort) + endpoints /version y /version/diff + callout en /proyeccion. Motor intacto (golden verde). TDD 8 backend + 2 frontend; sanity 67/67 backend, 297/297 frontend. PR #115</t>
        </is>
      </c>
      <c r="I173" s="18" t="n"/>
    </row>
    <row r="174">
      <c r="A174" s="18" t="inlineStr">
        <is>
          <t>RF-F3</t>
        </is>
      </c>
      <c r="B174" s="18" t="inlineStr">
        <is>
          <t>2.0 · Funcional</t>
        </is>
      </c>
      <c r="C174" s="18" t="n"/>
      <c r="D174" s="22" t="inlineStr">
        <is>
          <t>Objetivo como regla de valles: umbral de atención administrable (D-1); valle como entidad (entrada/fondo/salida/profundidad/duración); 2 clases de alerta; reusa valles.py</t>
        </is>
      </c>
      <c r="E174" s="18" t="inlineStr">
        <is>
          <t>Andrés</t>
        </is>
      </c>
      <c r="F174" s="18" t="inlineStr">
        <is>
          <t>Hecha</t>
        </is>
      </c>
      <c r="G174" s="18" t="inlineStr">
        <is>
          <t>2026-08-28</t>
        </is>
      </c>
      <c r="H174" s="22" t="inlineStr">
        <is>
          <t>P1+P2+P3a+P3b — umbral atención admin. + valle entrada/salida/duración + estado ámbar + chips nuevo/más profundo vs. última aprobación. Motor con etiqueta motor-parity-reviewed; golden-master verde. PR #115.</t>
        </is>
      </c>
      <c r="I174" s="18" t="n"/>
    </row>
    <row r="175">
      <c r="A175" s="18" t="inlineStr">
        <is>
          <t>RF-F4</t>
        </is>
      </c>
      <c r="B175" s="18" t="inlineStr">
        <is>
          <t>2.0 · Funcional</t>
        </is>
      </c>
      <c r="C175" s="18" t="n"/>
      <c r="D175" s="22" t="inlineStr">
        <is>
          <t>Techo de gasto en ventana: techo_gasto_ventana(mes_inicio, ventana=9, referencia) — bandera roja si el valle dentro de la ventana perfora la atención</t>
        </is>
      </c>
      <c r="E175" s="18" t="inlineStr">
        <is>
          <t>Andrés</t>
        </is>
      </c>
      <c r="F175" s="18" t="inlineStr">
        <is>
          <t>Pendiente</t>
        </is>
      </c>
      <c r="G175" s="18" t="n"/>
      <c r="H175" s="22" t="inlineStr">
        <is>
          <t>MUST · §2 RF-F4</t>
        </is>
      </c>
      <c r="I175" s="18" t="n"/>
    </row>
    <row r="176">
      <c r="A176" s="18" t="inlineStr">
        <is>
          <t>RF-F5</t>
        </is>
      </c>
      <c r="B176" s="18" t="inlineStr">
        <is>
          <t>2.0 · Funcional</t>
        </is>
      </c>
      <c r="C176" s="18" t="n"/>
      <c r="D176" s="22" t="inlineStr">
        <is>
          <t>Solvers dentro de la app: techo, objetivo de venta (goal_seek) y unidades (solver_unidades) en la cabina y en proyección; cada alerta de valle con sus 3 palancas</t>
        </is>
      </c>
      <c r="E176" s="18" t="inlineStr">
        <is>
          <t>Andrés</t>
        </is>
      </c>
      <c r="F176" s="18" t="inlineStr">
        <is>
          <t>Pendiente</t>
        </is>
      </c>
      <c r="G176" s="18" t="n"/>
      <c r="H176" s="22" t="inlineStr">
        <is>
          <t>MUST · §2 RF-F5</t>
        </is>
      </c>
      <c r="I176" s="18" t="n"/>
    </row>
    <row r="177">
      <c r="A177" s="18" t="inlineStr">
        <is>
          <t>RF-F6</t>
        </is>
      </c>
      <c r="B177" s="18" t="inlineStr">
        <is>
          <t>2.0 · Funcional</t>
        </is>
      </c>
      <c r="C177" s="18" t="n"/>
      <c r="D177" s="22" t="inlineStr">
        <is>
          <t>Cargas idempotentes por huella — antes de que entre Bancolombia en septiembre</t>
        </is>
      </c>
      <c r="E177" s="18" t="inlineStr">
        <is>
          <t>Andrés</t>
        </is>
      </c>
      <c r="F177" s="18" t="inlineStr">
        <is>
          <t>Pendiente</t>
        </is>
      </c>
      <c r="G177" s="18" t="n"/>
      <c r="H177" s="22" t="inlineStr">
        <is>
          <t>SHOULD · §2 RF-F6</t>
        </is>
      </c>
      <c r="I177" s="18" t="n"/>
    </row>
    <row r="178">
      <c r="A178" s="18" t="inlineStr">
        <is>
          <t>RF-F7</t>
        </is>
      </c>
      <c r="B178" s="18" t="inlineStr">
        <is>
          <t>2.0 · Funcional</t>
        </is>
      </c>
      <c r="C178" s="18" t="n"/>
      <c r="D178" s="22" t="inlineStr">
        <is>
          <t>Recomendaciones por impacto: reparto del recorte por rubro (motor corrido al revés)</t>
        </is>
      </c>
      <c r="E178" s="18" t="inlineStr">
        <is>
          <t>Andrés</t>
        </is>
      </c>
      <c r="F178" s="18" t="inlineStr">
        <is>
          <t>Pendiente</t>
        </is>
      </c>
      <c r="G178" s="18" t="n"/>
      <c r="H178" s="22" t="inlineStr">
        <is>
          <t>SHOULD · §2 RF-F7</t>
        </is>
      </c>
      <c r="I178" s="18" t="n"/>
    </row>
    <row r="179">
      <c r="A179" s="18" t="inlineStr">
        <is>
          <t>RF-F8</t>
        </is>
      </c>
      <c r="B179" s="18" t="inlineStr">
        <is>
          <t>2.0 · Funcional</t>
        </is>
      </c>
      <c r="C179" s="18" t="n"/>
      <c r="D179" s="22" t="inlineStr">
        <is>
          <t>Obligaciones factura a factura: generaliza Auteco; habilita fecha exacta de pago y «negocia esta deuda»</t>
        </is>
      </c>
      <c r="E179" s="18" t="inlineStr">
        <is>
          <t>Andrés</t>
        </is>
      </c>
      <c r="F179" s="18" t="inlineStr">
        <is>
          <t>Pendiente</t>
        </is>
      </c>
      <c r="G179" s="18" t="n"/>
      <c r="H179" s="22" t="inlineStr">
        <is>
          <t>COULD · §2 RF-F8 · esfuerzo alto (→ C10)</t>
        </is>
      </c>
      <c r="I179" s="18" t="n"/>
    </row>
    <row r="180">
      <c r="A180" s="18" t="inlineStr">
        <is>
          <t>RF-F9</t>
        </is>
      </c>
      <c r="B180" s="18" t="inlineStr">
        <is>
          <t>2.0 · Funcional</t>
        </is>
      </c>
      <c r="C180" s="18" t="n"/>
      <c r="D180" s="22" t="inlineStr">
        <is>
          <t>Plan de cuentas completo: código contable y clase obligatorios al crear categoría</t>
        </is>
      </c>
      <c r="E180" s="18" t="inlineStr">
        <is>
          <t>Andrés</t>
        </is>
      </c>
      <c r="F180" s="18" t="inlineStr">
        <is>
          <t>Pendiente</t>
        </is>
      </c>
      <c r="G180" s="18" t="n"/>
      <c r="H180" s="22" t="inlineStr">
        <is>
          <t>SHOULD · §2 RF-F9</t>
        </is>
      </c>
      <c r="I180" s="18" t="n"/>
    </row>
    <row r="181">
      <c r="A181" s="18" t="inlineStr">
        <is>
          <t>RF-F10</t>
        </is>
      </c>
      <c r="B181" s="18" t="inlineStr">
        <is>
          <t>2.0 · Funcional</t>
        </is>
      </c>
      <c r="C181" s="18" t="n"/>
      <c r="D181" s="22" t="inlineStr">
        <is>
          <t>Horizonte a 240 meses con agregación por año/trimestre</t>
        </is>
      </c>
      <c r="E181" s="18" t="inlineStr">
        <is>
          <t>Andrés</t>
        </is>
      </c>
      <c r="F181" s="18" t="inlineStr">
        <is>
          <t>Pendiente</t>
        </is>
      </c>
      <c r="G181" s="18" t="n"/>
      <c r="H181" s="22" t="inlineStr">
        <is>
          <t>COULD · §2 RF-F10</t>
        </is>
      </c>
      <c r="I181" s="18" t="n"/>
    </row>
    <row r="182">
      <c r="A182" s="18" t="inlineStr">
        <is>
          <t>RV-V2</t>
        </is>
      </c>
      <c r="B182" s="18" t="inlineStr">
        <is>
          <t>2.0 · Visual</t>
        </is>
      </c>
      <c r="C182" s="18" t="n"/>
      <c r="D182" s="22" t="inlineStr">
        <is>
          <t>Rehacer las 2 gráficas principales contra el mockup (proyeccion-mockup.html): real sólido/proyectado punteado con ancla, valle sombreado, 2 umbrales, tooltips, escenario superpuesto, selector 3–60, composición en gráfica propia, color=solo estado, enlazado a los 23 campos reales de /api/v1/proyeccion</t>
        </is>
      </c>
      <c r="E182" s="18" t="inlineStr">
        <is>
          <t>Andrés</t>
        </is>
      </c>
      <c r="F182" s="18" t="inlineStr">
        <is>
          <t>Pendiente</t>
        </is>
      </c>
      <c r="G182" s="18" t="n"/>
      <c r="H182" s="22" t="inlineStr">
        <is>
          <t>MUST · §3 RV-V2 (10 AC verificables contra el mockup)</t>
        </is>
      </c>
      <c r="I182" s="18" t="n"/>
    </row>
    <row r="183">
      <c r="A183" s="18" t="inlineStr">
        <is>
          <t>RV-V3-5-10</t>
        </is>
      </c>
      <c r="B183" s="18" t="inlineStr">
        <is>
          <t>2.0 · Visual</t>
        </is>
      </c>
      <c r="C183" s="18" t="n"/>
      <c r="D183" s="22" t="inlineStr">
        <is>
          <t>Tokens de marca (tweakcn), escenarios superpuestos, sparklines y acabados (encabezado de tabla fijo, cinco estados)</t>
        </is>
      </c>
      <c r="E183" s="18" t="inlineStr">
        <is>
          <t>Andrés</t>
        </is>
      </c>
      <c r="F183" s="18" t="inlineStr">
        <is>
          <t>Pendiente</t>
        </is>
      </c>
      <c r="G183" s="18" t="n"/>
      <c r="H183" s="22" t="inlineStr">
        <is>
          <t>SHOULD · §3 RV-V3/V4/V5/V10</t>
        </is>
      </c>
      <c r="I183" s="18" t="n"/>
    </row>
    <row r="184">
      <c r="A184" s="18" t="inlineStr">
        <is>
          <t>RV-V6-7</t>
        </is>
      </c>
      <c r="B184" s="18" t="inlineStr">
        <is>
          <t>2.0 · Visual</t>
        </is>
      </c>
      <c r="C184" s="18" t="n"/>
      <c r="D184" s="22" t="inlineStr">
        <is>
          <t>Fase B del navegador con contadores de estado: 18→11 entradas, el mes como objeto con pestañas; plano reconciliado con las 12 rutas reales</t>
        </is>
      </c>
      <c r="E184" s="18" t="inlineStr">
        <is>
          <t>Andrés</t>
        </is>
      </c>
      <c r="F184" s="18" t="inlineStr">
        <is>
          <t>Pendiente</t>
        </is>
      </c>
      <c r="G184" s="18" t="n"/>
      <c r="H184" s="22" t="inlineStr">
        <is>
          <t>SHOULD · §3 RV-V6/V7</t>
        </is>
      </c>
      <c r="I184" s="18" t="n"/>
    </row>
    <row r="185">
      <c r="A185" s="18" t="inlineStr">
        <is>
          <t>RV-V8-9</t>
        </is>
      </c>
      <c r="B185" s="18" t="inlineStr">
        <is>
          <t>2.0 · Visual</t>
        </is>
      </c>
      <c r="C185" s="18" t="n"/>
      <c r="D185" s="22" t="inlineStr">
        <is>
          <t>Confianza del dato en la franja + bandeja «Por clasificar» con crear-regla</t>
        </is>
      </c>
      <c r="E185" s="18" t="inlineStr">
        <is>
          <t>Andrés</t>
        </is>
      </c>
      <c r="F185" s="18" t="inlineStr">
        <is>
          <t>Pendiente</t>
        </is>
      </c>
      <c r="G185" s="18" t="n"/>
      <c r="H185" s="22" t="inlineStr">
        <is>
          <t>SHOULD · §3 RV-V8/V9</t>
        </is>
      </c>
      <c r="I185" s="18" t="n"/>
    </row>
    <row r="186">
      <c r="A186" s="18" t="inlineStr">
        <is>
          <t>G-SEC</t>
        </is>
      </c>
      <c r="B186" s="18" t="inlineStr">
        <is>
          <t>2.0 · Gates</t>
        </is>
      </c>
      <c r="C186" s="18" t="n"/>
      <c r="D186" s="22" t="inlineStr">
        <is>
          <t>Gate de seguridad bloqueante antes de liberar + segunda revisión de seguridad externa al equipo</t>
        </is>
      </c>
      <c r="E186" s="18" t="inlineStr">
        <is>
          <t>Andrés</t>
        </is>
      </c>
      <c r="F186" s="18" t="inlineStr">
        <is>
          <t>Pendiente</t>
        </is>
      </c>
      <c r="G186" s="18" t="n"/>
      <c r="H186" s="22" t="inlineStr">
        <is>
          <t>§5 · no cede por cronograma (se mueve la fecha, no el control)</t>
        </is>
      </c>
      <c r="I186" s="18" t="n"/>
    </row>
    <row r="187">
      <c r="A187" s="18" t="inlineStr">
        <is>
          <t>G-GM</t>
        </is>
      </c>
      <c r="B187" s="18" t="inlineStr">
        <is>
          <t>2.0 · Gates</t>
        </is>
      </c>
      <c r="C187" s="18" t="n"/>
      <c r="D187" s="22" t="inlineStr">
        <is>
          <t>Golden-master del motor verde OBLIGATORIO en todo PR que toque proyección (candado activo en CI)</t>
        </is>
      </c>
      <c r="E187" s="18" t="inlineStr">
        <is>
          <t>Andrés</t>
        </is>
      </c>
      <c r="F187" s="18" t="inlineStr">
        <is>
          <t>Pendiente</t>
        </is>
      </c>
      <c r="G187" s="18" t="n"/>
      <c r="H187" s="22" t="inlineStr">
        <is>
          <t>§5 · lo construye F0-2</t>
        </is>
      </c>
      <c r="I187" s="18" t="n"/>
    </row>
    <row r="188">
      <c r="A188" s="18" t="inlineStr">
        <is>
          <t>G-SEMGREP</t>
        </is>
      </c>
      <c r="B188" s="18" t="inlineStr">
        <is>
          <t>2.0 · Gates</t>
        </is>
      </c>
      <c r="C188" s="18" t="n"/>
      <c r="D188" s="22" t="inlineStr">
        <is>
          <t>Semgrep con reglas inviolables (Decimal, histórico inmutable, ninguna ruta sin auth) fallando el PR</t>
        </is>
      </c>
      <c r="E188" s="18" t="inlineStr">
        <is>
          <t>Andrés</t>
        </is>
      </c>
      <c r="F188" s="18" t="inlineStr">
        <is>
          <t>Pendiente</t>
        </is>
      </c>
      <c r="G188" s="18" t="n"/>
      <c r="H188" s="22" t="inlineStr">
        <is>
          <t>§5</t>
        </is>
      </c>
      <c r="I188" s="18" t="n"/>
    </row>
    <row r="189">
      <c r="A189" s="18" t="inlineStr">
        <is>
          <t>G-TRIVY</t>
        </is>
      </c>
      <c r="B189" s="18" t="inlineStr">
        <is>
          <t>2.0 · Gates</t>
        </is>
      </c>
      <c r="C189" s="18" t="n"/>
      <c r="D189" s="22" t="inlineStr">
        <is>
          <t>Trivy bloqueante antes de introducir cualquier librería de gráficos (cierra el hueco de npm)</t>
        </is>
      </c>
      <c r="E189" s="18" t="inlineStr">
        <is>
          <t>Andrés</t>
        </is>
      </c>
      <c r="F189" s="18" t="inlineStr">
        <is>
          <t>Pendiente</t>
        </is>
      </c>
      <c r="G189" s="18" t="n"/>
      <c r="H189" s="22" t="inlineStr">
        <is>
          <t>§5</t>
        </is>
      </c>
      <c r="I189" s="18" t="n"/>
    </row>
    <row r="190">
      <c r="A190" s="18" t="inlineStr">
        <is>
          <t>G-PIXEL</t>
        </is>
      </c>
      <c r="B190" s="18" t="inlineStr">
        <is>
          <t>2.0 · Gates</t>
        </is>
      </c>
      <c r="C190" s="18" t="n"/>
      <c r="D190" s="22" t="inlineStr">
        <is>
          <t>chrome-devtools-mcp + lost-pixel contra proyeccion-mockup.html: un PR que desvíe RV-V2 del mockup no se fusiona</t>
        </is>
      </c>
      <c r="E190" s="18" t="inlineStr">
        <is>
          <t>Andrés</t>
        </is>
      </c>
      <c r="F190" s="18" t="inlineStr">
        <is>
          <t>Pendiente</t>
        </is>
      </c>
      <c r="G190" s="18" t="n"/>
      <c r="H190" s="22" t="inlineStr">
        <is>
          <t>§5</t>
        </is>
      </c>
      <c r="I190" s="18" t="n"/>
    </row>
    <row r="191">
      <c r="A191" s="18" t="inlineStr">
        <is>
          <t>G-AXE</t>
        </is>
      </c>
      <c r="B191" s="18" t="inlineStr">
        <is>
          <t>2.0 · Gates</t>
        </is>
      </c>
      <c r="C191" s="18" t="n"/>
      <c r="D191" s="22" t="inlineStr">
        <is>
          <t>axe-core en las vistas de proyección</t>
        </is>
      </c>
      <c r="E191" s="18" t="inlineStr">
        <is>
          <t>Andrés</t>
        </is>
      </c>
      <c r="F191" s="18" t="inlineStr">
        <is>
          <t>Pendiente</t>
        </is>
      </c>
      <c r="G191" s="18" t="n"/>
      <c r="H191" s="22" t="inlineStr">
        <is>
          <t>§5</t>
        </is>
      </c>
      <c r="I191" s="18" t="n"/>
    </row>
    <row r="192">
      <c r="A192" s="18" t="inlineStr">
        <is>
          <t>BK-1</t>
        </is>
      </c>
      <c r="B192" s="18" t="inlineStr">
        <is>
          <t>2.0 · Backlog</t>
        </is>
      </c>
      <c r="C192" s="18" t="n"/>
      <c r="D192" s="22" t="inlineStr">
        <is>
          <t>Backlog UI de seguimiento de caja (diferidos): ② resumen antes→después al cargar movimientos; ③ puente real vs proyectado en Proyecciones (arrancaste con X · hoy Y real · cerraría en Z). Construir solo si el plan 2.0 no los cubre y el negocio los pide</t>
        </is>
      </c>
      <c r="E192" s="18" t="inlineStr">
        <is>
          <t>Andrés</t>
        </is>
      </c>
      <c r="F192" s="18" t="inlineStr">
        <is>
          <t>Pendiente</t>
        </is>
      </c>
      <c r="G192" s="18" t="n"/>
      <c r="H192" s="22" t="inlineStr">
        <is>
          <t>Backlog · nace de las mejoras UI de caja; PR #113 dejó ① (saldo disponible en vivo)</t>
        </is>
      </c>
      <c r="I192" s="18" t="n"/>
    </row>
    <row r="193">
      <c r="A193" s="12" t="inlineStr">
        <is>
          <t>INFRA-01</t>
        </is>
      </c>
      <c r="B193" s="12" t="inlineStr">
        <is>
          <t>Infra</t>
        </is>
      </c>
      <c r="C193" s="12" t="inlineStr">
        <is>
          <t>-</t>
        </is>
      </c>
      <c r="D193" s="12" t="inlineStr">
        <is>
          <t>Migracion de COMPAS a cluster MongoDB propio (compas-prod, Atlas M0 us-east-1): dump del cluster viejo (sismo-v3), restore, switch de env vars en Render, verificacion y cierre documental. Ver PLAN-migracion-cluster.md</t>
        </is>
      </c>
      <c r="E193" s="12" t="inlineStr">
        <is>
          <t>Jorge + Sergio (Builders)</t>
        </is>
      </c>
      <c r="F193" s="12" t="inlineStr">
        <is>
          <t>Hecha</t>
        </is>
      </c>
      <c r="G193" s="12" t="inlineStr">
        <is>
          <t>2026-09-15</t>
        </is>
      </c>
      <c r="H193" s="12" t="inlineStr">
        <is>
          <t>Bitacora en docs/equipo/entregas/BUILD-migracion-cluster.md. Plan en docs/equipo/entregas/PLAN-migracion-cluster.md. Motivo: nodo enfermo en sismo-v3 cuelga el arranque del backend. | Cierre: commit a851305 (docs/infra, Fase D)</t>
        </is>
      </c>
      <c r="I193" s="12" t="inlineStr">
        <is>
          <t>G1-G4</t>
        </is>
      </c>
    </row>
  </sheetData>
  <autoFilter ref="A1:I37"/>
  <dataValidations count="1">
    <dataValidation sqref="F2:F40" showDropDown="0" showInputMessage="0" showErrorMessage="0" allowBlank="1" type="list" errorStyle="stop" operator="between">
      <formula1>"Pendiente,En curso,Bloqueada,Hecha,Verificada"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9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2" min="1" max="1"/>
    <col width="14" customWidth="1" style="12" min="2" max="2"/>
    <col width="62" customWidth="1" style="12" min="3" max="3"/>
    <col width="20" customWidth="1" style="12" min="4" max="4"/>
    <col width="12" customWidth="1" style="12" min="5" max="6"/>
  </cols>
  <sheetData>
    <row r="1" ht="15" customHeight="1" s="13">
      <c r="A1" s="17" t="inlineStr">
        <is>
          <t>Gate</t>
        </is>
      </c>
      <c r="B1" s="17" t="inlineStr">
        <is>
          <t>Momento</t>
        </is>
      </c>
      <c r="C1" s="17" t="inlineStr">
        <is>
          <t>Criterio</t>
        </is>
      </c>
      <c r="D1" s="17" t="inlineStr">
        <is>
          <t>Aprobador</t>
        </is>
      </c>
      <c r="E1" s="17" t="inlineStr">
        <is>
          <t>Estado</t>
        </is>
      </c>
      <c r="F1" s="17" t="inlineStr">
        <is>
          <t>Fecha</t>
        </is>
      </c>
    </row>
    <row r="2" ht="23.85" customHeight="1" s="13">
      <c r="A2" s="18" t="inlineStr">
        <is>
          <t>G1</t>
        </is>
      </c>
      <c r="B2" s="18" t="inlineStr">
        <is>
          <t>Fin Sprint 0b</t>
        </is>
      </c>
      <c r="C2" s="22" t="inlineStr">
        <is>
          <t>Esqueleto + checklist de SEGURIDAD (auth endurecida, audit inmutable en CI, escaneo). BLOQUEANTE</t>
        </is>
      </c>
      <c r="D2" s="18" t="inlineStr">
        <is>
          <t>CEO Andres + Kimi (evidencia) [CR-003]</t>
        </is>
      </c>
      <c r="E2" s="18" t="inlineStr">
        <is>
          <t>Aprobado — GO 9.4 (G1-R) + CEO</t>
        </is>
      </c>
      <c r="F2" s="18" t="inlineStr">
        <is>
          <t>2026-07-20</t>
        </is>
      </c>
    </row>
    <row r="3" ht="15" customHeight="1" s="13">
      <c r="A3" s="18" t="inlineStr">
        <is>
          <t>G2</t>
        </is>
      </c>
      <c r="B3" s="18" t="inlineStr">
        <is>
          <t>Fin Sprint 2</t>
        </is>
      </c>
      <c r="C3" s="22" t="inlineStr">
        <is>
          <t>3 parsers + dedup 0 duplicados + mini-migración mar–jul cuadrada</t>
        </is>
      </c>
      <c r="D3" s="18" t="inlineStr">
        <is>
          <t>Financiero + Tech Lead</t>
        </is>
      </c>
      <c r="E3" s="18" t="inlineStr">
        <is>
          <t>CEO gate-waiver 2026-07-26: mini-migracion Global66 mar-jul cargada bajo GO del CEO (2039/0/0, cuadre al peso). Solo Global66 (Ban/BBVA en 0). Kimi RETROACTIVO pendiente.</t>
        </is>
      </c>
      <c r="F3" s="18" t="inlineStr">
        <is>
          <t>2026-07-26</t>
        </is>
      </c>
    </row>
    <row r="4" ht="23.85" customHeight="1" s="13">
      <c r="A4" s="18" t="inlineStr">
        <is>
          <t>G3</t>
        </is>
      </c>
      <c r="B4" s="18" t="inlineStr">
        <is>
          <t>Fin Sprint 4</t>
        </is>
      </c>
      <c r="C4" s="22" t="inlineStr">
        <is>
          <t>Ciclo presupuestal + control con julio real (demo modo histórico ya aprobada en S3)</t>
        </is>
      </c>
      <c r="D4" s="18" t="inlineStr">
        <is>
          <t>Directivo</t>
        </is>
      </c>
      <c r="E4" s="18" t="inlineStr">
        <is>
          <t>Pendiente</t>
        </is>
      </c>
      <c r="F4" s="18" t="n"/>
    </row>
    <row r="5" ht="23.85" customHeight="1" s="13">
      <c r="A5" s="18" t="inlineStr">
        <is>
          <t>G4</t>
        </is>
      </c>
      <c r="B5" s="18" t="inlineStr">
        <is>
          <t>Fin Sprint 6b</t>
        </is>
      </c>
      <c r="C5" s="22" t="inlineStr">
        <is>
          <t>Facturas ambos lados + IVA May–Ago reproducido + M10 + Capacidad de pago + dashboard</t>
        </is>
      </c>
      <c r="D5" s="18" t="inlineStr">
        <is>
          <t>Financiero</t>
        </is>
      </c>
      <c r="E5" s="18" t="inlineStr">
        <is>
          <t>Pendiente</t>
        </is>
      </c>
      <c r="F5" s="18" t="n"/>
    </row>
    <row r="6" ht="23.85" customHeight="1" s="13">
      <c r="A6" s="18" t="inlineStr">
        <is>
          <t>G5</t>
        </is>
      </c>
      <c r="B6" s="18" t="inlineStr">
        <is>
          <t>Fin Sprint 7</t>
        </is>
      </c>
      <c r="C6" s="22" t="inlineStr">
        <is>
          <t>UAT con guion + acta de conciliación + restore cronometrado. BLOQUEANTE ABSOLUTO (ventana 48h)</t>
        </is>
      </c>
      <c r="D6" s="18" t="inlineStr">
        <is>
          <t>CEO Andrés</t>
        </is>
      </c>
      <c r="E6" s="18" t="inlineStr">
        <is>
          <t>Pendiente</t>
        </is>
      </c>
      <c r="F6" s="18" t="n"/>
    </row>
    <row r="7">
      <c r="A7" s="12" t="inlineStr">
        <is>
          <t>Kimi PLAN (S0·Sesión 2)</t>
        </is>
      </c>
      <c r="B7" s="12" t="inlineStr">
        <is>
          <t>Pre-código auth/RBAC/audit</t>
        </is>
      </c>
      <c r="C7" s="12" t="inlineStr">
        <is>
          <t>Auditoría adversarial del plan &gt;=9.0 (I-PLAN 7.8 NO-GO → R-PLAN 9.1 GO)</t>
        </is>
      </c>
      <c r="D7" s="12" t="inlineStr">
        <is>
          <t>Kimi (auditor externo)</t>
        </is>
      </c>
      <c r="E7" s="12" t="inlineStr">
        <is>
          <t>Aprobado</t>
        </is>
      </c>
      <c r="F7" s="12" t="inlineStr">
        <is>
          <t>2026-07-18</t>
        </is>
      </c>
    </row>
    <row r="8">
      <c r="A8" s="12" t="inlineStr">
        <is>
          <t>Kimi PR-1 audit (S0·Sesión 2)</t>
        </is>
      </c>
      <c r="B8" s="12" t="inlineStr">
        <is>
          <t>Post-código PR-1</t>
        </is>
      </c>
      <c r="C8" s="12" t="inlineStr">
        <is>
          <t>Auditoría de código &gt;=9.0 (I-PR1 8.9→R-PR1 8.8→cierre 9.2)</t>
        </is>
      </c>
      <c r="D8" s="12" t="inlineStr">
        <is>
          <t>Kimi (auditor externo)</t>
        </is>
      </c>
      <c r="E8" s="12" t="inlineStr">
        <is>
          <t>Aprobado</t>
        </is>
      </c>
      <c r="F8" s="12" t="inlineStr">
        <is>
          <t>2026-07-18</t>
        </is>
      </c>
    </row>
    <row r="9">
      <c r="A9" s="12" t="inlineStr">
        <is>
          <t>Kimi PR-2 auth (S0·Sesión 2)</t>
        </is>
      </c>
      <c r="B9" s="12" t="inlineStr">
        <is>
          <t>Post-código PR-2</t>
        </is>
      </c>
      <c r="C9" s="12" t="inlineStr">
        <is>
          <t>Auditoría de código &gt;=9.0 (I-PR2 7.8→R-PR2 9.3 GO)</t>
        </is>
      </c>
      <c r="D9" s="12" t="inlineStr">
        <is>
          <t>Kimi (auditor externo)</t>
        </is>
      </c>
      <c r="E9" s="12" t="inlineStr">
        <is>
          <t>Aprobado</t>
        </is>
      </c>
      <c r="F9" s="12" t="inlineStr">
        <is>
          <t>2026-07-19</t>
        </is>
      </c>
    </row>
    <row r="10">
      <c r="A10" s="12" t="inlineStr">
        <is>
          <t>Kimi PR-3 RBAC (S0·Sesión 2)</t>
        </is>
      </c>
      <c r="B10" s="12" t="inlineStr">
        <is>
          <t>Post-código PR-3</t>
        </is>
      </c>
      <c r="C10" s="12" t="inlineStr">
        <is>
          <t>Auditoría de código &gt;=9.0 (I-PR3 9.5 GO) — cierra Sesión 2</t>
        </is>
      </c>
      <c r="D10" s="12" t="inlineStr">
        <is>
          <t>Kimi (auditor externo)</t>
        </is>
      </c>
      <c r="E10" s="12" t="inlineStr">
        <is>
          <t>Aprobado</t>
        </is>
      </c>
      <c r="F10" s="12" t="inlineStr">
        <is>
          <t>2026-07-19</t>
        </is>
      </c>
    </row>
    <row r="11">
      <c r="A11" s="12" t="inlineStr">
        <is>
          <t>Kimi PLAN (S0b)</t>
        </is>
      </c>
      <c r="B11" s="12" t="inlineStr">
        <is>
          <t>Pre-codigo dominio+MFA+cabeceras</t>
        </is>
      </c>
      <c r="C11" s="12" t="inlineStr">
        <is>
          <t>Auditoria del plan &gt;=9.0 (I-PLAN 8.7 GO CONDICIONADO: construir ya; A-01 gobernanza G1 + M-01..M-04 pendientes; estimado &gt;=9.3 al cierre)</t>
        </is>
      </c>
      <c r="D11" s="12" t="inlineStr">
        <is>
          <t>Kimi (auditor externo)</t>
        </is>
      </c>
      <c r="E11" s="12" t="inlineStr">
        <is>
          <t>Pendiente</t>
        </is>
      </c>
      <c r="F11" s="12" t="inlineStr">
        <is>
          <t>2026-07-19</t>
        </is>
      </c>
    </row>
    <row r="12">
      <c r="A12" s="12" t="inlineStr">
        <is>
          <t>Kimi PR-1 (S0b)</t>
        </is>
      </c>
      <c r="B12" s="12" t="inlineStr">
        <is>
          <t>Post-codigo dominio base</t>
        </is>
      </c>
      <c r="C12" s="12" t="inlineStr">
        <is>
          <t>Auditoria de codigo &gt;=9.0 (I-PR1 9.4 GO, merge autorizado). Bajas B-1 (seguimiento S0B-05) y B-2 (aplicada).</t>
        </is>
      </c>
      <c r="D12" s="12" t="inlineStr">
        <is>
          <t>Kimi (auditor externo)</t>
        </is>
      </c>
      <c r="E12" s="12" t="inlineStr">
        <is>
          <t>Aprobado</t>
        </is>
      </c>
      <c r="F12" s="12" t="inlineStr">
        <is>
          <t>2026-07-19</t>
        </is>
      </c>
    </row>
    <row r="13">
      <c r="A13" s="12" t="inlineStr">
        <is>
          <t>Kimi PR-2 (S0b) I</t>
        </is>
      </c>
      <c r="B13" s="12" t="inlineStr">
        <is>
          <t>Post-codigo MFA</t>
        </is>
      </c>
      <c r="C13" s="12" t="inlineStr">
        <is>
          <t>Auditoria de codigo (I-PR2 8.8 NO-GO condicionado; 3 Medias M1/M2/M3 + B1 aplicadas; re-presentar PR2-R, estimado &gt;=9.4)</t>
        </is>
      </c>
      <c r="D13" s="12" t="inlineStr">
        <is>
          <t>Kimi (auditor externo)</t>
        </is>
      </c>
      <c r="E13" s="12" t="inlineStr">
        <is>
          <t>Pendiente</t>
        </is>
      </c>
      <c r="F13" s="12" t="inlineStr">
        <is>
          <t>2026-07-19</t>
        </is>
      </c>
    </row>
    <row r="14">
      <c r="A14" s="12" t="inlineStr">
        <is>
          <t>Kimi PR-2 (S0b) R</t>
        </is>
      </c>
      <c r="B14" s="12" t="inlineStr">
        <is>
          <t>Post-fixes MFA</t>
        </is>
      </c>
      <c r="C14" s="12" t="inlineStr">
        <is>
          <t>Re-auditoria de codigo &gt;=9.0 (I-PR2 8.8 NO-GO -&gt; R-PR2 GO). Cierra DoD #11.</t>
        </is>
      </c>
      <c r="D14" s="12" t="inlineStr">
        <is>
          <t>Kimi (auditor externo)</t>
        </is>
      </c>
      <c r="E14" s="12" t="inlineStr">
        <is>
          <t>Aprobado</t>
        </is>
      </c>
      <c r="F14" s="12" t="inlineStr">
        <is>
          <t>2026-07-19</t>
        </is>
      </c>
    </row>
    <row r="15">
      <c r="A15" s="12" t="inlineStr">
        <is>
          <t>Kimi PR-3 (S0b)</t>
        </is>
      </c>
      <c r="B15" s="12" t="inlineStr">
        <is>
          <t>Post-codigo cabeceras</t>
        </is>
      </c>
      <c r="C15" s="12" t="inlineStr">
        <is>
          <t>Auditoria de codigo &gt;=9.0 (I-PR3 9.2 GO; B-1 orden middleware + B-2 style-src aplicados). Cierra DoD #12. Sprint 0b completo.</t>
        </is>
      </c>
      <c r="D15" s="12" t="inlineStr">
        <is>
          <t>Kimi (auditor externo)</t>
        </is>
      </c>
      <c r="E15" s="12" t="inlineStr">
        <is>
          <t>Aprobado</t>
        </is>
      </c>
      <c r="F15" s="12" t="inlineStr">
        <is>
          <t>2026-07-19</t>
        </is>
      </c>
    </row>
    <row r="16">
      <c r="A16" s="12" t="inlineStr">
        <is>
          <t>Kimi PLAN (Sesion 3 CI)</t>
        </is>
      </c>
      <c r="B16" s="12" t="inlineStr">
        <is>
          <t>Pre-codigo CI/CD</t>
        </is>
      </c>
      <c r="C16" s="12" t="inlineStr">
        <is>
          <t>Auditoria del plan &gt;=9.0 (I-PLAN 9.1 GO; P-1 placeholders a implementar + P-2 required checks incorporadas).</t>
        </is>
      </c>
      <c r="D16" s="12" t="inlineStr">
        <is>
          <t>Kimi (auditor externo)</t>
        </is>
      </c>
      <c r="E16" s="12" t="inlineStr">
        <is>
          <t>Aprobado</t>
        </is>
      </c>
      <c r="F16" s="12" t="inlineStr">
        <is>
          <t>2026-07-19</t>
        </is>
      </c>
    </row>
    <row r="17">
      <c r="A17" s="12" t="inlineStr">
        <is>
          <t>Kimi PR-I (Sesion 3 CI)</t>
        </is>
      </c>
      <c r="B17" s="12" t="inlineStr">
        <is>
          <t>PR codigo CI/CD</t>
        </is>
      </c>
      <c r="C17" s="12" t="inlineStr">
        <is>
          <t>Auditoria de codigo &gt;=9.0 (run verde 29771391813; PR-I 9.5 GO; DoD #8)</t>
        </is>
      </c>
      <c r="D17" s="12" t="inlineStr">
        <is>
          <t>Kimi (auditor externo)</t>
        </is>
      </c>
      <c r="E17" s="12" t="inlineStr">
        <is>
          <t>Aprobado</t>
        </is>
      </c>
      <c r="F17" s="12" t="inlineStr">
        <is>
          <t>2026-07-20</t>
        </is>
      </c>
    </row>
    <row r="18">
      <c r="A18" s="12" t="inlineStr">
        <is>
          <t>Kimi PLAN (Sprint 1)</t>
        </is>
      </c>
      <c r="B18" s="12" t="inlineStr">
        <is>
          <t>Pre-codigo Sprint 1</t>
        </is>
      </c>
      <c r="C18" s="12" t="inlineStr">
        <is>
          <t>Auditoria del plan &gt;=9.0 (PLAN-I 9.2 GO; M-1 aplicada)</t>
        </is>
      </c>
      <c r="D18" s="12" t="inlineStr">
        <is>
          <t>Kimi (auditor externo)</t>
        </is>
      </c>
      <c r="E18" s="12" t="inlineStr">
        <is>
          <t>Aprobado</t>
        </is>
      </c>
      <c r="F18" s="12" t="inlineStr">
        <is>
          <t>2026-07-20</t>
        </is>
      </c>
    </row>
    <row r="19">
      <c r="A19" s="12" t="inlineStr">
        <is>
          <t>Kimi Playbook Bloque C</t>
        </is>
      </c>
      <c r="B19" s="12" t="inlineStr">
        <is>
          <t>Pre-ejecucion infra</t>
        </is>
      </c>
      <c r="C19" s="12" t="inlineStr">
        <is>
          <t>Auditoria del playbook operacional (9.3 GO)</t>
        </is>
      </c>
      <c r="D19" s="12" t="inlineStr">
        <is>
          <t>Kimi (auditor externo)</t>
        </is>
      </c>
      <c r="E19" s="12" t="inlineStr">
        <is>
          <t>Aprobado</t>
        </is>
      </c>
      <c r="F19" s="12" t="inlineStr">
        <is>
          <t>2026-07-20</t>
        </is>
      </c>
    </row>
    <row r="20">
      <c r="A20" s="12" t="inlineStr">
        <is>
          <t>Kimi PR-I (Sprint 1 parsers+carga)</t>
        </is>
      </c>
      <c r="B20" s="12" t="inlineStr">
        <is>
          <t>Post-código PR (parsers+Transaccion+carga §1.6)</t>
        </is>
      </c>
      <c r="C20" s="12" t="inlineStr">
        <is>
          <t>Auditoría de código &gt;=9.0. Auditar: §1.6 vs regla 8; merge pre-gate (desviación CEO); id_banco huella</t>
        </is>
      </c>
      <c r="D20" s="12" t="inlineStr">
        <is>
          <t>Kimi (auditor externo)</t>
        </is>
      </c>
      <c r="E20" s="12" t="inlineStr">
        <is>
          <t>R: GO 9.3 (I 8.0 NO-GO → R). Merge 72034a0</t>
        </is>
      </c>
      <c r="F20" s="12" t="inlineStr">
        <is>
          <t>2026-07-20</t>
        </is>
      </c>
    </row>
    <row r="21">
      <c r="A21" s="12" t="inlineStr">
        <is>
          <t>Kimi PR-1 (Sprint 2 cargas+manual)</t>
        </is>
      </c>
      <c r="B21" s="12" t="inlineStr">
        <is>
          <t>Pre-merge endpoints cargas/manual</t>
        </is>
      </c>
      <c r="C21" s="12" t="inlineStr">
        <is>
          <t>Auditoría de código &gt;=9.0 — paquete PR1-I (sprint2-cargas)</t>
        </is>
      </c>
      <c r="D21" s="12" t="inlineStr">
        <is>
          <t>Kimi (auditor externo)</t>
        </is>
      </c>
      <c r="E21" s="12" t="inlineStr">
        <is>
          <t>R: GO 9.2 pleno (CR-S3 firmada). Merge c1566dc</t>
        </is>
      </c>
      <c r="F21" s="12" t="inlineStr">
        <is>
          <t>2026-07-20</t>
        </is>
      </c>
    </row>
    <row r="22">
      <c r="A22" s="12" t="inlineStr">
        <is>
          <t>Kimi PR-1 (Sprint 3 abrir mes)</t>
        </is>
      </c>
      <c r="B22" s="12" t="inlineStr">
        <is>
          <t>Pre-merge apertura del mes</t>
        </is>
      </c>
      <c r="C22" s="12" t="inlineStr">
        <is>
          <t>Auditoría de código &gt;=9.0 — paquete PR1-I (sprint3-ciclo)</t>
        </is>
      </c>
      <c r="D22" s="12" t="inlineStr">
        <is>
          <t>Kimi (auditor externo)</t>
        </is>
      </c>
      <c r="E22" s="12" t="inlineStr">
        <is>
          <t>R: GO 9.4 (I 8.8 → R). Mergeado a main</t>
        </is>
      </c>
      <c r="F22" s="12" t="inlineStr">
        <is>
          <t>2026-07-21</t>
        </is>
      </c>
    </row>
    <row r="23">
      <c r="A23" s="12" t="inlineStr">
        <is>
          <t>Kimi PR-1 (Sprint 3 motor sugerido)</t>
        </is>
      </c>
      <c r="B23" s="12" t="inlineStr">
        <is>
          <t>Pre-merge motor del sugerido</t>
        </is>
      </c>
      <c r="C23" s="12" t="inlineStr">
        <is>
          <t>Auditoría celda a celda &gt;=9.0 — paquete PR1-I (sprint3-motor)</t>
        </is>
      </c>
      <c r="D23" s="12" t="inlineStr">
        <is>
          <t>Kimi (auditor externo)</t>
        </is>
      </c>
      <c r="E23" s="12" t="inlineStr">
        <is>
          <t>I: GO 9.2 (auditoría celda a celda). Merge autorizado por CEO.</t>
        </is>
      </c>
      <c r="F23" s="12" t="inlineStr">
        <is>
          <t>2026-07-21</t>
        </is>
      </c>
    </row>
    <row r="24">
      <c r="A24" s="12" t="inlineStr">
        <is>
          <t>Kimi PLAN (Sprint 3 acotar+aprobar)</t>
        </is>
      </c>
      <c r="B24" s="12" t="inlineStr">
        <is>
          <t>Pre-código incremento acotar/aprobar</t>
        </is>
      </c>
      <c r="C24" s="12" t="inlineStr">
        <is>
          <t>Auditoría del PLAN &gt;=9.0 antes de construir (merge crítico: aprobación de presupuesto + multi-doc)</t>
        </is>
      </c>
      <c r="D24" s="12" t="inlineStr">
        <is>
          <t>Kimi (auditor externo)</t>
        </is>
      </c>
      <c r="E24" s="12" t="inlineStr">
        <is>
          <t>I: GO 9.2 (PLAN). M-1/M-2 incorporados sin re-auditoría. Construir con TDD.</t>
        </is>
      </c>
      <c r="F24" s="12" t="inlineStr">
        <is>
          <t>2026-07-21</t>
        </is>
      </c>
    </row>
    <row r="25">
      <c r="A25" s="12" t="inlineStr">
        <is>
          <t>Kimi PR-1 (Sprint 3 acotar+aprobar código)</t>
        </is>
      </c>
      <c r="B25" s="12" t="inlineStr">
        <is>
          <t>Pre-merge acotar/aprobar (PR #21)</t>
        </is>
      </c>
      <c r="C25" s="12" t="inlineStr">
        <is>
          <t>Auditoría de código &gt;=9.0: transacción multi-doc (regla 8), saga O1, convergencia en 2 puntos de fallo</t>
        </is>
      </c>
      <c r="D25" s="12" t="inlineStr">
        <is>
          <t>Kimi (auditor externo)</t>
        </is>
      </c>
      <c r="E25" s="12" t="inlineStr">
        <is>
          <t>I: GO 9.5 (gate código). Merge 885d32e autorizado. 1 Baja higiene → S4-00.</t>
        </is>
      </c>
      <c r="F25" s="12" t="inlineStr">
        <is>
          <t>2026-07-21</t>
        </is>
      </c>
    </row>
    <row r="26">
      <c r="A26" s="12" t="inlineStr">
        <is>
          <t>Kimi PLAN (Sprint 4 cierre+conciliación)</t>
        </is>
      </c>
      <c r="B26" s="12" t="inlineStr">
        <is>
          <t>Pre-código cierre/conciliación</t>
        </is>
      </c>
      <c r="C26" s="12" t="inlineStr">
        <is>
          <t>Auditoría del PLAN &gt;=9.0 (merge crítico: cierre multi-doc regla 8 + histórico inmutable + F-14)</t>
        </is>
      </c>
      <c r="D26" s="12" t="inlineStr">
        <is>
          <t>Kimi (auditor externo)</t>
        </is>
      </c>
      <c r="E26" s="12" t="inlineStr">
        <is>
          <t>R: GO 9.4 (I 8.5 NO-GO → R). Plan aprobado, construir con TDD. 8 tests exigidos para el gate de código.</t>
        </is>
      </c>
      <c r="F26" s="12" t="inlineStr">
        <is>
          <t>2026-07-21</t>
        </is>
      </c>
    </row>
    <row r="27">
      <c r="A27" s="12" t="inlineStr">
        <is>
          <t>Kimi PR-1 (Sprint 4 cierre código)</t>
        </is>
      </c>
      <c r="B27" s="12" t="inlineStr">
        <is>
          <t>Pre-merge cierre/conciliación (PR #22)</t>
        </is>
      </c>
      <c r="C27" s="12" t="inlineStr">
        <is>
          <t>Auditoría de código &gt;=9.0: 8 tests contra replica set (regla 8) + saga O1 en 2 puntos de fallo</t>
        </is>
      </c>
      <c r="D27" s="12" t="inlineStr">
        <is>
          <t>Kimi (auditor externo)</t>
        </is>
      </c>
      <c r="E27" s="12" t="inlineStr">
        <is>
          <t>I: GO 9.4 (gate código). Merge 9c62966 autorizado. 8/8 tests real-mongo. 3 Bajas → S4-02/S4-03.</t>
        </is>
      </c>
      <c r="F27" s="12" t="inlineStr">
        <is>
          <t>2026-07-21</t>
        </is>
      </c>
    </row>
    <row r="28">
      <c r="A28" s="12" t="inlineStr">
        <is>
          <t>Kimi PLAN (Sprint 4 Vista Control)</t>
        </is>
      </c>
      <c r="B28" s="12" t="inlineStr">
        <is>
          <t>Pre-código Vista Control</t>
        </is>
      </c>
      <c r="C28" s="12" t="inlineStr">
        <is>
          <t>Auditoría del PLAN &gt;=9.0: cálculo % ejecutado/disponible/semáforo (decisión CEO gate completo)</t>
        </is>
      </c>
      <c r="D28" s="12" t="inlineStr">
        <is>
          <t>Kimi (auditor externo)</t>
        </is>
      </c>
      <c r="E28" s="12" t="inlineStr">
        <is>
          <t>I: GO 9.3 (PLAN, sin hallazgos M/A). 3 Bajas → TDD. Construir.</t>
        </is>
      </c>
      <c r="F28" s="12" t="inlineStr">
        <is>
          <t>2026-07-22</t>
        </is>
      </c>
    </row>
    <row r="29">
      <c r="A29" s="12" t="inlineStr">
        <is>
          <t>Kimi PR-1 (Sprint 4 Vista Control código)</t>
        </is>
      </c>
      <c r="B29" s="12" t="inlineStr">
        <is>
          <t>Pre-merge Vista Control (PR #23)</t>
        </is>
      </c>
      <c r="C29" s="12" t="inlineStr">
        <is>
          <t>Auditoría de código &gt;=9.0: % ejecutado/disponible/semáforo, 8 tests + 3 Bajas</t>
        </is>
      </c>
      <c r="D29" s="12" t="inlineStr">
        <is>
          <t>Kimi (auditor externo)</t>
        </is>
      </c>
      <c r="E29" s="12" t="inlineStr">
        <is>
          <t>I: GO 9.4 (gate código). 8/8 tests + 3 Bajas. Baja nueva B-1 (fail-loud caja) aplicada pre-merge. Merge autorizado (Kimi).</t>
        </is>
      </c>
      <c r="F29" s="12" t="inlineStr">
        <is>
          <t>2026-07-22</t>
        </is>
      </c>
    </row>
    <row r="30">
      <c r="A30" s="12" t="inlineStr">
        <is>
          <t>Kimi PLAN (Sprint 4 C1 categorías)</t>
        </is>
      </c>
      <c r="B30" s="12" t="inlineStr">
        <is>
          <t>Pre-código C1</t>
        </is>
      </c>
      <c r="C30" s="12" t="inlineStr">
        <is>
          <t>Auditoría del PLAN &gt;=9.0: CRUD categorías + CR-S4 (catálogo+RBAC) + re-seed</t>
        </is>
      </c>
      <c r="D30" s="12" t="inlineStr">
        <is>
          <t>Kimi (auditor externo)</t>
        </is>
      </c>
      <c r="E30" s="12" t="inlineStr">
        <is>
          <t>I: GO 9.2 (PLAN, sin hallazgos M/A). 5 Bajas B-1..B-5 a incorporar en TDD; verificación en I-PR1 sin re-auditoría de plan. Autorizado CEO</t>
        </is>
      </c>
      <c r="F30" s="12" t="inlineStr">
        <is>
          <t>2026-07-22</t>
        </is>
      </c>
    </row>
    <row r="31">
      <c r="A31" s="12" t="inlineStr">
        <is>
          <t>Kimi PR-1 (Sprint 4 C1 código)</t>
        </is>
      </c>
      <c r="B31" s="12" t="inlineStr">
        <is>
          <t>Pre-merge C1 rubros (PR #24)</t>
        </is>
      </c>
      <c r="C31" s="12" t="inlineStr">
        <is>
          <t>Auditoría de código &gt;=9.0: B-1..B-5 incorporadas, fail-closed O1, RBAC rubros:gestionar, re-seed con reporte — paquete PR1-I</t>
        </is>
      </c>
      <c r="D31" s="12" t="inlineStr">
        <is>
          <t>Kimi (auditor externo)</t>
        </is>
      </c>
      <c r="E31" s="12" t="inlineStr">
        <is>
          <t>I: GO 9.4 (gate código). 9/9 tests + B-1..B-5; B-1 nueva (URI por env) aplicada pre-merge. Merge 126ac29 autorizado CEO</t>
        </is>
      </c>
      <c r="F31" s="12" t="inlineStr">
        <is>
          <t>2026-07-22</t>
        </is>
      </c>
    </row>
    <row r="32">
      <c r="A32" s="12" t="inlineStr">
        <is>
          <t>Kimi PLAN (Sprint 5 C3 auto-clasificación)</t>
        </is>
      </c>
      <c r="B32" s="12" t="inlineStr">
        <is>
          <t>Pre-código C3</t>
        </is>
      </c>
      <c r="C32" s="12" t="inlineStr">
        <is>
          <t>Auditoría del PLAN &gt;=9.0: coherencia tipo_tx↔tipo_rubro, guarda inactivos en reglas, regla 4 en reclasificación, CR-S5 (33→36 + reglas:gestionar)</t>
        </is>
      </c>
      <c r="D32" s="12" t="inlineStr">
        <is>
          <t>Kimi (auditor externo)</t>
        </is>
      </c>
      <c r="E32" s="12" t="inlineStr">
        <is>
          <t>I: GO 9.3 (PLAN, sin hallazgos M/A). D1-D5 aprobadas; 2 Bajas B-1 (revalidar D1 al activar) y B-2 (sellar clasificada_por/at en aplicar-pendientes) a TDD. Autorizado CEO</t>
        </is>
      </c>
      <c r="F32" s="12" t="inlineStr">
        <is>
          <t>2026-07-22</t>
        </is>
      </c>
    </row>
    <row r="33">
      <c r="A33" s="12" t="inlineStr">
        <is>
          <t>Kimi PR-1 (Sprint 5 C3 código)</t>
        </is>
      </c>
      <c r="B33" s="12" t="inlineStr">
        <is>
          <t>Pre-merge C3 reglas (PR #25)</t>
        </is>
      </c>
      <c r="C33" s="12" t="inlineStr">
        <is>
          <t>Auditoría de código &gt;=9.0: B-1/B-2 incorporadas, normalización única, D1/D2 en todas las vías, sellado aplicar-pendientes — paquete PR1-I</t>
        </is>
      </c>
      <c r="D33" s="12" t="inlineStr">
        <is>
          <t>Kimi (auditor externo)</t>
        </is>
      </c>
      <c r="E33" s="12" t="inlineStr">
        <is>
          <t>I: GO 9.4 (gate código). 11/11 tests + B-1/B-2; B-1 nueva (simetría D2) aplicada pre-merge. Merge 7253bd5 autorizado CEO</t>
        </is>
      </c>
      <c r="F33" s="12" t="inlineStr">
        <is>
          <t>2026-07-22</t>
        </is>
      </c>
    </row>
    <row r="34">
      <c r="A34" s="12" t="inlineStr">
        <is>
          <t>Kimi PR-1 (Sprint 4 deuda S4-00/S4-06)</t>
        </is>
      </c>
      <c r="B34" s="12" t="inlineStr">
        <is>
          <t>Pre-merge deuda técnica (PR #26)</t>
        </is>
      </c>
      <c r="C34" s="12" t="inlineStr">
        <is>
          <t>Auditoría de código &gt;=9.0: acotar transaccional (S4-00), TOCTOU cierre/reapertura (B-2), test step-up (B-3) — prescripciones de Kimi</t>
        </is>
      </c>
      <c r="D34" s="12" t="inlineStr">
        <is>
          <t>Kimi (auditor externo)</t>
        </is>
      </c>
      <c r="E34" s="12" t="inlineStr">
        <is>
          <t>Aprobado 9.5/10 — GO merge</t>
        </is>
      </c>
      <c r="F34" s="12" t="inlineStr">
        <is>
          <t>2026-07-22</t>
        </is>
      </c>
    </row>
    <row r="35">
      <c r="A35" s="12" t="inlineStr">
        <is>
          <t>Kimi PLAN (Sprint 6 C4 ajuste de caja)</t>
        </is>
      </c>
      <c r="B35" s="12" t="inlineStr">
        <is>
          <t>Pre-código C4</t>
        </is>
      </c>
      <c r="C35" s="12" t="inlineStr">
        <is>
          <t>Auditoría del PLAN &gt;=9.0: D1 upsert saldos_banco vs serie, D2 guardas de fecha, O1 mono-doc, CR-S6 (36→37 + caja:reportar)</t>
        </is>
      </c>
      <c r="D35" s="12" t="inlineStr">
        <is>
          <t>Kimi (auditor externo)</t>
        </is>
      </c>
      <c r="E35" s="12" t="inlineStr">
        <is>
          <t>I: GO 9.3 (PLAN). D1-D6 aprobadas; 1 Baja B-1 (upsert atómico posicional) incorporada al construir. Autorizado CEO</t>
        </is>
      </c>
      <c r="F35" s="12" t="inlineStr">
        <is>
          <t>2026-07-23</t>
        </is>
      </c>
    </row>
    <row r="36">
      <c r="A36" s="12" t="inlineStr">
        <is>
          <t>Kimi PR-1 (Sprint 6 C4 código)</t>
        </is>
      </c>
      <c r="B36" s="12" t="inlineStr">
        <is>
          <t>Pre-merge C4 (PR #27)</t>
        </is>
      </c>
      <c r="C36" s="12" t="inlineStr">
        <is>
          <t>Auditoría de código &gt;=9.0: B-1 atomicidad posicional, O1 por banco, D2/D3/D4, CR-S6 (37 + caja:reportar), cero cambios en conciliación — paquete PR1-I</t>
        </is>
      </c>
      <c r="D36" s="12" t="inlineStr">
        <is>
          <t>Kimi (auditor externo)</t>
        </is>
      </c>
      <c r="E36" s="12" t="inlineStr">
        <is>
          <t>CEO gate-waiver 2026-07-23: merge autorizado por el CEO con Kimi ausente (vuelve 25-jul). CI 6/6, GO PLAN 9.3, B-1 incorporada. Auditoría Kimi de código RETROACTIVA pendiente (fix-forward si &lt;9.0)</t>
        </is>
      </c>
      <c r="F36" s="12" t="inlineStr">
        <is>
          <t>2026-07-23 (retro pend.)</t>
        </is>
      </c>
    </row>
    <row r="37">
      <c r="A37" s="12" t="inlineStr">
        <is>
          <t>Kimi PLAN (Sprint 5 C9 Pagos de la semana)</t>
        </is>
      </c>
      <c r="B37" s="12" t="inlineStr">
        <is>
          <t>Pre-código S5-01/C9</t>
        </is>
      </c>
      <c r="C37" s="12" t="inlineStr">
        <is>
          <t>Auditoría del PLAN &gt;=9.0: PagoPlaneado + coherencia tipo (D1), veredicto reusa _caja_libro (D4), marcar-pagado multi-doc (D5), recorte D6, CR-S7 (37→40 + pagos:gestionar). Auditoría RETROACTIVA (Kimi vuelve 25-jul); construcción bajo GO del CEO</t>
        </is>
      </c>
      <c r="D37" s="12" t="inlineStr">
        <is>
          <t>Kimi (auditor externo)</t>
        </is>
      </c>
      <c r="E37" s="12" t="inlineStr">
        <is>
          <t>CEO gate-waiver 2026-07-23: PLAN aprobado por el CEO (GO de fase); auditoría Kimi pendiente</t>
        </is>
      </c>
      <c r="F37" s="12" t="inlineStr">
        <is>
          <t>2026-07-23</t>
        </is>
      </c>
    </row>
    <row r="38">
      <c r="A38" s="12" t="inlineStr">
        <is>
          <t>Kimi PR-1 (Sprint 5 C9 código)</t>
        </is>
      </c>
      <c r="B38" s="12" t="inlineStr">
        <is>
          <t>Pre-merge C9 (PR #29)</t>
        </is>
      </c>
      <c r="C38" s="12" t="inlineStr">
        <is>
          <t>Auditoría de código &gt;=9.0 RETROACTIVA (Kimi vuelve 25-jul): PagoPlaneado + D1, veredicto reusa _caja_libro (D4), marcar-pagado multi-doc+O1 (D5), CR-S7 (37→40 + pagos:gestionar). Construido/mergeado bajo GO del CEO por fase (gate-waiver trazable, fix-forward si &lt;9.0)</t>
        </is>
      </c>
      <c r="D38" s="12" t="inlineStr">
        <is>
          <t>Kimi (auditor externo)</t>
        </is>
      </c>
      <c r="E38" s="12" t="inlineStr">
        <is>
          <t>CEO gate-waiver 2026-07-23: construido y mergeado bajo GO del CEO. CI 6/6, suite 439 passed. Auditoría Kimi pendiente</t>
        </is>
      </c>
      <c r="F38" s="12" t="inlineStr">
        <is>
          <t>2026-07-23</t>
        </is>
      </c>
    </row>
    <row r="39">
      <c r="A39" s="12" t="inlineStr">
        <is>
          <t>Kimi (Cockpit COCK-00 fundación cuentas)</t>
        </is>
      </c>
      <c r="B39" s="12" t="inlineStr">
        <is>
          <t>Pre-merge fundación (PR #31)</t>
        </is>
      </c>
      <c r="C39" s="12" t="inlineStr">
        <is>
          <t>Auditoría de código &gt;=9.0: plan de cuentas 3 niveles + codigo/tipo + grupo ingresos, semilla 42, sin tocar datos prod. CEO gate-waiver 2026-07-23; auditoría Kimi pendiente</t>
        </is>
      </c>
      <c r="D39" s="12" t="inlineStr">
        <is>
          <t>Kimi (auditor externo)</t>
        </is>
      </c>
      <c r="E39" s="12" t="inlineStr">
        <is>
          <t>CEO gate-waiver 2026-07-23: mergeado bajo GO del CEO. CI 8/8. Auditoría Kimi pendiente</t>
        </is>
      </c>
      <c r="F39" s="12" t="inlineStr">
        <is>
          <t>2026-07-23</t>
        </is>
      </c>
    </row>
    <row r="40">
      <c r="A40" s="12" t="inlineStr">
        <is>
          <t>Kimi (Cockpit COCK-01/02 motor de proyección C7)</t>
        </is>
      </c>
      <c r="B40" s="12" t="inlineStr">
        <is>
          <t>Pre-merge motor C7 (PR pendiente)</t>
        </is>
      </c>
      <c r="C40" s="12" t="inlineStr">
        <is>
          <t>Auditoría de código &gt;=9.0: motor compute-only (2 vías discriminado, caja veraz, semanas exactas, Auteco saldo rodante, escenarios, horizonte 180m) + ModeloMoto/ParametrosProyeccion administrables + CR-COCK (40→44 + proyeccion:gestionar). Construido bajo GO del CEO por fase (Kimi vuelve 25-jul).</t>
        </is>
      </c>
      <c r="D40" s="12" t="inlineStr">
        <is>
          <t>Kimi (auditor externo)</t>
        </is>
      </c>
      <c r="E40" s="12" t="inlineStr">
        <is>
          <t>CEO gate-waiver 2026-07-23: construido bajo GO del CEO (TDD, 476 verdes, ruff limpio). Auditoría Kimi RETROACTIVA pendiente (fix-forward si &lt;9.0)</t>
        </is>
      </c>
      <c r="F40" s="12" t="inlineStr">
        <is>
          <t>2026-07-23</t>
        </is>
      </c>
    </row>
    <row r="41">
      <c r="A41" s="12" t="inlineStr">
        <is>
          <t>Kimi AVANCES jue-vie (retro)</t>
        </is>
      </c>
      <c r="B41" s="12" t="inlineStr">
        <is>
          <t>Retro 2026-07-23/24: motor C7 + C4 caja + C9 pagos + COCK-00 + cockpit</t>
        </is>
      </c>
      <c r="C41" s="12" t="inlineStr">
        <is>
          <t>Auditoria retroactiva &gt;=9.0; autodivulga omisiones motor C7 (cartera previa + IVA)</t>
        </is>
      </c>
      <c r="D41" s="12" t="inlineStr">
        <is>
          <t>Kimi (auditor externo)</t>
        </is>
      </c>
      <c r="E41" s="12" t="inlineStr">
        <is>
          <t>Enviado - pendiente respuesta</t>
        </is>
      </c>
      <c r="F41" s="12" t="inlineStr">
        <is>
          <t>2026-07-25</t>
        </is>
      </c>
    </row>
    <row r="42">
      <c r="A42" s="12" t="inlineStr">
        <is>
          <t>Kimi PR Fidelidad PR-1 (cartera previa)</t>
        </is>
      </c>
      <c r="B42" s="12" t="inlineStr">
        <is>
          <t>Post-codigo PR-1</t>
        </is>
      </c>
      <c r="C42" s="12" t="inlineStr">
        <is>
          <t>Auditoria &gt;=9.0 caja/motor; suma recaudo previo</t>
        </is>
      </c>
      <c r="D42" s="12" t="inlineStr">
        <is>
          <t>Kimi (auditor externo)</t>
        </is>
      </c>
      <c r="E42" s="12" t="inlineStr">
        <is>
          <t>Pendiente - merge bajo GO CEO</t>
        </is>
      </c>
      <c r="F42" s="12" t="inlineStr">
        <is>
          <t>2026-07-25</t>
        </is>
      </c>
    </row>
    <row r="43">
      <c r="A43" s="12" t="inlineStr">
        <is>
          <t>Kimi PR Fidelidad PR-3 (golden-master)</t>
        </is>
      </c>
      <c r="B43" s="12" t="inlineStr">
        <is>
          <t>Post-codigo PR-3</t>
        </is>
      </c>
      <c r="C43" s="12" t="inlineStr">
        <is>
          <t>Paridad motor&lt;-&gt;simular al peso (dif 0.042 COP)</t>
        </is>
      </c>
      <c r="D43" s="12" t="inlineStr">
        <is>
          <t>Kimi (auditor externo)</t>
        </is>
      </c>
      <c r="E43" s="12" t="inlineStr">
        <is>
          <t>Pendiente - merge bajo GO CEO</t>
        </is>
      </c>
      <c r="F43" s="12" t="inlineStr">
        <is>
          <t>2026-07-25</t>
        </is>
      </c>
    </row>
    <row r="44">
      <c r="A44" s="12" t="inlineStr">
        <is>
          <t>Kimi PR-2 IVA/C11 (carga facturas + liquidacion + egreso DIAN + periodo configurable + fondo + vista)</t>
        </is>
      </c>
      <c r="B44" s="12" t="inlineStr">
        <is>
          <t>Post-codigo PR-2 (3 merges: c162b85, 32b1c1b, b2acc74)</t>
        </is>
      </c>
      <c r="C44" s="12" t="inlineStr">
        <is>
          <t>Auditoria &gt;=9.0 codigo critico de dinero: liquidacion por periodo con arrastre, egreso IVA en caja (fecha DIAN real), periodo configurable, fondo de provision. Paridad golden-master intacta.</t>
        </is>
      </c>
      <c r="D44" s="12" t="inlineStr">
        <is>
          <t>Kimi (auditor externo)</t>
        </is>
      </c>
      <c r="E44" s="12" t="inlineStr">
        <is>
          <t>CEO gate-waiver 2026-07-25: construido/mergeado bajo GO del CEO (TDD, backend 521 passed, frontend build+51 vitest+biome verdes, ruff limpio). Auditoria Kimi RETROACTIVA pendiente (fix-forward si &lt;9.0)</t>
        </is>
      </c>
      <c r="F44" s="12" t="inlineStr">
        <is>
          <t>2026-07-25</t>
        </is>
      </c>
    </row>
    <row r="45">
      <c r="A45" s="12" t="inlineStr">
        <is>
          <t>Kimi DASH-01/COCK-09 (agregación operativa + actuals/rolling forecast)</t>
        </is>
      </c>
      <c r="B45" s="12" t="inlineStr">
        <is>
          <t>Post-código (main df45509 + c6149c5)</t>
        </is>
      </c>
      <c r="C45" s="12" t="inlineStr">
        <is>
          <t>Auditoría &gt;=9.0: cartera por añada (invariante vs cartera_activa), colocación; caja real de libro por mes + rolling forecast re-anclado (ancla cerrado/movimientos configurable). Golden-master intacto.</t>
        </is>
      </c>
      <c r="D45" s="12" t="inlineStr">
        <is>
          <t>Kimi (auditor externo)</t>
        </is>
      </c>
      <c r="E45" s="12" t="inlineStr">
        <is>
          <t>CEO gate-waiver 2026-07-25: construido/mergeado bajo GO del CEO (TDD, backend 74 + frontend 53 verdes, ruff/biome limpios). Auditoría Kimi RETROACTIVA pendiente (fix-forward si &lt;9.0)</t>
        </is>
      </c>
      <c r="F45" s="12" t="inlineStr">
        <is>
          <t>2026-07-25</t>
        </is>
      </c>
    </row>
    <row r="46">
      <c r="A46" s="12" t="inlineStr">
        <is>
          <t>Kimi aging LoanTape SISMO-V3 (mora por tramo)</t>
        </is>
      </c>
      <c r="B46" s="12" t="inlineStr">
        <is>
          <t>Post-código (main 355dbed)</t>
        </is>
      </c>
      <c r="C46" s="12" t="inlineStr">
        <is>
          <t>Auditoría &gt;=9.0: entidad LoanTapeCredito + parse (transforma no adivina) + upsert por corte + derivación de aging por tramo (determinista, de datos reales SISMO-V3). Sin inventar cifras.</t>
        </is>
      </c>
      <c r="D46" s="12" t="inlineStr">
        <is>
          <t>Kimi (auditor externo)</t>
        </is>
      </c>
      <c r="E46" s="12" t="inlineStr">
        <is>
          <t>CEO gate-waiver 2026-07-26: construido/mergeado bajo GO del CEO (TDD, backend 34 + frontend 53 verdes, ruff/biome limpios). Auditoría Kimi RETROACTIVA pendiente.</t>
        </is>
      </c>
      <c r="F46" s="12" t="inlineStr">
        <is>
          <t>2026-07-26</t>
        </is>
      </c>
    </row>
    <row r="47">
      <c r="A47" s="12" t="inlineStr">
        <is>
          <t>Kimi fix dedup Global66 (cargo/reversa mismo ID nativo)</t>
        </is>
      </c>
      <c r="B47" s="12" t="inlineStr">
        <is>
          <t>Post-codigo (commit 6088a51)</t>
        </is>
      </c>
      <c r="C47" s="12" t="inlineStr">
        <is>
          <t>Auditoria &gt;=9.0: flujo critico cargas. ID nativo Global66 identifica operacion logica no linea de ledger (pago+reversa comparten ID); fix generaliza ordinal A-01 a Global66 (ref|ordinal). Verificado en prod: pares 36666302/36666694 con id_banco distinto, ambas patas caja. Suite 542 passed.</t>
        </is>
      </c>
      <c r="D47" s="12" t="inlineStr">
        <is>
          <t>Kimi (auditor externo)</t>
        </is>
      </c>
      <c r="E47" s="12" t="inlineStr">
        <is>
          <t>CEO gate-waiver 2026-07-26: corregido/verificado bajo GO del CEO (TDD rojo-&gt;verde, suite 542 passed, ruff limpio). Auditoria Kimi RETROACTIVA pendiente.</t>
        </is>
      </c>
      <c r="F47" s="12" t="inlineStr">
        <is>
          <t>2026-07-26</t>
        </is>
      </c>
    </row>
    <row r="48">
      <c r="A48" s="12" t="inlineStr">
        <is>
          <t>Kimi reglas Global66 (auto-clasificacion C3 egresos)</t>
        </is>
      </c>
      <c r="B48" s="12" t="inlineStr">
        <is>
          <t>Post-codigo (commit 7a27333)</t>
        </is>
      </c>
      <c r="C48" s="12" t="inlineStr">
        <is>
          <t>Auditoria &gt;=9.0: 34 reglas egreso genericas (sin PII, Ley 1581), mapeo a taxonomia; reclasificacion aplicar_pendientes sella docs (regla 4/B-2); dry-run 0 socios mal clasificados; socios-&gt;CXC preservado (a manual).</t>
        </is>
      </c>
      <c r="D48" s="12" t="inlineStr">
        <is>
          <t>Kimi (auditor externo)</t>
        </is>
      </c>
      <c r="E48" s="12" t="inlineStr">
        <is>
          <t>CEO gate-waiver 2026-07-26: sembrado/reclasificado bajo GO del CEO (TDD, suite verde, ruff limpio, dry-run read-only previo). Kimi RETROACTIVO pendiente.</t>
        </is>
      </c>
      <c r="F48" s="12" t="inlineStr">
        <is>
          <t>2026-07-26</t>
        </is>
      </c>
    </row>
    <row r="49">
      <c r="A49" s="12" t="inlineStr">
        <is>
          <t>Kimi carga curada Flujo de pagos deudas</t>
        </is>
      </c>
      <c r="B49" s="12" t="inlineStr">
        <is>
          <t>Post-codigo (commit 821026e)</t>
        </is>
      </c>
      <c r="C49" s="12" t="inlineStr">
        <is>
          <t>Auditoria &gt;=9.0: parser transforma-no-adivina (regla 7), mapeo categoria-&gt;rubro del Plan de Cuentas (fail-loud), dedup idempotente por ID nativo/huella, presupuestal neto (ingreso=neto real, sin doble conteo con SISMO). 1270 movs, 0 errores, neto verificado.</t>
        </is>
      </c>
      <c r="D49" s="12" t="inlineStr">
        <is>
          <t>Kimi (auditor externo)</t>
        </is>
      </c>
      <c r="E49" s="12" t="inlineStr">
        <is>
          <t>CEO gate-waiver 2026-07-26: cargado bajo GO del CEO tras dry-run read-only mostrado y aprobado (TDD 6 tests, suite verde, ruff limpio). Kimi RETROACTIVO pendiente.</t>
        </is>
      </c>
      <c r="F49" s="12" t="inlineStr">
        <is>
          <t>2026-07-26</t>
        </is>
      </c>
    </row>
    <row r="50">
      <c r="A50" s="12" t="inlineStr">
        <is>
          <t>Kimi reclasificacion aportes de capital</t>
        </is>
      </c>
      <c r="B50" s="12" t="inlineStr">
        <is>
          <t>Post-datos (op de datos, sin commit por PII)</t>
        </is>
      </c>
      <c r="C50" s="12" t="inlineStr">
        <is>
          <t>Auditoria &gt;=9.0: aportes de inversionistas fuera de Recaudo operativo; caja invariante; rubro no operativo; dry-run confirmo los 8 movimientos exactos antes de aplicar.</t>
        </is>
      </c>
      <c r="D50" s="12" t="inlineStr">
        <is>
          <t>Kimi (auditor externo)</t>
        </is>
      </c>
      <c r="E50" s="12" t="inlineStr">
        <is>
          <t>CEO gate-waiver 2026-07-26: reclasificado bajo GO del CEO (decisiones via AskUserQuestion, dry-run mostrado). Kimi RETROACTIVO pendiente.</t>
        </is>
      </c>
      <c r="F50" s="12" t="inlineStr">
        <is>
          <t>2026-07-26</t>
        </is>
      </c>
    </row>
    <row r="51">
      <c r="A51" s="12" t="inlineStr">
        <is>
          <t>Kimi alineacion Plan de Cuentas</t>
        </is>
      </c>
      <c r="B51" s="12" t="inlineStr">
        <is>
          <t>Post-codigo (commit 0502aff)</t>
        </is>
      </c>
      <c r="C51" s="12" t="inlineStr">
        <is>
          <t>Auditoria &gt;=9.0: poblado de codigo/grupo/tipo desde el Plan de Cuentas; correccion de grupos (Recaudo, Dotacion); dup Arriendos desactivado solo si 0 txs; no renombra; idempotente; dry-run mostrado antes de aplicar.</t>
        </is>
      </c>
      <c r="D51" s="12" t="inlineStr">
        <is>
          <t>Kimi (auditor externo)</t>
        </is>
      </c>
      <c r="E51" s="12" t="inlineStr">
        <is>
          <t>CEO gate-waiver 2026-07-26: aplicado bajo GO CEO (A+B+C) tras dry-run. Kimi RETROACTIVO pendiente.</t>
        </is>
      </c>
      <c r="F51" s="12" t="inlineStr">
        <is>
          <t>2026-07-26</t>
        </is>
      </c>
    </row>
    <row r="52">
      <c r="A52" s="12" t="inlineStr">
        <is>
          <t>GATE-WAIVER D2-backend</t>
        </is>
      </c>
      <c r="B52" s="12" t="inlineStr">
        <is>
          <t>Pre-merge PR #43</t>
        </is>
      </c>
      <c r="C52" s="12" t="inlineStr">
        <is>
          <t>CI Actions bloqueado por billing de la org (minutos agotados, ajeno a D2). Control compensatorio: gates corridos localmente verdes (pytest 672/61, ruff check, gitleaks sin leaks en commits D2, runtime import, frontend build, motor.py cero diffs). Kimi ausente -&gt; GO CEO habilita merge; auditoria Kimi retroactiva pendiente.</t>
        </is>
      </c>
      <c r="D52" s="12" t="inlineStr">
        <is>
          <t>CEO (Andres)</t>
        </is>
      </c>
      <c r="E52" s="12" t="inlineStr">
        <is>
          <t>Waiver aprobado</t>
        </is>
      </c>
      <c r="F52" s="12" t="inlineStr">
        <is>
          <t>2026-07-28</t>
        </is>
      </c>
    </row>
    <row r="53">
      <c r="A53" s="12" t="inlineStr">
        <is>
          <t>GATE-WAIVER E2-backend</t>
        </is>
      </c>
      <c r="B53" s="12" t="inlineStr">
        <is>
          <t>Pre-merge PR #46</t>
        </is>
      </c>
      <c r="C53" s="12" t="inlineStr">
        <is>
          <t>PR crítico (parsers PDF DIAN + RBAC/PII Ley 1581 + migración real). Kimi ausente (PAQUETE.pdf PR1-I listo, sin RESPUESTA). GO directo del CEO habilita merge. Controles compensatorios verdes: 728 tests, ruff format+check, pip-audit sin CVE (pdfplumber 0.11.9), gitleaks, motor.py cero diffs, y A14 verificado EN PROD (foto pre/post idéntica bit a bit). Auditoría Kimi retroactiva pendiente. NO se afirma que Kimi aprobó.</t>
        </is>
      </c>
      <c r="D53" s="12" t="inlineStr">
        <is>
          <t>CEO (Andres)</t>
        </is>
      </c>
      <c r="E53" s="12" t="inlineStr">
        <is>
          <t>Waiver aprobado</t>
        </is>
      </c>
      <c r="F53" s="12" t="inlineStr">
        <is>
          <t>2026-07-30</t>
        </is>
      </c>
    </row>
    <row r="54">
      <c r="A54" s="12" t="inlineStr">
        <is>
          <t>GATE-KIMI E2-backend</t>
        </is>
      </c>
      <c r="B54" s="12" t="inlineStr">
        <is>
          <t>Retroactivo post-merge PR #46</t>
        </is>
      </c>
      <c r="C54" s="12" t="inlineStr">
        <is>
          <t>Kimi 9.3/10 GO, SIN P0 ni P1. Hallazgos low B-1/B-2/B-3 corregidos en rama fix/e2-followup-kimi (URI por env no argv en 4 migraciones; test fail-safe de periodicidad; docstring de reversa exacto 4 claves + tipo_contribuyente). Certificado 9.3 reemplaza el waiver previo.</t>
        </is>
      </c>
      <c r="D54" s="12" t="inlineStr">
        <is>
          <t>Kimi + CEO (Andres)</t>
        </is>
      </c>
      <c r="E54" s="12" t="inlineStr">
        <is>
          <t>GO 9.3/10</t>
        </is>
      </c>
      <c r="F54" s="12" t="inlineStr">
        <is>
          <t>2026-07-30</t>
        </is>
      </c>
    </row>
    <row r="55">
      <c r="A55" s="12" t="inlineStr">
        <is>
          <t>COND O-1 (C11 retroactivo)</t>
        </is>
      </c>
      <c r="B55" s="12" t="inlineStr">
        <is>
          <t>Antes de encender IVA_ALIMENTA_PROYECCION en PROD</t>
        </is>
      </c>
      <c r="C55" s="12" t="inlineStr">
        <is>
          <t>La auditoria retroactiva de C11 PR-2/PR-2b (liquidacion + puente C11&lt;-&gt;C7) es REQUISITO para encender IVA_ALIMENTA_PROYECCION en produccion. NO encender antes, ni en pruebas contra PROD. Hoy la compuerta esta apagada (default) y asi se queda.</t>
        </is>
      </c>
      <c r="D55" s="12" t="inlineStr">
        <is>
          <t>CEO (Andres)</t>
        </is>
      </c>
      <c r="E55" s="12" t="inlineStr">
        <is>
          <t>PENDIENTE — BLOQUEA el encendido</t>
        </is>
      </c>
      <c r="F55" s="12" t="inlineStr">
        <is>
          <t>2026-07-30</t>
        </is>
      </c>
    </row>
    <row r="56">
      <c r="A56" s="12" t="inlineStr">
        <is>
          <t>GATE-KIMI FIX-A</t>
        </is>
      </c>
      <c r="B56" s="12" t="inlineStr">
        <is>
          <t>Pre-merge PR #53</t>
        </is>
      </c>
      <c r="C56" s="12" t="inlineStr">
        <is>
          <t>PR critico (nucleo del dinero: guard es_sistema, conciliacion, idempotencia/saga, TOCTOU del ciclo). Verificacion directa del arquitecto sobre el diff real via API de GitHub, pieza por pieza contra su especificacion (etapa50/51), sin evidencia de segunda mano. CI 7/7 SUCCESS incl. backend-real-mongo (candados de carrera contra replica set real). Sin P0/P1/P2 abiertos. Disclosures honestos (fixture stale, bug latente get_pymongo_collection destapado por TDD, ruff format). Condiciones post-merge: solo deploy (no toca config ni datos).</t>
        </is>
      </c>
      <c r="D56" s="12" t="inlineStr">
        <is>
          <t>Kimi (arquitecto) + CEO (Andres)</t>
        </is>
      </c>
      <c r="E56" s="12" t="inlineStr">
        <is>
          <t>GO 9.5/10</t>
        </is>
      </c>
      <c r="F56" s="12" t="inlineStr">
        <is>
          <t>2026-08-02</t>
        </is>
      </c>
    </row>
    <row r="57">
      <c r="A57" s="12" t="inlineStr">
        <is>
          <t>GATE-KIMI PR-S3</t>
        </is>
      </c>
      <c r="B57" s="12" t="inlineStr">
        <is>
          <t>Pre-merge PR #52</t>
        </is>
      </c>
      <c r="C57" s="12" t="inlineStr">
        <is>
          <t>PR critico (flujo de cargas + storage externo). Gate del arquitecto 9.5/10 GO sobre el diff real + CI 7/7 SUCCESS (gitleaks, pip-audit, backend, backend-real-mongo, runtime-imports, frontend, Vercel). Subida fail-closed (antes de insertar, no re-sube). Condicion operativa: envs S3 + bucket Object Lock + IAM antes de usar /cargas en prod.</t>
        </is>
      </c>
      <c r="D57" s="12" t="inlineStr">
        <is>
          <t>Kimi (arquitecto) + CEO (Andres)</t>
        </is>
      </c>
      <c r="E57" s="12" t="inlineStr">
        <is>
          <t>GO 9.5/10</t>
        </is>
      </c>
      <c r="F57" s="12" t="inlineStr">
        <is>
          <t>2026-08-02</t>
        </is>
      </c>
    </row>
    <row r="58">
      <c r="A58" s="12" t="inlineStr">
        <is>
          <t>GATE-KIMI FIX-B</t>
        </is>
      </c>
      <c r="B58" s="12" t="inlineStr">
        <is>
          <t>Pre-merge PR #54</t>
        </is>
      </c>
      <c r="C58" s="12" t="inlineStr">
        <is>
          <t>PR critico (migracion de datos reales julio + exclusion de ingreso_real). Gate del arquitecto 9.5/10 GO sobre el diff real via API + numeros verificados contra PROD (egreso julio 372.200.776,84; residual &lt;1M; ingresos residual 0; ingreso_real 179.710.080,31 sin los 43,4M). CI 7/7 SUCCESS. Migraciones idempotentes/DRY-RUN/URI por env/foto antes-despues; motor.py cero diffs; catalogo eventos sin crecer. Set RUBROS_NEUTROS_INGRESO_REAL creado, listo para que CR-WAVA lo extienda.</t>
        </is>
      </c>
      <c r="D58" s="12" t="inlineStr">
        <is>
          <t>Kimi (arquitecto) + CEO (Andres)</t>
        </is>
      </c>
      <c r="E58" s="12" t="inlineStr">
        <is>
          <t>GO 9.5/10</t>
        </is>
      </c>
      <c r="F58" s="12" t="inlineStr">
        <is>
          <t>2026-08-03</t>
        </is>
      </c>
    </row>
    <row r="59">
      <c r="A59" s="12" t="inlineStr">
        <is>
          <t>GATE-KIMI FIX-H</t>
        </is>
      </c>
      <c r="B59" s="12" t="inlineStr">
        <is>
          <t>Pre-merge PR #55</t>
        </is>
      </c>
      <c r="C59" s="12" t="inlineStr">
        <is>
          <t>PR critico (migracion de datos reales: rename de rubro de sistema). Gate del arquitecto 9.5/10 GO al diff. Cierra bug del guard es_sistema (destino de recaudo bloqueado). Idempotente/DRY-RUN/saga O1/colision=no-toca; rubro_id intacto; ingreso_real sin cambio; catalogo sin crecer. CI 7/7 (real-mongo flake ajeno re-corrido a verde).</t>
        </is>
      </c>
      <c r="D59" s="12" t="inlineStr">
        <is>
          <t>Kimi (arquitecto) + CEO (Andres)</t>
        </is>
      </c>
      <c r="E59" s="12" t="inlineStr">
        <is>
          <t>GO 9.5/10</t>
        </is>
      </c>
      <c r="F59" s="12" t="inlineStr">
        <is>
          <t>2026-08-03</t>
        </is>
      </c>
    </row>
    <row r="60">
      <c r="A60" s="12" t="inlineStr">
        <is>
          <t>GATE-KIMI FIX-G1</t>
        </is>
      </c>
      <c r="B60" s="12" t="inlineStr">
        <is>
          <t>Pre-merge PR #56</t>
        </is>
      </c>
      <c r="C60" s="12" t="inlineStr">
        <is>
          <t>PR critico (edicion del presupuesto aprobado). Gate del arquitecto 9.5/10 GO al diff. Comentario obligatorio en ejecucion (422), sin transicion, reusa candados A-6 (re-read 409/push posicional/saga O1) + guarda TOCTOU. UI con comentario requerido. CI 7/7 SUCCESS incl. backend-real-mongo con los tests EN_EJECUCION. motor.py cero diffs, catalogo sin crecer.</t>
        </is>
      </c>
      <c r="D60" s="12" t="inlineStr">
        <is>
          <t>Kimi (arquitecto) + CEO (Andres)</t>
        </is>
      </c>
      <c r="E60" s="12" t="inlineStr">
        <is>
          <t>GO 9.5/10</t>
        </is>
      </c>
      <c r="F60" s="12" t="inlineStr">
        <is>
          <t>2026-08-03</t>
        </is>
      </c>
    </row>
    <row r="61">
      <c r="A61" s="12" t="inlineStr">
        <is>
          <t>GATE-KIMI FIX-I</t>
        </is>
      </c>
      <c r="B61" s="12" t="inlineStr">
        <is>
          <t>Pre-merge PR #57</t>
        </is>
      </c>
      <c r="C61" s="12" t="inlineStr">
        <is>
          <t>Higiene (flake de CI en el dedup S3). Gate del arquitecto 9.5/10 GO al diff. Causa raiz read-after-write causal gap; fix con read concern majority en la lectura F-02, sin tocar escritura ni logica. CI 7/7 SUCCESS incl. backend-real-mongo.</t>
        </is>
      </c>
      <c r="D61" s="12" t="inlineStr">
        <is>
          <t>Kimi (arquitecto) + CEO (Andres)</t>
        </is>
      </c>
      <c r="E61" s="12" t="inlineStr">
        <is>
          <t>GO 9.5/10</t>
        </is>
      </c>
      <c r="F61" s="12" t="inlineStr">
        <is>
          <t>2026-08-03</t>
        </is>
      </c>
    </row>
    <row r="62">
      <c r="A62" s="12" t="inlineStr">
        <is>
          <t>GATE-KIMI CR-WAVA</t>
        </is>
      </c>
      <c r="B62" s="12" t="inlineStr">
        <is>
          <t>Pre-merge PR #58</t>
        </is>
      </c>
      <c r="C62" s="12" t="inlineStr">
        <is>
          <t>PR critico (cierre de mes + capa aditiva de caja: dinero en transito Wava). Gate del arquitecto 9.6/10 GO sobre el diff real via API, seccion por seccion contra el I-PLAN (etapa53, §1-§9). Matematica del cierre certificada intacta (Opcion B: capa aditiva declarada, remanente derivado). body {transito_wava} al request_hash canonico (422/replay); persistencia en _cerrar; metadata mes.cerrado; saga O1 en cierre y reapertura-&gt;0 (candado F841 del restore). ingreso_real excluye Transito Wava + Ajuste por rubro_id (no infla recaudo). CI 7/7 SUCCESS incl. backend-real-mongo (7 tests: trampa banco↑/remanente↓/total igual, hash canonico, O1, cierre completo, heredado 0). motor.py cero diffs, catalogo eventos sin crecer. §5/§8.8 regla C3 automatica OMITIDA (R5: falta patron Wava real -&gt; clasificacion manual en agosto). Condiciones post-merge: migracion 20260803_wava_transito.py en PROD (DRY-RUN-&gt;visto-&gt;APPLY) + cierre julio transito_wava=37.280.415.</t>
        </is>
      </c>
      <c r="D62" s="12" t="inlineStr">
        <is>
          <t>Kimi (arquitecto) + CEO (Andres)</t>
        </is>
      </c>
      <c r="E62" s="12" t="inlineStr">
        <is>
          <t>GO 9.6/10</t>
        </is>
      </c>
      <c r="F62" s="12" t="inlineStr">
        <is>
          <t>2026-08-03</t>
        </is>
      </c>
    </row>
    <row r="63">
      <c r="A63" s="12" t="inlineStr">
        <is>
          <t>GATE-KIMI CR-WAVA-2</t>
        </is>
      </c>
      <c r="B63" s="12" t="inlineStr">
        <is>
          <t>Pre-merge PR #59</t>
        </is>
      </c>
      <c r="C63" s="12" t="inlineStr">
        <is>
          <t>PR critico (clasifica movimientos de dinero: hook de transito en cargas + aplicar_pendientes). Gate del arquitecto 9.5/10 GO al diff real + GO CEO. Hook ANTES de elegir_regla; sello de sistema (regla_id=None); AsignadorTransito con cache+descuento en batch (== cargas secuenciales, no sobre-asigna); es_transito_wava reusa la MISMA normalizar_texto (sin divergencia); fail-safe si el rubro no existe. Excluido de ingreso_real por rubro_id (no infla recaudo). CI 7/7 SUCCESS incl. backend-real-mongo (6 tests del hook en transaccion real). motor.py cero diffs, catalogo eventos sin crecer. Fold de seguridad: cryptography 48.0.1-&gt;50.0.0 (CVE externo 2026-08-03).</t>
        </is>
      </c>
      <c r="D63" s="12" t="inlineStr">
        <is>
          <t>Kimi (arquitecto) + CEO (Andres)</t>
        </is>
      </c>
      <c r="E63" s="12" t="inlineStr">
        <is>
          <t>GO 9.5/10</t>
        </is>
      </c>
      <c r="F63" s="12" t="inlineStr">
        <is>
          <t>2026-08-04</t>
        </is>
      </c>
    </row>
    <row r="64">
      <c r="A64" s="12" t="inlineStr">
        <is>
          <t>GATE-KIMI FIX-J</t>
        </is>
      </c>
      <c r="B64" s="12" t="inlineStr">
        <is>
          <t>Pre-merge PR #60</t>
        </is>
      </c>
      <c r="C64" s="12" t="inlineStr">
        <is>
          <t>PR critico (cierre de mes: guarda de orden + selector de objetivo). Gate del arquitecto 9.5/10 GO al diff + GO CEO. Guarda aditiva ANTES de la transaccion (predecesor EN_EJECUCION -&gt; 409); borradores no bloquean; matematica certificada (R_M/C_M/ajuste/LIFO) intacta. Frontend opera todo sobre el objetivo + nota de orden (doble capa con el 409). CI 7/7 SUCCESS incl. backend-real-mongo (caso b: predecesor sugerido cierra). motor.py cero diffs, catalogo eventos sin crecer.</t>
        </is>
      </c>
      <c r="D64" s="12" t="inlineStr">
        <is>
          <t>Kimi (arquitecto) + CEO (Andres)</t>
        </is>
      </c>
      <c r="E64" s="12" t="inlineStr">
        <is>
          <t>GO 9.5/10</t>
        </is>
      </c>
      <c r="F64" s="12" t="inlineStr">
        <is>
          <t>2026-08-04</t>
        </is>
      </c>
    </row>
    <row r="65">
      <c r="A65" s="12" t="inlineStr">
        <is>
          <t>GATE-KIMI UI-METAS</t>
        </is>
      </c>
      <c r="B65" s="12" t="inlineStr">
        <is>
          <t>Pre-merge PR #61</t>
        </is>
      </c>
      <c r="C65" s="12" t="inlineStr">
        <is>
          <t>PR (UI informativa de metas de ingreso; no toca backend ni motor). Gate del arquitecto 9.5/10 GO al diff + GO CEO. CRUD gated por proyeccion:gestionar (regla 9), montos string, validacion antes de llamar, % del backend, exclusion de neutros en real_ejecutado. CI 7/7 SUCCESS (real-mongo verde en rerun: el rojo fue el flake test_s3_dedup_no_re_sube, ajeno al PR frontend-only).</t>
        </is>
      </c>
      <c r="D65" s="12" t="inlineStr">
        <is>
          <t>Kimi (arquitecto) + CEO (Andres)</t>
        </is>
      </c>
      <c r="E65" s="12" t="inlineStr">
        <is>
          <t>GO 9.5/10</t>
        </is>
      </c>
      <c r="F65" s="12" t="inlineStr">
        <is>
          <t>2026-08-04</t>
        </is>
      </c>
    </row>
    <row r="66">
      <c r="A66" s="12" t="inlineStr">
        <is>
          <t>GATE-KIMI FIX-F</t>
        </is>
      </c>
      <c r="B66" s="12" t="inlineStr">
        <is>
          <t>Pre-merge PR #62</t>
        </is>
      </c>
      <c r="C66" s="12" t="inlineStr">
        <is>
          <t>PR critico (dinero: override del saldo de apertura). Gate del arquitecto 9.5/10 GO al diff + GO CEO. ciclo:config + step-up MFA + verify_origin; guardas 404/409/422/422; evento saldo_inicial.editado + saga O1. CI 7/7 SUCCESS incl. backend-real-mongo (sin flake). motor.py cero diffs, catalogo sin crecer.</t>
        </is>
      </c>
      <c r="D66" s="12" t="inlineStr">
        <is>
          <t>Kimi (arquitecto) + CEO (Andres)</t>
        </is>
      </c>
      <c r="E66" s="12" t="inlineStr">
        <is>
          <t>GO 9.5/10</t>
        </is>
      </c>
      <c r="F66" s="12" t="inlineStr">
        <is>
          <t>2026-08-04</t>
        </is>
      </c>
    </row>
    <row r="67">
      <c r="A67" s="12" t="inlineStr">
        <is>
          <t>GATE-KIMI FIX-L</t>
        </is>
      </c>
      <c r="B67" s="12" t="inlineStr">
        <is>
          <t>Pre-merge PR #63</t>
        </is>
      </c>
      <c r="C67" s="12" t="inlineStr">
        <is>
          <t>PR (rampa de unidades por mes en Supuestos; el motor la consume nativo, sin adivinar). Gate del arquitecto 9.5/10 GO al diff + GO CEO. motor.py cero diffs efectivos, golden intacto. Validacion _MES/&gt;=0, tests endpoint round-trip + 422. CI 7/7 SUCCESS incl. backend-real-mongo.</t>
        </is>
      </c>
      <c r="D67" s="12" t="inlineStr">
        <is>
          <t>Kimi (arquitecto) + CEO (Andres)</t>
        </is>
      </c>
      <c r="E67" s="12" t="inlineStr">
        <is>
          <t>GO 9.5/10</t>
        </is>
      </c>
      <c r="F67" s="12" t="inlineStr">
        <is>
          <t>2026-08-04</t>
        </is>
      </c>
    </row>
    <row r="68">
      <c r="A68" s="12" t="inlineStr">
        <is>
          <t>GATE-KIMI FIX-K</t>
        </is>
      </c>
      <c r="B68" s="12" t="inlineStr">
        <is>
          <t>Pre-merge PR #64</t>
        </is>
      </c>
      <c r="C68" s="12" t="inlineStr">
        <is>
          <t>PR critico (dato real Auteco + migracion de datos de PROD). Gate del arquitecto 9.5/10 GO al diff + GO CEO. 9 facturas reales del Excel del CEO; verificacion fail-loud de totales de control (regla 7); idempotente por numero; DRY-RUN default; URI por env; capital=saldo (plazo_base=150/tasa=0, no inventa interes); las 3 pagadas no se cargan. La reconciliacion D2 §4 netea -&gt; proyeccion pagos fijos sep-dic. motor.py cero diffs, catalogo eventos sin crecer. CI 7/7 SUCCESS incl. backend-real-mongo. DRY-RUN contra PROD: totales cuadran, crearia obligacion + 9 facturas (PROD hoy 0). APPLY (FIXK_APPLY=1) post-merge con visto del CEO.</t>
        </is>
      </c>
      <c r="D68" s="12" t="inlineStr">
        <is>
          <t>Kimi (arquitecto) + CEO (Andres)</t>
        </is>
      </c>
      <c r="E68" s="12" t="inlineStr">
        <is>
          <t>GO 9.5/10</t>
        </is>
      </c>
      <c r="F68" s="12" t="inlineStr">
        <is>
          <t>2026-08-04</t>
        </is>
      </c>
    </row>
    <row r="69">
      <c r="A69" s="12" t="inlineStr">
        <is>
          <t>GATE-KIMI D2-S7</t>
        </is>
      </c>
      <c r="B69" s="12" t="inlineStr">
        <is>
          <t>Pre-merge PR #65</t>
        </is>
      </c>
      <c r="C69" s="12" t="inlineStr">
        <is>
          <t>PR critico (dinero: pago de obligaciones con distincion de origen + reconciliacion de caja). Gate del arquitecto 9.5/10 GO al diff + GO CEO. Evento nuevo factura_obligacion.pagada DECLARADO antes y aprobado (59-&gt;60), anulacion lo reutiliza via metadata (regla 11). tercero excluido de la caja / roddos+pendiente si; saga O1 en pago y anulacion; dedup por numero; RBAC proyeccion:gestionar; montos string. motor.py cero diffs, golden intacto. CI 7/7 SUCCESS incl. backend (11m) + backend-real-mongo. Frontend suite 228/228, build tsc -b + biome limpios.</t>
        </is>
      </c>
      <c r="D69" s="12" t="inlineStr">
        <is>
          <t>Kimi (arquitecto) + CEO (Andres)</t>
        </is>
      </c>
      <c r="E69" s="12" t="inlineStr">
        <is>
          <t>GO 9.5/10</t>
        </is>
      </c>
      <c r="F69" s="12" t="inlineStr">
        <is>
          <t>2026-08-04</t>
        </is>
      </c>
    </row>
    <row r="70">
      <c r="A70" s="12" t="inlineStr">
        <is>
          <t>GATE-KIMI FIX-UI-1</t>
        </is>
      </c>
      <c r="B70" s="12" t="inlineStr">
        <is>
          <t>Pre-merge PR #66</t>
        </is>
      </c>
      <c r="C70" s="12" t="inlineStr">
        <is>
          <t>PR (UI: ancho completo de Proyecciones, sin logica). Gate del arquitecto 9.5/10 GO al diff + GO CEO. Fix por ruta (helper puro + test); sticky header/1a columna intactos; sin tocar motor ni datos. CI 7/7 SUCCESS. Preview de Vercel = artefacto visual para el CEO.</t>
        </is>
      </c>
      <c r="D70" s="12" t="inlineStr">
        <is>
          <t>Kimi (arquitecto) + CEO (Andres)</t>
        </is>
      </c>
      <c r="E70" s="12" t="inlineStr">
        <is>
          <t>GO 9.5/10</t>
        </is>
      </c>
      <c r="F70" s="12" t="inlineStr">
        <is>
          <t>2026-08-04</t>
        </is>
      </c>
    </row>
    <row r="71">
      <c r="A71" s="12" t="inlineStr">
        <is>
          <t>GATE-KIMI FIX-G2</t>
        </is>
      </c>
      <c r="B71" s="12" t="inlineStr">
        <is>
          <t>Pre-merge PR #67</t>
        </is>
      </c>
      <c r="C71" s="12" t="inlineStr">
        <is>
          <t>PR critico (dinero: crea el reverso). Gate del arquitecto 9.5/10 GO al diff + GO CEO. Contra-asiento inmutable (neto 0, revierte_id), guardas 422 bancaria/409 cerrado/409 doble/motivo 422, evento reusado via=contra_asiento (catalogo sin crecer), saga O1. GET lista para el panel. motor.py sin tocar. CI 7/7 SUCCESS incl. backend (12m) + backend-real-mongo. Frontend 234/234, build+biome limpios.</t>
        </is>
      </c>
      <c r="D71" s="12" t="inlineStr">
        <is>
          <t>Kimi (arquitecto) + CEO (Andres)</t>
        </is>
      </c>
      <c r="E71" s="12" t="inlineStr">
        <is>
          <t>GO 9.5/10</t>
        </is>
      </c>
      <c r="F71" s="12" t="inlineStr">
        <is>
          <t>2026-08-04</t>
        </is>
      </c>
    </row>
    <row r="72">
      <c r="A72" s="12" t="inlineStr">
        <is>
          <t>GATE-KIMI E1-P1</t>
        </is>
      </c>
      <c r="B72" s="12" t="inlineStr">
        <is>
          <t>Pre-merge PR #68</t>
        </is>
      </c>
      <c r="C72" s="12" t="inlineStr">
        <is>
          <t>PR (E1 P1: lector puro rubro-&gt;concepto; no ancla todavia). Gate del arquitecto 9.5/10 GO al diff + GO CEO, cero hallazgos. Mapeo seccion 10 exacto; A1 neutros por rubro_id antes de la regla de grupo; R-1/R-2 parqueados (1010 entero a pago_inventario / 4040 en sin_mapear); B12 ruidoso con codigos faltantes. Funcion pura Decimal determinista. motor.py cero diffs (R0), golden intacto, IVA apagada, catalogo sin crecer, aditivo puro. CI 7/7 SUCCESS (backend 11m21s + backend-real-mongo 2m8s + frontend + gitleaks + pip-audit + runtime-imports + Vercel). Kimi re-verifico la aritmetica B9 al peso.</t>
        </is>
      </c>
      <c r="D72" s="12" t="inlineStr">
        <is>
          <t>Kimi (arquitecto) + CEO (Andres)</t>
        </is>
      </c>
      <c r="E72" s="12" t="inlineStr">
        <is>
          <t>GO 9.5/10</t>
        </is>
      </c>
      <c r="F72" s="12" t="inlineStr">
        <is>
          <t>2026-08-05</t>
        </is>
      </c>
    </row>
    <row r="73">
      <c r="A73" s="12" t="inlineStr">
        <is>
          <t>GATE-WAIVER E1-P2</t>
        </is>
      </c>
      <c r="B73" s="12" t="inlineStr">
        <is>
          <t>Pre-merge PR #69</t>
        </is>
      </c>
      <c r="C73" s="12" t="inlineStr">
        <is>
          <t>PR critico (capa de anclaje: jerarquia §1 + Regla A + re-acumulacion de caja). Merge por EXCEPCION EXPLICITA del CEO (2026-08-06) SIN gate Kimi, documentada en planning/phases/e1-anclaje-ejecucion/auditorias/PR2-I/EXCEPCION-CEO.md. Controles compensatorios verdes: B1-B6 + A3 = 15/15, regresion 137 passed, motor.py cero diffs (R0), golden intacto, ruff check + format limpios, diff sin secretos (URI enmascarada ***, revision manual). CI 7/7 SUCCESS (gitleaks paso tras recuperarse el incidente de infra de GitHub; sin usar --admin). NO toca Auteco (pago_inventario/fondeo = D2). Paquete de gate PR2-I (SOLICITUD + EVIDENCIA + PAQUETE.pdf) preparado por si se corre la auditoria Kimi post-merge. NO se afirma que Kimi aprobo.</t>
        </is>
      </c>
      <c r="D73" s="12" t="inlineStr">
        <is>
          <t>CEO (Andres)</t>
        </is>
      </c>
      <c r="E73" s="12" t="inlineStr">
        <is>
          <t>Waiver aprobado (excepcion CEO SIN gate Kimi)</t>
        </is>
      </c>
      <c r="F73" s="12" t="inlineStr">
        <is>
          <t>2026-08-06</t>
        </is>
      </c>
    </row>
    <row r="74">
      <c r="A74" s="12" t="inlineStr">
        <is>
          <t>GATE-KIMI E1-P2</t>
        </is>
      </c>
      <c r="B74" s="12" t="inlineStr">
        <is>
          <t>Retroactivo post-merge PR #69</t>
        </is>
      </c>
      <c r="C74" s="12" t="inlineStr">
        <is>
          <t>Retro-gate del arquitecto sobre el diff real completo (2.693 lineas, 9 archivos): 9.5/10 GO, CERO hallazgos. Cierra la excepcion del CEO (GATE-WAIVER E1-P2). Verificado: jerarquia §1 exacta (cerrado-&gt;real; en ejecucion-&gt;Regla A; futuro con presupuesto-&gt;definido; futuro sin-&gt;motor), Regla A por concepto ejec+max(0,defi-ejec) (D-08); mecanica de caja correcta (delta de flujo por mes -&gt; reacumular -&gt; DESPUES reescribe campos por concepto, para que neto+Σegresos==flujo al peso -B6-; no reescribir dentro de reacumular porque D1 lo comparte); Auteco intacto (pago_inventario/fondeo del motor, D2 los posee); COCK-09×E1 = composicion documentada sin doble anclaje; anclas vacio -&gt; base bit a bit == golden (B1). Tests B1/B2/B3(ejec&gt;defi)/B4/B5/A3(julio real). R0: motor.py solo en comentarios del diff, cero cambios. Golden intacto, compuerta apagada, catalogo sin crecer, CI 7/7. Este certificado 9.5 reemplaza/cierra el waiver previo.</t>
        </is>
      </c>
      <c r="D74" s="12" t="inlineStr">
        <is>
          <t>Kimi (arquitecto) + CEO (Andres)</t>
        </is>
      </c>
      <c r="E74" s="12" t="inlineStr">
        <is>
          <t>GO 9.5/10 (retro — cierra la excepción)</t>
        </is>
      </c>
      <c r="F74" s="12" t="inlineStr">
        <is>
          <t>2026-08-06</t>
        </is>
      </c>
    </row>
    <row r="75">
      <c r="A75" s="12" t="inlineStr">
        <is>
          <t>GATE-KIMI E1-P3</t>
        </is>
      </c>
      <c r="B75" s="12" t="inlineStr">
        <is>
          <t>Pre-merge PR #70</t>
        </is>
      </c>
      <c r="C75" s="12" t="inlineStr">
        <is>
          <t>PR crítico (activa E1 en prod: precedencia motor→E1→D2 + loader + exclusión D2). Gate del arquitecto en 2 rondas: I 8.7/10 NO-GO por hallazgo C-1 (BLOQUEANTE, arquitectónico del plan §3/B7 aprobado por el propio auditor, NO de la implementación): pasar frozenset(anclas) completo a D2 sobre-excluía —E1 nunca ancla Auteco— y hacía desaparecer los pagos reales de FIX-K (sep $123.392.031, oct/nov/dic) al acotar presupuesto o entrar en ejecución. Fix C-1 (commit 18cbdb0): D2 solo excluye meses CERRADOS (el pasado es del libro); en no-cerrados D2 aplica el pago real sin doble conteo (campos disjuntos, deltas aditivos). Test C-1 parametrizado RED(−10.000 paramétrico)→GREEN(−1.000.000 real). RE-GATE R 9.3/10 GO condicionado (diff limpio 3 archivos + regresión 890 passed + EVIDENCIA/PDF regenerados) — condiciones cumplidas + GO CEO. R0 motor.py cero diffs, golden intacto, ruff limpio, catálogo sin crecer, dos capas mongomock+real-mongo. Precisiones del arquitecto incorporadas (resolver de neutros al dominio; test régimen presupuesto).</t>
        </is>
      </c>
      <c r="D75" s="12" t="inlineStr">
        <is>
          <t>Kimi (arquitecto) + CEO (Andrés)</t>
        </is>
      </c>
      <c r="E75" s="12" t="inlineStr">
        <is>
          <t>GO 9.3/10 (I 8.7 NO-GO C-1 → R 9.3)</t>
        </is>
      </c>
      <c r="F75" s="12" t="inlineStr">
        <is>
          <t>2026-08-07</t>
        </is>
      </c>
    </row>
    <row r="76">
      <c r="A76" s="12" t="inlineStr">
        <is>
          <t>GATE-KIMI E1-P4</t>
        </is>
      </c>
      <c r="B76" s="12" t="inlineStr">
        <is>
          <t>Pre-merge PR #71</t>
        </is>
      </c>
      <c r="C76" s="12" t="inlineStr">
        <is>
          <t>PR (E1 P4: guarda B10 cerrado_sospechoso + PASO 0 higiene A2; no bloquea anclaje, no toca catálogo/MesControl). Gate del arquitecto 9.6/10 GO al diff + GO CEO, cero desviaciones. Verificación directa contra API: 10 archivos idénticos a la evidencia, motor.py ausente (R0), perímetro intacto (anclar/lectura/reconciliacion). B10 fronteras (50==50 no marca, D==0 no marca), PASO 0 por-mes + 2 capas Mongo, C-1 intacto (marca fuera de AnclaMes.estado), inercia definido-cerrado, B-1 cerrada con causa raíz. Regresión 901 passed / 0 fallos.</t>
        </is>
      </c>
      <c r="D76" s="12" t="inlineStr">
        <is>
          <t>Kimi (arquitecto) + CEO (Andrés)</t>
        </is>
      </c>
      <c r="E76" s="12" t="inlineStr">
        <is>
          <t>GO 9.6/10</t>
        </is>
      </c>
      <c r="F76" s="12" t="inlineStr">
        <is>
          <t>2026-08-07</t>
        </is>
      </c>
    </row>
    <row r="77">
      <c r="A77" s="12" t="inlineStr">
        <is>
          <t>GATE-KIMI E1-P5</t>
        </is>
      </c>
      <c r="B77" s="12" t="inlineStr">
        <is>
          <t>Pre-merge PR #72</t>
        </is>
      </c>
      <c r="C77" s="12" t="inlineStr">
        <is>
          <t>PR (E1 P5: exposición del shape en GET /proyeccion — meses_anclados + sin_mapear + mes_en_curso/B13; aditivo, no toca catálogo/MesControl/motor). Gate del arquitecto 9.6/10 GO al diff + GO CEO, cero desviaciones. Verificación directa contra API: 12 archivos +369/−30 idénticos a la evidencia, motor.py y perímetro (anclar/lectura/reconciliacion) ausentes del diff (R0). Los 5 puntos: sin_mapear sobre snapshot (reusa mapear_a_conceptos, R-2 aflora), B13 fecha máx. ISO + casos None, C-1 intacto (filtro D2 literal), aditividad en las 3 llamadas de _serializar, determinismo con override. Regresión 910 passed / 0 fallos.</t>
        </is>
      </c>
      <c r="D77" s="12" t="inlineStr">
        <is>
          <t>Kimi (arquitecto) + CEO (Andrés)</t>
        </is>
      </c>
      <c r="E77" s="12" t="inlineStr">
        <is>
          <t>GO 9.6/10</t>
        </is>
      </c>
      <c r="F77" s="12" t="inlineStr">
        <is>
          <t>2026-08-08</t>
        </is>
      </c>
    </row>
    <row r="78">
      <c r="A78" s="12" t="inlineStr">
        <is>
          <t>GATE-KIMI E1-P6</t>
        </is>
      </c>
      <c r="B78" s="12" t="inlineStr">
        <is>
          <t>Pre-merge PR #73</t>
        </is>
      </c>
      <c r="C78" s="12" t="inlineStr">
        <is>
          <t>PR (E1 P6, ÚLTIMA: frontend marcas de origen + mes en curso/B13 + sin_mapear + ampliación P6-b backend). Gate del arquitecto 9.4/10 GO — CIERRA EL ÉPICO E1 (6/6). Primer gate de frontend con evidencia visual: 3 capturas reales auditadas (con ejecución/corte sólido-punteado exacto + aritmética callout 168−41=127 · sospechoso ámbar/B10 · sin ciclo idéntico a hoy). Código vs PR (22 archivos, hunk P6-b línea a línea), motor/anclar/lectura/reconciliacion/MesControl/catálogo ausentes (R0). Aprobadas 2 decisiones (copy 'Resta' honesto; ampliación P6-b aditiva TDD 2 capas). 2 bajas no bloqueantes (B-1 scroll a resolución real, B-2 resta plana vs Regla A). vitest 248 · build+biome · backend 910/0.</t>
        </is>
      </c>
      <c r="D78" s="12" t="inlineStr">
        <is>
          <t>Kimi (arquitecto) + CEO (Andrés)</t>
        </is>
      </c>
      <c r="E78" s="12" t="inlineStr">
        <is>
          <t>GO 9.4/10 (cierra E1 6/6)</t>
        </is>
      </c>
      <c r="F78" s="12" t="inlineStr">
        <is>
          <t>2026-08-08</t>
        </is>
      </c>
    </row>
    <row r="79" s="13">
      <c r="A79" s="12" t="inlineStr">
        <is>
          <t>GATE-KIMI FIX-I2-II</t>
        </is>
      </c>
      <c r="B79" s="12" t="inlineStr">
        <is>
          <t>Pre-merge PR #75</t>
        </is>
      </c>
      <c r="C79" s="12" t="inlineStr">
        <is>
          <t>Fix del flake dedup F-02 (área crítica: cargas). Gate en 2 rondas: I 7.5 NO-GO (linearizable placebo, causa raíz sin validar e imposible bajo las premisas) → II 9.5 GO (causa raíz DEMOSTRADA: timestamps openpyxl + sha256 de bytes; fix del test determinista con crear=False; linearizable revertido → service.py = main). Prueba de hash doblemente verificada (dev + auditor). service.py ausente del PR. CI 8/8 verde. Recuperación del NO-GO citada por Kimi como el manual de depuración del proyecto.</t>
        </is>
      </c>
      <c r="D79" s="12" t="inlineStr">
        <is>
          <t>Kimi (arquitecto) + CEO (Andrés)</t>
        </is>
      </c>
      <c r="E79" s="12" t="inlineStr">
        <is>
          <t>GO 9.5/10 (I 7.5 NO-GO → II 9.5)</t>
        </is>
      </c>
      <c r="F79" s="12" t="inlineStr">
        <is>
          <t>2026-08-08</t>
        </is>
      </c>
    </row>
    <row r="80" s="13">
      <c r="A80" s="12" t="inlineStr">
        <is>
          <t>GATE-KIMI UX-I</t>
        </is>
      </c>
      <c r="B80" s="12" t="inlineStr">
        <is>
          <t>Pre-merge PR #76</t>
        </is>
      </c>
      <c r="C80" s="12" t="inlineStr">
        <is>
          <t>Copys UX: español de negocio en el texto visible (solo frontend, cero lógica/variables/backend). Gate del arquitecto 9.5/10 GO (checkpoint previo 9.1 con 1 precisión obligatoria: 'umbral' = 2 sentidos, clasificar no reemplazar a ciegas). Precisión verificada por Kimi en los píxeles: Cierre→«margen» (no 'mínimo de caja'; bug semántico evitado), Proyecciones→«mínimo de caja» en sus 5 lugares + «Autonomía de caja». Perímetro probado vs API (33 archivos, 0 backend/libs; etiqueta cambia, clave conc.umbral intacta). 3 puntos de lupa OK (clasificación completa incl. 3er sentido DIAN; fidelidad R5 «Reverso: no se borra nada»/«Provisión… no afecta la caja»; alcance puro-texto). 3 decisiones de criterio declaradas y aprobadas (Autonomía→ReportesPage, margen→ReporteCajaCard, tooltip NIIF). vitest 248 · build+biome · CI todo verde.</t>
        </is>
      </c>
      <c r="D80" s="12" t="inlineStr">
        <is>
          <t>Kimi (arquitecto) + CEO (Andrés)</t>
        </is>
      </c>
      <c r="E80" s="12" t="inlineStr">
        <is>
          <t>GO 9.5/10</t>
        </is>
      </c>
      <c r="F80" s="12" t="inlineStr">
        <is>
          <t>2026-08-09</t>
        </is>
      </c>
    </row>
    <row r="81" s="13">
      <c r="A81" s="12" t="inlineStr">
        <is>
          <t>GATE-KIMI DEPB-LOTE</t>
        </is>
      </c>
      <c r="B81" s="12" t="inlineStr">
        <is>
          <t>Retrospectivo (lote #10-19)</t>
        </is>
      </c>
      <c r="C81" s="12" t="inlineStr">
        <is>
          <t>Lote Dependabot cerrado (8 merged + 4 cerrados; 2 PR manuales #77/#78). Gate único del arquitecto 9.5/10 GO, verificado contra main (requirements.txt/package.json/tsconfig confirman cada versión). 4 decisiones de cierre aprobadas: cryptography #11 obsoleto (main ya 50 por CVE, mergear 49 = downgrade); jsdom manual a 29.1.1 (jsdom30 exige Node≥22 vs CI Node20, causa raíz demostrada); TS7 quita baseUrl (paths relativo resuelve @/); biome saltado (migrate bug recommended→preset:none apaga el linter; dev-only, se queda 1.9.4). fastapi 0.137 router.routes→árbol no nos afecta (no iteramos .routes). Backlog post-G1: subir CI a Node 22 LTS (Node20 deprecado).</t>
        </is>
      </c>
      <c r="D81" s="12" t="inlineStr">
        <is>
          <t>Kimi (arquitecto) + CEO (Andrés)</t>
        </is>
      </c>
      <c r="E81" s="12" t="inlineStr">
        <is>
          <t>GO 9.5/10 (lote cerrado)</t>
        </is>
      </c>
      <c r="F81" s="12" t="inlineStr">
        <is>
          <t>2026-08-09</t>
        </is>
      </c>
    </row>
    <row r="82">
      <c r="A82" s="12" t="inlineStr">
        <is>
          <t>C2P-EXCEL-DIAN</t>
        </is>
      </c>
      <c r="B82" s="12" t="inlineStr">
        <is>
          <t>PR #90 import Excel DIAN (parser de cargas = critico)</t>
        </is>
      </c>
      <c r="C82" s="12" t="inlineStr">
        <is>
          <t>GATE-WAIVER</t>
        </is>
      </c>
      <c r="D82" s="12" t="inlineStr">
        <is>
          <t>GO explicito del CEO 2026-08-11 (chat); auditoria Kimi RETROACTIVA pendiente. Evidencia: 932 passed backend + 257 frontend + dry-run 528/528 filas del export real.</t>
        </is>
      </c>
      <c r="E82" s="12" t="inlineStr">
        <is>
          <t>2026-08-11</t>
        </is>
      </c>
    </row>
    <row r="83">
      <c r="A83" s="12" t="inlineStr">
        <is>
          <t>AUTECO-2NITS</t>
        </is>
      </c>
      <c r="B83" s="12" t="inlineStr">
        <is>
          <t>PR #91 dos NITs Auteco en auto-deduccion (modulo facturas = critico)</t>
        </is>
      </c>
      <c r="C83" s="12" t="inlineStr">
        <is>
          <t>GATE-WAIVER</t>
        </is>
      </c>
      <c r="D83" s="12" t="inlineStr">
        <is>
          <t>GO explicito del CEO 2026-08-11 (chat: 'corrijamos eso'); auditoria Kimi RETROACTIVA pendiente. Evidencia: 934 passed + cruce al peso de las 9 facturas Auteco vs Excel DIAN.</t>
        </is>
      </c>
      <c r="E83" s="12" t="inlineStr">
        <is>
          <t>GO (waiver)</t>
        </is>
      </c>
      <c r="F83" s="12" t="inlineStr">
        <is>
          <t>2026-08-11</t>
        </is>
      </c>
    </row>
    <row r="84">
      <c r="A84" s="12" t="inlineStr">
        <is>
          <t>SALDO-FAVOR-DECLARADO</t>
        </is>
      </c>
      <c r="B84" s="12" t="inlineStr">
        <is>
          <t>PR saldo a favor declarado en la liquidacion (modulo IVA = critico)</t>
        </is>
      </c>
      <c r="C84" s="12" t="inlineStr">
        <is>
          <t>GATE-WAIVER</t>
        </is>
      </c>
      <c r="D84" s="12" t="inlineStr">
        <is>
          <t>GO explicito del CEO 2026-08-11 (eligio la opcion A en el chat); auditoria Kimi RETROACTIVA pendiente. Evidencia: suite completa verde + verificacion en prod con el liquidador nuevo.</t>
        </is>
      </c>
      <c r="E84" s="12" t="inlineStr">
        <is>
          <t>GO (waiver)</t>
        </is>
      </c>
      <c r="F84" s="12" t="inlineStr">
        <is>
          <t>2026-08-11</t>
        </is>
      </c>
    </row>
    <row r="85">
      <c r="A85" s="12" t="inlineStr">
        <is>
          <t>PLAN-52</t>
        </is>
      </c>
      <c r="B85" s="12" t="inlineStr">
        <is>
          <t>PR segundo plan de pago por modelo (toca puente de proyeccion = critico)</t>
        </is>
      </c>
      <c r="C85" s="12" t="inlineStr">
        <is>
          <t>GATE-WAIVER</t>
        </is>
      </c>
      <c r="D85" s="12" t="inlineStr">
        <is>
          <t>GO explicito del CEO 2026-08-11 (dio los datos y pidio construir); auditoria Kimi RETROACTIVA pendiente. Evidencia: suite backend completa + golden master + candado de particion.</t>
        </is>
      </c>
      <c r="E85" s="12" t="inlineStr">
        <is>
          <t>GO (waiver)</t>
        </is>
      </c>
      <c r="F85" s="12" t="inlineStr">
        <is>
          <t>2026-08-11</t>
        </is>
      </c>
    </row>
    <row r="86">
      <c r="A86" s="12" t="inlineStr">
        <is>
          <t>FIX-TORNADO</t>
        </is>
      </c>
      <c r="B86" s="12" t="inlineStr">
        <is>
          <t>PR #94 tornado por la tuberia completa (proyeccion = critico)</t>
        </is>
      </c>
      <c r="C86" s="12" t="inlineStr">
        <is>
          <t>GATE-WAIVER</t>
        </is>
      </c>
      <c r="D86" s="12" t="inlineStr">
        <is>
          <t>GO explicito del CEO 2026-08-11 ('Debemos corregirlo'); auditoria Kimi RETROACTIVA pendiente. Evidencia: test de consistencia tornado==pantalla + verificacion en prod con deltas reales.</t>
        </is>
      </c>
      <c r="E86" s="12" t="inlineStr">
        <is>
          <t>GO (waiver)</t>
        </is>
      </c>
      <c r="F86" s="12" t="inlineStr">
        <is>
          <t>2026-08-11</t>
        </is>
      </c>
    </row>
    <row r="87">
      <c r="A87" s="12" t="inlineStr">
        <is>
          <t>GATE-KIMI-RETRO-IVA-PLANES</t>
        </is>
      </c>
      <c r="B87" s="12" t="inlineStr">
        <is>
          <t>Auditoria RETROACTIVA iva-planes-ago26 PR1-I (PRs #90/#91/#92/#93/#94)</t>
        </is>
      </c>
      <c r="C87" s="12" t="inlineStr">
        <is>
          <t>AUDITORIA-KIMI &gt;= 9.0</t>
        </is>
      </c>
      <c r="D87" s="12" t="inlineStr">
        <is>
          <t>Kimi 2026-08-13: 9.4/10 GO — LOS 5 GATE-WAIVERS DEL 2026-08-11 QUEDAN SALDADOS (C2P-EXCEL-DIAN, AUTECO-2NITS, SALDO-FAVOR-DECLARADO, PLAN-52, FIX-TORNADO). 5 lupas respondidas; B-1 obligatoria (guard apache_por_mes) aplicada de inmediato; B-2 (validar digitos NIT config) queda en backlog. Respuesta completa en planning/phases/iva-planes-ago26/auditorias/PR1-I/RESPUESTA.md.</t>
        </is>
      </c>
      <c r="E87" s="12" t="inlineStr">
        <is>
          <t>GO 9.4</t>
        </is>
      </c>
      <c r="F87" s="12" t="inlineStr">
        <is>
          <t>2026-08-13</t>
        </is>
      </c>
    </row>
    <row r="88">
      <c r="A88" s="12" t="inlineStr">
        <is>
          <t>GATE-KIMI-RETRO-IVA-PLANES</t>
        </is>
      </c>
      <c r="B88" s="12" t="inlineStr">
        <is>
          <t>Auditoria RETROACTIVA iva-planes-ago26 PR1-I (PRs #90/#91/#92/#93/#94)</t>
        </is>
      </c>
      <c r="C88" s="12" t="inlineStr">
        <is>
          <t>AUDITORIA-KIMI &gt;= 9.0</t>
        </is>
      </c>
      <c r="D88" s="12" t="inlineStr">
        <is>
          <t>Kimi 2026-08-13: 9.4/10 GO — LOS 5 GATE-WAIVERS DEL 2026-08-11 QUEDAN SALDADOS (C2P-EXCEL-DIAN, AUTECO-2NITS, SALDO-FAVOR-DECLARADO, PLAN-52, FIX-TORNADO). 5 lupas respondidas; B-1 obligatoria (guard apache_por_mes) aplicada de inmediato; B-2 (validar digitos NIT config) queda en backlog. Respuesta completa en planning/phases/iva-planes-ago26/auditorias/PR1-I/RESPUESTA.md.</t>
        </is>
      </c>
      <c r="E88" s="12" t="inlineStr">
        <is>
          <t>GO 9.4</t>
        </is>
      </c>
      <c r="F88" s="12" t="inlineStr">
        <is>
          <t>2026-08-13</t>
        </is>
      </c>
    </row>
    <row r="89">
      <c r="A89" s="12" t="inlineStr">
        <is>
          <t>SUP-1</t>
        </is>
      </c>
      <c r="B89" s="12" t="inlineStr">
        <is>
          <t>PR #96 fix mora + tramos de crecimiento (motor y proyeccion = critico)</t>
        </is>
      </c>
      <c r="C89" s="12" t="inlineStr">
        <is>
          <t>GATE-WAIVER</t>
        </is>
      </c>
      <c r="D89" s="12" t="inlineStr">
        <is>
          <t>GO explicito del CEO 2026-08-17 (definio la semantica del delta y pidio las dos capacidades); auditoria Kimi RETROACTIVA pendiente. Evidencia: 991+263 verdes, golden master intacto, efecto medido contra PROD.</t>
        </is>
      </c>
      <c r="E89" s="12" t="inlineStr">
        <is>
          <t>GO (waiver)</t>
        </is>
      </c>
      <c r="F89" s="12" t="inlineStr">
        <is>
          <t>2026-08-17</t>
        </is>
      </c>
    </row>
    <row r="90">
      <c r="A90" s="12" t="inlineStr">
        <is>
          <t>SUP-2</t>
        </is>
      </c>
      <c r="B90" s="12" t="inlineStr">
        <is>
          <t>PR de SUP-2 (motor/proyeccion = critico)</t>
        </is>
      </c>
      <c r="C90" s="12" t="inlineStr">
        <is>
          <t>SIN KIMI (decision CEO)</t>
        </is>
      </c>
      <c r="D90" s="12" t="inlineStr">
        <is>
          <t>El CEO decidio 2026-08-22 no usar a Kimi en este tramo (esta en SISMO). La calidad la respalda la evidencia: TDD rojo-&gt;verde, suite completa, golden master intacto y efecto medido contra PROD antes de cada merge.</t>
        </is>
      </c>
      <c r="E90" s="12" t="inlineStr">
        <is>
          <t>GO CEO</t>
        </is>
      </c>
      <c r="F90" s="12" t="inlineStr">
        <is>
          <t>2026-08-22</t>
        </is>
      </c>
    </row>
    <row r="91">
      <c r="A91" s="12" t="inlineStr">
        <is>
          <t>SUP-3</t>
        </is>
      </c>
      <c r="B91" s="12" t="inlineStr">
        <is>
          <t>PR de SUP-3 (motor/proyeccion = critico)</t>
        </is>
      </c>
      <c r="C91" s="12" t="inlineStr">
        <is>
          <t>SIN KIMI (decision CEO)</t>
        </is>
      </c>
      <c r="D91" s="12" t="inlineStr">
        <is>
          <t>El CEO decidio 2026-08-22 no usar a Kimi en este tramo (esta en SISMO). La calidad la respalda la evidencia: TDD rojo-&gt;verde, suite completa, golden master intacto y efecto medido contra PROD antes de cada merge.</t>
        </is>
      </c>
      <c r="E91" s="12" t="inlineStr">
        <is>
          <t>GO CEO</t>
        </is>
      </c>
      <c r="F91" s="12" t="inlineStr">
        <is>
          <t>2026-08-22</t>
        </is>
      </c>
    </row>
    <row r="92">
      <c r="A92" s="12" t="inlineStr">
        <is>
          <t>SUP-4</t>
        </is>
      </c>
      <c r="B92" s="12" t="inlineStr">
        <is>
          <t>PR de SUP-4 (motor/proyeccion = critico)</t>
        </is>
      </c>
      <c r="C92" s="12" t="inlineStr">
        <is>
          <t>SIN KIMI (decision CEO)</t>
        </is>
      </c>
      <c r="D92" s="12" t="inlineStr">
        <is>
          <t>El CEO decidio 2026-08-22 no usar a Kimi en este tramo (esta en SISMO). La calidad la respalda la evidencia: TDD rojo-&gt;verde, suite completa, golden master intacto y efecto medido contra PROD antes de cada merge.</t>
        </is>
      </c>
      <c r="E92" s="12" t="inlineStr">
        <is>
          <t>GO CEO</t>
        </is>
      </c>
      <c r="F92" s="12" t="inlineStr">
        <is>
          <t>2026-08-22</t>
        </is>
      </c>
    </row>
    <row r="93">
      <c r="A93" s="12" t="inlineStr">
        <is>
          <t>CICLO-MENSUAL</t>
        </is>
      </c>
      <c r="B93" s="12" t="inlineStr">
        <is>
          <t>PR #100 — SUP-5 + las 8 piezas del ciclo mensual (motor/proyeccion = critico)</t>
        </is>
      </c>
      <c r="C93" s="12" t="inlineStr">
        <is>
          <t>SIN KIMI (decision CEO)</t>
        </is>
      </c>
      <c r="D93" s="12" t="inlineStr">
        <is>
          <t>El CEO decidio 2026-08-22 no usar a Kimi en este tramo (esta en SISMO); auditoria RETROACTIVA pendiente. La calidad la respalda la evidencia: contrato escrito y aprobado ANTES de construir (docs/COMPAS_Ciclo_Mensual.md), TDD rojo-&gt;verde en las 8 piezas, candado aritmetico sobre 144 meses x 3 escenarios x 3 capas, backend 1220 + frontend 286 verdes, golden master intacto (cada cambio del motor entra como parametro con default = artefacto) y los 3 deltas de agosto verificados al peso contra PROD read-only.</t>
        </is>
      </c>
      <c r="E93" s="12" t="inlineStr">
        <is>
          <t>GO CEO</t>
        </is>
      </c>
      <c r="F93" s="12" t="inlineStr">
        <is>
          <t>2026-08-23</t>
        </is>
      </c>
    </row>
    <row r="94">
      <c r="A94" s="12" t="inlineStr">
        <is>
          <t>RETRO-SUP2-CICLO</t>
        </is>
      </c>
      <c r="B94" s="12" t="inlineStr">
        <is>
          <t>Auditoria retroactiva Kimi de SUP-2..SUP-6 + ciclo P1-P7 (paga los waivers acumulados)</t>
        </is>
      </c>
      <c r="C94" s="12" t="inlineStr">
        <is>
          <t>KIMI &gt;= 9.0</t>
        </is>
      </c>
      <c r="D94" s="12" t="inlineStr">
        <is>
          <t>Paquete RETRO-I generado 2026-08-24; pendiente subir a Kimi y su nota. Hasta el gate: ninguna evolucion nueva del motor (criterio Kimi etapa75, aceptado).</t>
        </is>
      </c>
      <c r="E94" s="12" t="inlineStr">
        <is>
          <t>PENDIENTE</t>
        </is>
      </c>
    </row>
  </sheetData>
  <dataValidations count="1">
    <dataValidation sqref="E2:E16" showDropDown="0" showInputMessage="0" showErrorMessage="0" allowBlank="1" type="list" errorStyle="stop" operator="between">
      <formula1>"Pendiente,Aprobado,Rechazado"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D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12" min="1" max="1"/>
    <col width="80" customWidth="1" style="12" min="2" max="2"/>
    <col width="12" customWidth="1" style="12" min="3" max="3"/>
    <col width="25" customWidth="1" style="12" min="4" max="4"/>
  </cols>
  <sheetData>
    <row r="1" ht="15" customHeight="1" s="13">
      <c r="A1" s="17" t="inlineStr">
        <is>
          <t>#</t>
        </is>
      </c>
      <c r="B1" s="17" t="inlineStr">
        <is>
          <t>Punto del Definition of Done (Spec v1.1.2 §5)</t>
        </is>
      </c>
      <c r="C1" s="17" t="inlineStr">
        <is>
          <t>Estado</t>
        </is>
      </c>
      <c r="D1" s="17" t="inlineStr">
        <is>
          <t>Evidencia</t>
        </is>
      </c>
    </row>
    <row r="2" ht="15" customHeight="1" s="13">
      <c r="A2" s="18" t="n">
        <v>1</v>
      </c>
      <c r="B2" s="22" t="inlineStr">
        <is>
          <t>RBAC 4 roles + segregación con tests NEGATIVOS por rol (incluye export de Consulta denegado)</t>
        </is>
      </c>
      <c r="C2" s="18" t="inlineStr">
        <is>
          <t>Pendiente</t>
        </is>
      </c>
      <c r="D2" s="18" t="n"/>
    </row>
    <row r="3" ht="23.85" customHeight="1" s="13">
      <c r="A3" s="18" t="n">
        <v>2</v>
      </c>
      <c r="B3" s="22" t="inlineStr">
        <is>
          <t>Parsers de los 3 bancos con fixtures reales anonimizados, 0 duplicados en solape, 2 manuales coexisten, reproceso de carga fallida</t>
        </is>
      </c>
      <c r="C3" s="18" t="inlineStr">
        <is>
          <t>Pendiente</t>
        </is>
      </c>
      <c r="D3" s="18" t="inlineStr">
        <is>
          <t>Parsers 3 bancos + dedup 0-solape + 2 manuales: GO Kimi R-PR1 9.3. Falta fixtures reales anonimizados (S1-01) para cerrar.</t>
        </is>
      </c>
    </row>
    <row r="4" ht="23.85" customHeight="1" s="13">
      <c r="A4" s="18" t="n">
        <v>3</v>
      </c>
      <c r="B4" s="22" t="inlineStr">
        <is>
          <t>Ciclo presupuestal completo demostrado; sugerido == 4 columnas del Excel congelado (TOLERANCIA_CUADRE)</t>
        </is>
      </c>
      <c r="C4" s="18" t="inlineStr">
        <is>
          <t>Pendiente</t>
        </is>
      </c>
      <c r="D4" s="18" t="n"/>
    </row>
    <row r="5" ht="15" customHeight="1" s="13">
      <c r="A5" s="18" t="n">
        <v>4</v>
      </c>
      <c r="B5" s="22" t="inlineStr">
        <is>
          <t>Migración histórica conciliada contra el Excel; acta firmada por el Financiero</t>
        </is>
      </c>
      <c r="C5" s="18" t="inlineStr">
        <is>
          <t>Pendiente</t>
        </is>
      </c>
      <c r="D5" s="18" t="n"/>
    </row>
    <row r="6" ht="15" customHeight="1" s="13">
      <c r="A6" s="18" t="n">
        <v>5</v>
      </c>
      <c r="B6" s="22" t="inlineStr">
        <is>
          <t>Módulo IVA reproduce el cuatrimestre May–Ago 2026 con facturas reales</t>
        </is>
      </c>
      <c r="C6" s="18" t="inlineStr">
        <is>
          <t>Pendiente</t>
        </is>
      </c>
      <c r="D6" s="18" t="inlineStr">
        <is>
          <t>Módulo IVA construido (PR-2/C11, main c162b85..b2acc74): entidad Factura + liquidación por período con arrastre + egreso IVA en la caja en la fecha DIAN real + período configurable (cuatri/bimestral) + fondo de provisión + vista IVA. FALTA cargar las facturas reales de May-Ago 2026 para REPRODUCIR el cuatrimestre.</t>
        </is>
      </c>
    </row>
    <row r="7" ht="15" customHeight="1" s="13">
      <c r="A7" s="18" t="n">
        <v>6</v>
      </c>
      <c r="B7" s="22" t="inlineStr">
        <is>
          <t>Audit log con los 30 eventos (29 + extracto.cargado de CR-001) + test CI de inmutabilidad</t>
        </is>
      </c>
      <c r="C7" s="18" t="inlineStr">
        <is>
          <t>Cumplido</t>
        </is>
      </c>
      <c r="D7" s="18" t="inlineStr">
        <is>
          <t>Catálogo vivo: 47 eventos (29 Spec + extracto.cargado CR-001 + transaccion.creada CR-S2 + rubro.creado/editado CR-S4 + regla x3 CR-S5 + saldo_banco.reportado CR-S6 + pago_planeado x3 CR-S7 + modelo_moto x3 + parametros_proyeccion.actualizado CR-COCK + cartera_previa.cargada Fidelidad PR-1 + factura.anulada PR-2a + loantape.cargado aging) + test de inmutabilidad del audit_log (update/remove FALLA) verde en CI.</t>
        </is>
      </c>
    </row>
    <row r="8" ht="15" customHeight="1" s="13">
      <c r="A8" s="18" t="n">
        <v>7</v>
      </c>
      <c r="B8" s="22" t="inlineStr">
        <is>
          <t>Dashboard replica la hoja Inicio con cifras idénticas, incluido ingreso proyectado (M10)</t>
        </is>
      </c>
      <c r="C8" s="18" t="inlineStr">
        <is>
          <t>Pendiente</t>
        </is>
      </c>
      <c r="D8" s="18" t="inlineStr">
        <is>
          <t>Cockpit Inicio (pulso) + Dashboards construidos (COCK-05/07): KPIs y series del motor, cobranza, colocación, cartera por añada, mora por tramo (aging LoanTape SISMO-V3) y Realidad vs proyección (actuals + rolling forecast, COCK-09). FALTA M10 ingreso modo Excel + cifras idénticas a la hoja Inicio con datos reales.</t>
        </is>
      </c>
    </row>
    <row r="9" ht="15" customHeight="1" s="13">
      <c r="A9" s="18" t="n">
        <v>8</v>
      </c>
      <c r="B9" s="22" t="inlineStr">
        <is>
          <t>Suite verde en CI con pip-audit, gitleaks y Dependabot</t>
        </is>
      </c>
      <c r="C9" s="18" t="inlineStr">
        <is>
          <t>Cumplido</t>
        </is>
      </c>
      <c r="D9" s="18" t="inlineStr">
        <is>
          <t>CI 5 jobs verdes (run 29771391813): pip-audit --strict 0 CVEs, gitleaks, Dependabot activo; Kimi PR-I GO 9.5 (2026-07-20)</t>
        </is>
      </c>
    </row>
    <row r="10" ht="23.85" customHeight="1" s="13">
      <c r="A10" s="18" t="n">
        <v>9</v>
      </c>
      <c r="B10" s="22" t="inlineStr">
        <is>
          <t>Carga: 5.000 movimientos &lt; 30 s y p95 dashboard &lt; 2 s con 12 meses de volumen (5 reales + sintético)</t>
        </is>
      </c>
      <c r="C10" s="18" t="inlineStr">
        <is>
          <t>Pendiente</t>
        </is>
      </c>
      <c r="D10" s="18" t="n"/>
    </row>
    <row r="11" ht="15" customHeight="1" s="13">
      <c r="A11" s="18" t="n">
        <v>10</v>
      </c>
      <c r="B11" s="22" t="inlineStr">
        <is>
          <t>Restauración selectiva cronometrada contra instancia temporal tamaño producción; RTO medido</t>
        </is>
      </c>
      <c r="C11" s="18" t="inlineStr">
        <is>
          <t>Pendiente</t>
        </is>
      </c>
      <c r="D11" s="18" t="n"/>
    </row>
    <row r="12" ht="23.85" customHeight="1" s="13">
      <c r="A12" s="18" t="n">
        <v>11</v>
      </c>
      <c r="B12" s="22" t="inlineStr">
        <is>
          <t>Auth endurecida verificada: logout revoca, desactivado pierde acceso, MFA Admin/Directivo, backoff</t>
        </is>
      </c>
      <c r="C12" s="18" t="inlineStr">
        <is>
          <t>Cumplido</t>
        </is>
      </c>
      <c r="D12" s="18" t="inlineStr">
        <is>
          <t>PR-2 GO Kimi R-PR2 (2026-07-19): MFA TOTP+step-up+respaldo+HIBP+reset; auth endurecida (Sesion 2). Gates: Kimi PR-2 R Aprobado.</t>
        </is>
      </c>
    </row>
    <row r="13" ht="15" customHeight="1" s="13">
      <c r="A13" s="18" t="n">
        <v>12</v>
      </c>
      <c r="B13" s="22" t="inlineStr">
        <is>
          <t>Cabeceras de seguridad (CSP, HSTS, nosniff, frame-ancestors) con test en CI</t>
        </is>
      </c>
      <c r="C13" s="18" t="inlineStr">
        <is>
          <t>Cumplido</t>
        </is>
      </c>
      <c r="D13" s="18" t="inlineStr">
        <is>
          <t>PR-3 GO Kimi I-PR3 9.2 (2026-07-19): SecurityHeadersMiddleware (CSP/HSTS/nosniff/Referrer/frame-ancestors/X-Frame) + vercel.json SPA + 6 tests CI. | 20-jul: verificado en URL real https://compas-api-von1.onrender.com (CSP/HSTS/nosniff/DENY/no-referrer)</t>
        </is>
      </c>
    </row>
  </sheetData>
  <dataValidations count="1">
    <dataValidation sqref="C2:C13" showDropDown="0" showInputMessage="0" showErrorMessage="0" allowBlank="1" type="list" errorStyle="stop" operator="between">
      <formula1>"Pendiente,En curso,Cumplido"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12" min="1" max="1"/>
    <col width="60" customWidth="1" style="12" min="2" max="2"/>
    <col width="12" customWidth="1" style="12" min="3" max="4"/>
    <col width="18" customWidth="1" style="12" min="5" max="5"/>
    <col width="14" customWidth="1" style="12" min="6" max="6"/>
    <col width="30" customWidth="1" style="12" min="7" max="7"/>
  </cols>
  <sheetData>
    <row r="1" ht="15" customHeight="1" s="13">
      <c r="A1" s="17" t="inlineStr">
        <is>
          <t>CR</t>
        </is>
      </c>
      <c r="B1" s="17" t="inlineStr">
        <is>
          <t>Descripción</t>
        </is>
      </c>
      <c r="C1" s="17" t="inlineStr">
        <is>
          <t>Solicitante</t>
        </is>
      </c>
      <c r="D1" s="17" t="inlineStr">
        <is>
          <t>Fecha</t>
        </is>
      </c>
      <c r="E1" s="17" t="inlineStr">
        <is>
          <t>Estado</t>
        </is>
      </c>
      <c r="F1" s="17" t="inlineStr">
        <is>
          <t>Sprint destino</t>
        </is>
      </c>
      <c r="G1" s="17" t="inlineStr">
        <is>
          <t>Impacto declarado</t>
        </is>
      </c>
    </row>
    <row r="2" ht="23.85" customHeight="1" s="13">
      <c r="A2" s="18" t="inlineStr">
        <is>
          <t>CR-001</t>
        </is>
      </c>
      <c r="B2" s="22" t="inlineStr">
        <is>
          <t>Gestión de extractos mensuales como fuente de verificación y corrección (ExtractoMensual + verificación automática + regla de cierre)</t>
        </is>
      </c>
      <c r="C2" s="18" t="inlineStr">
        <is>
          <t>CEO</t>
        </is>
      </c>
      <c r="D2" s="18" t="inlineStr">
        <is>
          <t>2026-07-18</t>
        </is>
      </c>
      <c r="E2" s="18" t="inlineStr">
        <is>
          <t>Aprobado y firmado</t>
        </is>
      </c>
      <c r="F2" s="18" t="inlineStr">
        <is>
          <t>Sprint 4</t>
        </is>
      </c>
      <c r="G2" s="18" t="inlineStr">
        <is>
          <t>Ninguno (1–1,5 días dentro del buffer)</t>
        </is>
      </c>
    </row>
    <row r="3" ht="23.85" customHeight="1" s="13">
      <c r="A3" s="18" t="inlineStr">
        <is>
          <t>CR-002</t>
        </is>
      </c>
      <c r="B3" s="22" t="inlineStr">
        <is>
          <t>Errata documental v1.1.3 (8 ítems): catálogo 29-&gt;30; cookie Path /auth-&gt;/api/v1/auth (Spec §4 Y STACK §3); api.compas.roddos.com + Origin; convención UTC-aware; colección refresh_sessions (Spec §2.3/STACK §4.2); TTL denylist por tipo; secreto MONGODB_URI_AUDIT (STACK §5.1). De auditorías Kimi I-PLAN+R-PLAN. Ver docs/COMPAS_ERRATA_PENDIENTE_v1_1_3.md + E-9: eventos mfa.habilitado/mfa.reset (catalogo 30-&gt;32, Kimi M3 de PR-2).</t>
        </is>
      </c>
      <c r="C3" s="18" t="inlineStr">
        <is>
          <t>Auditoría Kimi / Tech Lead</t>
        </is>
      </c>
      <c r="D3" s="18" t="inlineStr">
        <is>
          <t>2026-07-18</t>
        </is>
      </c>
      <c r="E3" s="18" t="inlineStr">
        <is>
          <t>Borrador</t>
        </is>
      </c>
      <c r="F3" s="18" t="inlineStr">
        <is>
          <t>Sprint 0 (errata) / re-baseline v1.1.3</t>
        </is>
      </c>
      <c r="G3" s="18" t="inlineStr">
        <is>
          <t>Ninguno de decisión/costo; solo reconciliación documental. Ver docs/COMPAS_ERRATA_PENDIENTE_v1_1_3.md</t>
        </is>
      </c>
    </row>
    <row r="4">
      <c r="A4" s="18" t="inlineStr">
        <is>
          <t>CR-003</t>
        </is>
      </c>
      <c r="B4" s="22" t="inlineStr">
        <is>
          <t>Mecanismo de aprobacion del Gate G1: aprobador = CEO Andres (decision) + auditoria adversarial Kimi &gt;=9.0 (evidencia); deroga a Ivan como required reviewer (era nominal). Origen: A-01 Kimi I-PLAN 0b. Ver docs/cambios/CR-003-gate-g1-aprobador.md</t>
        </is>
      </c>
      <c r="C4" s="18" t="inlineStr">
        <is>
          <t>CEO</t>
        </is>
      </c>
      <c r="D4" s="18" t="inlineStr">
        <is>
          <t>2026-07-19</t>
        </is>
      </c>
      <c r="E4" s="18" t="inlineStr">
        <is>
          <t>Aprobado por el CEO</t>
        </is>
      </c>
      <c r="F4" s="18" t="inlineStr">
        <is>
          <t>Sprint 0b / re-baseline v1.1.3</t>
        </is>
      </c>
      <c r="G4" s="18" t="inlineStr">
        <is>
          <t>Debilita bus-factor (2do par humano); aceptado por el CEO, compensado por gate Kimi. Costo/plazo: ninguno.</t>
        </is>
      </c>
    </row>
    <row r="5">
      <c r="A5" s="12" t="inlineStr">
        <is>
          <t>CR-A2</t>
        </is>
      </c>
      <c r="B5" s="12" t="inlineStr">
        <is>
          <t>Dedup: huella con ordinal de ocurrencia (Kimi A-01) + análisis de colisión sobre fixtures reales</t>
        </is>
      </c>
      <c r="C5" s="12" t="inlineStr">
        <is>
          <t>Kimi (auditoría I-PR1) / Claude</t>
        </is>
      </c>
      <c r="D5" s="12" t="inlineStr">
        <is>
          <t>2026-07-20</t>
        </is>
      </c>
      <c r="E5" s="12" t="inlineStr">
        <is>
          <t>Aceptada por Kimi (GO R-PR1 9.3); análisis de colisión pendiente de fixtures (S1-01)</t>
        </is>
      </c>
      <c r="F5" s="12" t="inlineStr">
        <is>
          <t>Sprint 1/2</t>
        </is>
      </c>
      <c r="G5" s="12" t="inlineStr">
        <is>
          <t>Correctitud ya garantizada por el ordinal; el análisis solo cuantifica la frecuencia de colisión</t>
        </is>
      </c>
    </row>
    <row r="6">
      <c r="A6" s="12" t="inlineStr">
        <is>
          <t>CR-S2</t>
        </is>
      </c>
      <c r="B6" s="12" t="inlineStr">
        <is>
          <t>Evento transaccion.creada — rastro forense del POST manual (catálogo 30→31)</t>
        </is>
      </c>
      <c r="C6" s="12" t="inlineStr">
        <is>
          <t>Kimi (I-PR1 sprint2-cargas M-1) / Claude</t>
        </is>
      </c>
      <c r="D6" s="12" t="inlineStr">
        <is>
          <t>2026-07-20</t>
        </is>
      </c>
      <c r="E6" s="12" t="inlineStr">
        <is>
          <t>Aceptada por gate Kimi; folde a v1.1.3 junto con E-9</t>
        </is>
      </c>
      <c r="F6" s="12" t="inlineStr">
        <is>
          <t>Sprint 2</t>
        </is>
      </c>
      <c r="G6" s="12" t="inlineStr">
        <is>
          <t>Regla 11 y events.py actualizados; emitida en toda creación manual</t>
        </is>
      </c>
    </row>
    <row r="7">
      <c r="A7" s="12" t="inlineStr">
        <is>
          <t>CR-S3</t>
        </is>
      </c>
      <c r="B7" s="12" t="inlineStr">
        <is>
          <t>Gobernanza del inventario de secretos en repo (condición GO 9.2 sprint2)</t>
        </is>
      </c>
      <c r="C7" s="12" t="inlineStr">
        <is>
          <t>Kimi (R-PR1 sprint2) / Claude</t>
        </is>
      </c>
      <c r="D7" s="12" t="inlineStr">
        <is>
          <t>2026-07-20</t>
        </is>
      </c>
      <c r="E7" s="12" t="inlineStr">
        <is>
          <t>Aprobada (firma CEO 2026-07-20 en sesión). Condición del GO 9.2 CUMPLIDA.</t>
        </is>
      </c>
      <c r="F7" s="12" t="inlineStr">
        <is>
          <t>Sprint 2</t>
        </is>
      </c>
      <c r="G7" s="12" t="inlineStr">
        <is>
          <t>Allowlist path exacto verificado; regla de rotación; migrar a Secrets Manager/SOPS en go-live</t>
        </is>
      </c>
    </row>
    <row r="8">
      <c r="A8" s="12" t="inlineStr">
        <is>
          <t>CR-S4</t>
        </is>
      </c>
      <c r="B8" s="12" t="inlineStr">
        <is>
          <t>C1 categorías administrables: eventos rubro.creado/rubro.editado (catálogo 31→33) + permiso rubros:gestionar={financiero,admin}</t>
        </is>
      </c>
      <c r="C8" s="12" t="inlineStr">
        <is>
          <t>CEO (C1) / gate Kimi</t>
        </is>
      </c>
      <c r="D8" s="12" t="inlineStr">
        <is>
          <t>2026-07-22</t>
        </is>
      </c>
      <c r="E8" s="12" t="inlineStr">
        <is>
          <t>Aprobado vía gate Kimi (PLAN-I 9.2 + I-PR1 9.4) + autorización CEO; merge 126ac29 (PR #24)</t>
        </is>
      </c>
      <c r="F8" s="12" t="inlineStr">
        <is>
          <t>Sprint 4</t>
        </is>
      </c>
      <c r="G8" s="12" t="inlineStr">
        <is>
          <t>Regla 11 y permissions.py actualizados; re-seed taxonomía real corrido en prod</t>
        </is>
      </c>
    </row>
    <row r="9">
      <c r="A9" s="12" t="inlineStr">
        <is>
          <t>CR-S5</t>
        </is>
      </c>
      <c r="B9" s="12" t="inlineStr">
        <is>
          <t>C3 auto-clasificación: eventos regla.creada/editada/desactivada (catálogo 33→36) + permiso reglas:gestionar={financiero,admin}</t>
        </is>
      </c>
      <c r="C9" s="12" t="inlineStr">
        <is>
          <t>CEO (C3) / gate Kimi</t>
        </is>
      </c>
      <c r="D9" s="12" t="inlineStr">
        <is>
          <t>2026-07-22</t>
        </is>
      </c>
      <c r="E9" s="12" t="inlineStr">
        <is>
          <t>Aprobado vía gate Kimi (PLAN-I 9.3 + I-PR1 9.4) + autorización CEO; merge 7253bd5 (PR #25)</t>
        </is>
      </c>
      <c r="F9" s="12" t="inlineStr">
        <is>
          <t>Sprint 5</t>
        </is>
      </c>
      <c r="G9" s="12" t="inlineStr">
        <is>
          <t>Regla 11 y permissions.py actualizados; semilla ingresos→Recaudo corrida en prod</t>
        </is>
      </c>
    </row>
    <row r="10">
      <c r="A10" s="12" t="inlineStr">
        <is>
          <t>CR-S6</t>
        </is>
      </c>
      <c r="B10" s="12" t="inlineStr">
        <is>
          <t>C4 ajuste diario de caja: evento saldo_banco.reportado (catálogo 36→37) + capacidad caja:reportar={financiero,admin}</t>
        </is>
      </c>
      <c r="C10" s="12" t="inlineStr">
        <is>
          <t>CEO (C4) / Claude</t>
        </is>
      </c>
      <c r="D10" s="12" t="inlineStr">
        <is>
          <t>2026-07-23</t>
        </is>
      </c>
      <c r="E10" s="12" t="inlineStr">
        <is>
          <t>Declarado en PLAN-I sprint6-ajuste-caja — PENDIENTE gate Kimi (&gt;=9.0)</t>
        </is>
      </c>
      <c r="F10" s="12" t="inlineStr">
        <is>
          <t>Sprint 6</t>
        </is>
      </c>
      <c r="G10" s="12" t="inlineStr">
        <is>
          <t>Solo se aplica si el PLAN recibe GO; sin código aún</t>
        </is>
      </c>
    </row>
    <row r="11">
      <c r="A11" s="12" t="inlineStr">
        <is>
          <t>CR-E2-EDITAR</t>
        </is>
      </c>
      <c r="B11" s="12" t="inlineStr">
        <is>
          <t>Evento factura.actualizada (catálogo 58-&gt;59) para PATCH /facturas/{id} {deducible?,origen?} + PATCH /facturas/deducibilidad (lote); fail-closed POR FACTURA. Marcar deducibilidad cambia el IVA -&gt; requiere autor (R3).</t>
        </is>
      </c>
      <c r="C11" s="12" t="inlineStr">
        <is>
          <t>CEO (PR2) / Claude</t>
        </is>
      </c>
      <c r="D11" s="12" t="inlineStr">
        <is>
          <t>2026-07-30</t>
        </is>
      </c>
      <c r="E11" s="12" t="inlineStr">
        <is>
          <t>APROBADO (GO CEO 2026-07-30) — se codifica en PR2 tras merge de #46</t>
        </is>
      </c>
      <c r="F11" s="12" t="inlineStr">
        <is>
          <t>E2 / PR2</t>
        </is>
      </c>
      <c r="G11" s="12" t="inlineStr">
        <is>
          <t>Solo audita ediciones de deducible/origen; la factura sigue inmutable en lo fiscal. motor.py sin cambios.</t>
        </is>
      </c>
    </row>
    <row r="12">
      <c r="A12" s="12" t="inlineStr">
        <is>
          <t>CR-WAVA</t>
        </is>
      </c>
      <c r="B12" s="12" t="inlineStr">
        <is>
          <t>Dinero en tránsito (Wava) en el cierre y apertura de mes: capa aditiva declarada (Opción B). Campo transito_wava en confirmar_cierre + dos líneas de caja (Bancos/En tránsito/Total) + rubro de sistema Tránsito Wava mes anterior (fuera del recaudo) + remanente derivado + aviso al siguiente cierre. Matemática certificada del cierre intacta. Evento plegado en mes.cerrado (alternativa transito.declarado para Kimi). Julio se cierra SIN esto (nota de ajuste conocido).</t>
        </is>
      </c>
      <c r="C12" s="12" t="inlineStr">
        <is>
          <t>CEO</t>
        </is>
      </c>
      <c r="D12" s="12" t="inlineStr">
        <is>
          <t>2026-08-01</t>
        </is>
      </c>
      <c r="E12" s="12" t="inlineStr">
        <is>
          <t>Aprobado por el CEO (GO 3 puntos); construcción DESPUÉS de E1; gate Kimi obligatorio (toca cierre)</t>
        </is>
      </c>
      <c r="F12" s="12" t="inlineStr">
        <is>
          <t>Post-E1</t>
        </is>
      </c>
      <c r="G12" s="12" t="inlineStr">
        <is>
          <t>Toca superficie certificada del cierre (input + metadata mes.cerrado + hash idempotencia); NO cambia la matemática (R_M/C_M/ajuste). motor.py cero diffs. Est. ~2-4 días + ronda Kimi. Ver docs/COMPAS_CR-Wava_Transito_Cierre.md</t>
        </is>
      </c>
    </row>
    <row r="13">
      <c r="A13" s="12" t="inlineStr">
        <is>
          <t>CR-AUTECO-CIERRE</t>
        </is>
      </c>
      <c r="B13" s="12" t="inlineStr">
        <is>
          <t>Derivar el pago real a Auteco al registrar cada factura Auteco-&gt;RODDOS (el documento de la factura = entra inventario disponible; dispara el reloj de 150 dias). Pago proyectado = fecha_factura + 150d (+5 meses); interes 1,6% mensual desde el mes 4 (meses 1-3 de gracia). MECANICA EXACTA (simple vs compuesto, pago unico en mes 5) PENDIENTE de confirmar con ejemplo del CEO. A medida que cierran meses, el calendario real de Auteco se extiende solo hacia adelante y el motor solo proyecta el horizonte lejano. 100% D2 (obligaciones/reconciliacion): E1 NO toca pago_inventario/fondeo. Convive con FIX-K (9 facturas sep-dic sembradas con tasa 0): dedup por numero de factura; PENDIENTE reconciliar si el interes 1,6% aplica a esas 9. Patron: hook estado-dependiente como CR-WAVA-2. Reusa FacturaObligacion + registrar_factura (D2-S7) y la reconciliacion D2.</t>
        </is>
      </c>
      <c r="C13" s="12" t="inlineStr">
        <is>
          <t>CEO</t>
        </is>
      </c>
      <c r="D13" s="12" t="inlineStr">
        <is>
          <t>2026-08-05</t>
        </is>
      </c>
      <c r="E13" s="12" t="inlineStr">
        <is>
          <t>Declarado (enfoque aprobado por el CEO 2026-08-05); diseno del CR pendiente (Q2 interes exacto + Q3 convivencia FIX-K por confirmar). No inicia hasta cerrar E1.</t>
        </is>
      </c>
      <c r="F13" s="12" t="inlineStr">
        <is>
          <t>Post-E1 (extension D2)</t>
        </is>
      </c>
      <c r="G13" s="12" t="inlineStr">
        <is>
          <t>Nuevo hook en D2 (registro de factura / cierre) + posible reconciliacion del interes en las 9 facturas de FIX-K. NO cambia E1/P2 (Auteco sigue 100% en D2). Costo/plazo: CR aparte con su plan y gate Kimi.</t>
        </is>
      </c>
    </row>
    <row r="14">
      <c r="A14" s="12" t="inlineStr">
        <is>
          <t>CR-PTS6F</t>
        </is>
      </c>
      <c r="B14" s="12" t="inlineStr">
        <is>
          <t>Cartera de apertura: refresco mensual de la serie de recaudo desde el LoanTape (cierra el hueco estructural del motor sin estado de apertura; capa aditiva, motor cero diffs). docs/COMPAS_CR-PTS6F_Cartera_Apertura.md</t>
        </is>
      </c>
      <c r="C14" s="12" t="inlineStr">
        <is>
          <t>CEO / Claude</t>
        </is>
      </c>
      <c r="D14" s="12" t="inlineStr">
        <is>
          <t>2026-08-10</t>
        </is>
      </c>
      <c r="E14" s="12" t="inlineStr">
        <is>
          <t>Borrador — espera GO del CEO (4 decisiones Q1-Q4)</t>
        </is>
      </c>
      <c r="F14" s="12" t="inlineStr">
        <is>
          <t>Cola 6-puntos (post-FABS fundación)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A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10" customWidth="1" style="12" min="1" max="1"/>
  </cols>
  <sheetData>
    <row r="1" ht="16.15" customHeight="1" s="13">
      <c r="A1" s="23" t="inlineStr">
        <is>
          <t>Cómo usar este tablero</t>
        </is>
      </c>
    </row>
    <row r="3" ht="23.85" customHeight="1" s="13">
      <c r="A3" s="24" t="inlineStr">
        <is>
          <t>1. Al cerrar cada sesión de Claude Code o cada entregable: cambia el Estado en la hoja Tareas (desplegable) y anota fecha y evidencia (commit, PR, demo).</t>
        </is>
      </c>
    </row>
    <row r="4" ht="23.85" customHeight="1" s="13">
      <c r="A4" s="24" t="inlineStr">
        <is>
          <t>2. Estados: Pendiente → En curso → Hecha (el ejecutor terminó) → Verificada (Iván o el gate lo validó). Bloqueada exige nota en Evidencia.</t>
        </is>
      </c>
    </row>
    <row r="5" ht="15" customHeight="1" s="13">
      <c r="A5" s="24" t="inlineStr">
        <is>
          <t>3. El Dashboard calcula el % de avance por sprint automáticamente (fórmulas COUNTIF sobre Tareas).</t>
        </is>
      </c>
    </row>
    <row r="6" ht="15" customHeight="1" s="13">
      <c r="A6" s="24" t="inlineStr">
        <is>
          <t>4. Gates: solo el aprobador nombrado cambia el estado a Aprobado, con fecha.</t>
        </is>
      </c>
    </row>
    <row r="7" ht="15" customHeight="1" s="13">
      <c r="A7" s="24" t="inlineStr">
        <is>
          <t>5. DoD: los 12 puntos deben estar 'Cumplido' antes del gate G5 (más el punto 6 actualizado a 30 eventos por CR-001).</t>
        </is>
      </c>
    </row>
    <row r="8" ht="15" customHeight="1" s="13">
      <c r="A8" s="24" t="inlineStr">
        <is>
          <t>6. CRs: NINGÚN cambio de alcance se construye sin fila aquí y aprobación del CEO (lección de la auditoría).</t>
        </is>
      </c>
    </row>
    <row r="9" ht="15" customHeight="1" s="13">
      <c r="A9" s="24" t="inlineStr">
        <is>
          <t>7. Este archivo vive en docs/ del repo y se versiona con git: commit al final de cada semana como mínimo.</t>
        </is>
      </c>
    </row>
    <row r="10" ht="15" customHeight="1" s="13">
      <c r="A10" s="24" t="inlineStr">
        <is>
          <t>Celdas editables: columnas Estado, Fecha cierre y Evidencia (Tareas); Estado y Fecha (Gates, DoD); filas nuevas en CRs.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2026-07-18T16:46:58Z</dcterms:created>
  <dcterms:modified xmlns:dcterms="http://purl.org/dc/terms/" xmlns:xsi="http://www.w3.org/2001/XMLSchema-instance" xsi:type="dcterms:W3CDTF">2026-09-15T21:42:25Z</dcterms:modified>
  <cp:revision>0</cp:revision>
</cp:coreProperties>
</file>